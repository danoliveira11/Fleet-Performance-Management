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reqcloud-my.sharepoint.com/personal/ferdinando_magalhaes_sotreq_com_br/Documents/Documents/Base de Dados/2026/S11D/"/>
    </mc:Choice>
  </mc:AlternateContent>
  <xr:revisionPtr revIDLastSave="5059" documentId="8_{3B3C9FBB-5C99-4DE3-A5B8-15115CFAE708}" xr6:coauthVersionLast="47" xr6:coauthVersionMax="47" xr10:uidLastSave="{B982088E-9D6A-4ACD-A5BC-7AEDF967F44B}"/>
  <bookViews>
    <workbookView xWindow="-120" yWindow="-120" windowWidth="20640" windowHeight="11040" firstSheet="3" activeTab="3" xr2:uid="{C272A7AF-1776-4DC5-9B24-A4542D3D8B9C}"/>
  </bookViews>
  <sheets>
    <sheet name="Planilha1" sheetId="7" state="hidden" r:id="rId1"/>
    <sheet name="Planilha2" sheetId="10" r:id="rId2"/>
    <sheet name="LISTAS_APOIO" sheetId="2" r:id="rId3"/>
    <sheet name="HISTÓRICO_MANUTENÇÃO" sheetId="1" r:id="rId4"/>
    <sheet name="MTBF.POS.PM 793F S11D" sheetId="6" r:id="rId5"/>
    <sheet name="COMPARAÇÃO" sheetId="9" r:id="rId6"/>
    <sheet name="Planilha3" sheetId="11" r:id="rId7"/>
  </sheets>
  <calcPr calcId="191029"/>
  <pivotCaches>
    <pivotCache cacheId="11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22" i="1" l="1"/>
  <c r="N722" i="1"/>
  <c r="O722" i="1" s="1"/>
  <c r="W722" i="1"/>
  <c r="X722" i="1"/>
  <c r="AG722" i="1"/>
  <c r="A269" i="1"/>
  <c r="N269" i="1"/>
  <c r="O269" i="1" s="1"/>
  <c r="S269" i="1" s="1"/>
  <c r="W269" i="1"/>
  <c r="X269" i="1"/>
  <c r="AG269" i="1"/>
  <c r="K46" i="6" a="1"/>
  <c r="K46" i="6" s="1"/>
  <c r="K47" i="6" a="1"/>
  <c r="K47" i="6" s="1"/>
  <c r="K48" i="6" a="1"/>
  <c r="K48" i="6" s="1"/>
  <c r="L48" i="6" s="1" a="1"/>
  <c r="L48" i="6" s="1"/>
  <c r="K49" i="6" a="1"/>
  <c r="K49" i="6" s="1"/>
  <c r="K50" i="6" a="1"/>
  <c r="K50" i="6" s="1"/>
  <c r="L50" i="6" s="1" a="1"/>
  <c r="L50" i="6" s="1"/>
  <c r="K51" i="6" a="1"/>
  <c r="K51" i="6" s="1"/>
  <c r="L51" i="6" s="1" a="1"/>
  <c r="L51" i="6" s="1"/>
  <c r="G47" i="6"/>
  <c r="G48" i="6"/>
  <c r="G49" i="6"/>
  <c r="G50" i="6"/>
  <c r="G51" i="6"/>
  <c r="P722" i="1" l="1"/>
  <c r="Q722" i="1"/>
  <c r="R722" i="1" s="1"/>
  <c r="S722" i="1"/>
  <c r="T722" i="1" s="1"/>
  <c r="U722" i="1" s="1"/>
  <c r="V722" i="1" s="1"/>
  <c r="Q269" i="1"/>
  <c r="R269" i="1" s="1"/>
  <c r="P269" i="1"/>
  <c r="G46" i="6"/>
  <c r="F49" i="9" l="1" a="1"/>
  <c r="F49" i="9" s="1"/>
  <c r="A721" i="1"/>
  <c r="N721" i="1"/>
  <c r="P721" i="1" s="1"/>
  <c r="W721" i="1"/>
  <c r="X721" i="1"/>
  <c r="AG721" i="1"/>
  <c r="A1024" i="1"/>
  <c r="N1024" i="1"/>
  <c r="O1024" i="1" s="1"/>
  <c r="S1024" i="1" s="1"/>
  <c r="T1024" i="1" s="1"/>
  <c r="W1024" i="1"/>
  <c r="X1024" i="1"/>
  <c r="AG1024" i="1"/>
  <c r="A268" i="1"/>
  <c r="N268" i="1"/>
  <c r="O268" i="1" s="1"/>
  <c r="S268" i="1" s="1"/>
  <c r="T268" i="1" s="1"/>
  <c r="U268" i="1" s="1"/>
  <c r="V268" i="1" s="1"/>
  <c r="W268" i="1"/>
  <c r="X268" i="1"/>
  <c r="AG268" i="1"/>
  <c r="A267" i="1"/>
  <c r="N267" i="1"/>
  <c r="P267" i="1" s="1"/>
  <c r="S267" i="1"/>
  <c r="T267" i="1" s="1"/>
  <c r="U267" i="1" s="1"/>
  <c r="V267" i="1" s="1"/>
  <c r="W267" i="1"/>
  <c r="X267" i="1"/>
  <c r="AG267" i="1"/>
  <c r="A265" i="1"/>
  <c r="A266" i="1"/>
  <c r="N265" i="1"/>
  <c r="P265" i="1" s="1"/>
  <c r="N266" i="1"/>
  <c r="O266" i="1" s="1"/>
  <c r="S265" i="1"/>
  <c r="T265" i="1" s="1"/>
  <c r="U265" i="1" s="1"/>
  <c r="V265" i="1" s="1"/>
  <c r="W265" i="1"/>
  <c r="W266" i="1"/>
  <c r="X265" i="1"/>
  <c r="X266" i="1"/>
  <c r="AG265" i="1"/>
  <c r="AG266" i="1"/>
  <c r="AG462" i="1"/>
  <c r="A462" i="1"/>
  <c r="N462" i="1"/>
  <c r="O462" i="1" s="1"/>
  <c r="S462" i="1" s="1"/>
  <c r="W462" i="1"/>
  <c r="X462" i="1"/>
  <c r="N716" i="1"/>
  <c r="P716" i="1" s="1"/>
  <c r="A264" i="1"/>
  <c r="N264" i="1"/>
  <c r="O264" i="1" s="1"/>
  <c r="Q264" i="1" s="1"/>
  <c r="R264" i="1" s="1"/>
  <c r="W264" i="1"/>
  <c r="X264" i="1"/>
  <c r="AG264" i="1"/>
  <c r="A1023" i="1"/>
  <c r="N1023" i="1"/>
  <c r="O1023" i="1" s="1"/>
  <c r="Q1023" i="1" s="1"/>
  <c r="R1023" i="1" s="1"/>
  <c r="W1023" i="1"/>
  <c r="X1023" i="1"/>
  <c r="AG1023" i="1"/>
  <c r="A1022" i="1"/>
  <c r="N1022" i="1"/>
  <c r="O1022" i="1" s="1"/>
  <c r="S1022" i="1" s="1"/>
  <c r="T1022" i="1" s="1"/>
  <c r="U1022" i="1" s="1"/>
  <c r="V1022" i="1" s="1"/>
  <c r="W1022" i="1"/>
  <c r="X1022" i="1"/>
  <c r="AG1022" i="1"/>
  <c r="A720" i="1"/>
  <c r="N720" i="1"/>
  <c r="P720" i="1" s="1"/>
  <c r="W720" i="1"/>
  <c r="X720" i="1"/>
  <c r="AG720" i="1"/>
  <c r="A1021" i="1"/>
  <c r="A461" i="1"/>
  <c r="N1021" i="1"/>
  <c r="P1021" i="1" s="1"/>
  <c r="N461" i="1"/>
  <c r="O461" i="1" s="1"/>
  <c r="W1021" i="1"/>
  <c r="W461" i="1"/>
  <c r="X1021" i="1"/>
  <c r="X461" i="1"/>
  <c r="AG1021" i="1"/>
  <c r="AG461" i="1"/>
  <c r="A1020" i="1"/>
  <c r="N1020" i="1"/>
  <c r="O1020" i="1" s="1"/>
  <c r="W1020" i="1"/>
  <c r="X1020" i="1"/>
  <c r="AG1020" i="1"/>
  <c r="A1019" i="1"/>
  <c r="N1019" i="1"/>
  <c r="O1019" i="1" s="1"/>
  <c r="W1019" i="1"/>
  <c r="X1019" i="1"/>
  <c r="AG1019" i="1"/>
  <c r="A460" i="1"/>
  <c r="N460" i="1"/>
  <c r="P460" i="1" s="1"/>
  <c r="S460" i="1"/>
  <c r="T460" i="1" s="1"/>
  <c r="U460" i="1" s="1"/>
  <c r="V460" i="1" s="1"/>
  <c r="W460" i="1"/>
  <c r="X460" i="1"/>
  <c r="AG460" i="1"/>
  <c r="A263" i="1"/>
  <c r="N263" i="1"/>
  <c r="O263" i="1" s="1"/>
  <c r="S263" i="1" s="1"/>
  <c r="W263" i="1"/>
  <c r="X263" i="1"/>
  <c r="AG263" i="1"/>
  <c r="N1015" i="1"/>
  <c r="O1015" i="1" s="1"/>
  <c r="S1015" i="1" s="1"/>
  <c r="T1015" i="1" s="1"/>
  <c r="U1015" i="1" s="1"/>
  <c r="V1015" i="1" s="1"/>
  <c r="N258" i="1"/>
  <c r="O258" i="1" s="1"/>
  <c r="A717" i="1"/>
  <c r="N717" i="1"/>
  <c r="P717" i="1" s="1"/>
  <c r="W717" i="1"/>
  <c r="X717" i="1"/>
  <c r="AG717" i="1"/>
  <c r="A262" i="1"/>
  <c r="N262" i="1"/>
  <c r="O262" i="1" s="1"/>
  <c r="S262" i="1" s="1"/>
  <c r="W262" i="1"/>
  <c r="X262" i="1"/>
  <c r="AG262" i="1"/>
  <c r="N1012" i="1"/>
  <c r="O1012" i="1" s="1"/>
  <c r="S1012" i="1" s="1"/>
  <c r="T1012" i="1" s="1"/>
  <c r="U1012" i="1" s="1"/>
  <c r="V1012" i="1" s="1"/>
  <c r="A719" i="1"/>
  <c r="N719" i="1"/>
  <c r="O719" i="1" s="1"/>
  <c r="S719" i="1" s="1"/>
  <c r="T719" i="1" s="1"/>
  <c r="U719" i="1" s="1"/>
  <c r="V719" i="1" s="1"/>
  <c r="W719" i="1"/>
  <c r="X719" i="1"/>
  <c r="AG719" i="1"/>
  <c r="A718" i="1"/>
  <c r="N718" i="1"/>
  <c r="P718" i="1" s="1"/>
  <c r="W718" i="1"/>
  <c r="X718" i="1"/>
  <c r="AG718" i="1"/>
  <c r="U1024" i="1" l="1"/>
  <c r="V1024" i="1" s="1"/>
  <c r="S258" i="1"/>
  <c r="T258" i="1" s="1"/>
  <c r="U258" i="1" s="1"/>
  <c r="V258" i="1" s="1"/>
  <c r="L46" i="6" a="1"/>
  <c r="L46" i="6" s="1"/>
  <c r="Q461" i="1"/>
  <c r="R461" i="1" s="1"/>
  <c r="L47" i="6" a="1"/>
  <c r="L47" i="6" s="1"/>
  <c r="S1020" i="1"/>
  <c r="T1020" i="1" s="1"/>
  <c r="U1020" i="1" s="1"/>
  <c r="V1020" i="1" s="1"/>
  <c r="L49" i="6" a="1"/>
  <c r="L49" i="6" s="1"/>
  <c r="P1024" i="1"/>
  <c r="O721" i="1"/>
  <c r="S721" i="1" s="1"/>
  <c r="T721" i="1" s="1"/>
  <c r="Q1024" i="1"/>
  <c r="R1024" i="1" s="1"/>
  <c r="P268" i="1"/>
  <c r="Q268" i="1"/>
  <c r="R268" i="1" s="1"/>
  <c r="O267" i="1"/>
  <c r="Q267" i="1" s="1"/>
  <c r="R267" i="1" s="1"/>
  <c r="O265" i="1"/>
  <c r="Q265" i="1" s="1"/>
  <c r="R265" i="1" s="1"/>
  <c r="S266" i="1"/>
  <c r="T266" i="1" s="1"/>
  <c r="U266" i="1" s="1"/>
  <c r="V266" i="1" s="1"/>
  <c r="Q266" i="1"/>
  <c r="R266" i="1" s="1"/>
  <c r="P266" i="1"/>
  <c r="Q462" i="1"/>
  <c r="R462" i="1" s="1"/>
  <c r="P462" i="1"/>
  <c r="O720" i="1"/>
  <c r="Q720" i="1" s="1"/>
  <c r="R720" i="1" s="1"/>
  <c r="O716" i="1"/>
  <c r="S716" i="1" s="1"/>
  <c r="T716" i="1" s="1"/>
  <c r="U716" i="1" s="1"/>
  <c r="V716" i="1" s="1"/>
  <c r="P1023" i="1"/>
  <c r="P461" i="1"/>
  <c r="O1021" i="1"/>
  <c r="S1021" i="1" s="1"/>
  <c r="T1021" i="1" s="1"/>
  <c r="U1021" i="1" s="1"/>
  <c r="V1021" i="1" s="1"/>
  <c r="P1022" i="1"/>
  <c r="P264" i="1"/>
  <c r="S264" i="1"/>
  <c r="T264" i="1" s="1"/>
  <c r="Q1022" i="1"/>
  <c r="R1022" i="1" s="1"/>
  <c r="S461" i="1"/>
  <c r="T461" i="1" s="1"/>
  <c r="U461" i="1" s="1"/>
  <c r="V461" i="1" s="1"/>
  <c r="S1023" i="1"/>
  <c r="T1023" i="1" s="1"/>
  <c r="U1023" i="1" s="1"/>
  <c r="V1023" i="1" s="1"/>
  <c r="Q1020" i="1"/>
  <c r="R1020" i="1" s="1"/>
  <c r="P1020" i="1"/>
  <c r="O717" i="1"/>
  <c r="S717" i="1" s="1"/>
  <c r="T717" i="1" s="1"/>
  <c r="U717" i="1" s="1"/>
  <c r="V717" i="1" s="1"/>
  <c r="P1019" i="1"/>
  <c r="Q1019" i="1"/>
  <c r="R1019" i="1" s="1"/>
  <c r="S1019" i="1"/>
  <c r="P263" i="1"/>
  <c r="O460" i="1"/>
  <c r="Q263" i="1"/>
  <c r="R263" i="1" s="1"/>
  <c r="Q460" i="1"/>
  <c r="R460" i="1" s="1"/>
  <c r="Q1015" i="1"/>
  <c r="R1015" i="1" s="1"/>
  <c r="P1015" i="1"/>
  <c r="P258" i="1"/>
  <c r="Q258" i="1"/>
  <c r="R258" i="1" s="1"/>
  <c r="P262" i="1"/>
  <c r="Q262" i="1"/>
  <c r="R262" i="1" s="1"/>
  <c r="T262" i="1"/>
  <c r="Q1012" i="1"/>
  <c r="R1012" i="1" s="1"/>
  <c r="P1012" i="1"/>
  <c r="Q719" i="1"/>
  <c r="R719" i="1" s="1"/>
  <c r="P719" i="1"/>
  <c r="O718" i="1"/>
  <c r="S718" i="1" s="1"/>
  <c r="U721" i="1" l="1"/>
  <c r="V721" i="1" s="1"/>
  <c r="T269" i="1"/>
  <c r="U269" i="1" s="1"/>
  <c r="V269" i="1" s="1"/>
  <c r="Q721" i="1"/>
  <c r="R721" i="1" s="1"/>
  <c r="S720" i="1"/>
  <c r="T720" i="1" s="1"/>
  <c r="U720" i="1" s="1"/>
  <c r="V720" i="1" s="1"/>
  <c r="U264" i="1"/>
  <c r="V264" i="1" s="1"/>
  <c r="T462" i="1"/>
  <c r="U462" i="1" s="1"/>
  <c r="V462" i="1" s="1"/>
  <c r="Q716" i="1"/>
  <c r="R716" i="1" s="1"/>
  <c r="Q1021" i="1"/>
  <c r="R1021" i="1" s="1"/>
  <c r="Q717" i="1"/>
  <c r="R717" i="1" s="1"/>
  <c r="U262" i="1"/>
  <c r="V262" i="1" s="1"/>
  <c r="T263" i="1"/>
  <c r="Q718" i="1"/>
  <c r="R718" i="1" s="1"/>
  <c r="U263" i="1" l="1"/>
  <c r="V263" i="1" s="1"/>
  <c r="T1019" i="1"/>
  <c r="U1019" i="1" s="1"/>
  <c r="V1019" i="1" s="1"/>
  <c r="A458" i="1"/>
  <c r="A459" i="1"/>
  <c r="N458" i="1"/>
  <c r="P458" i="1" s="1"/>
  <c r="N459" i="1"/>
  <c r="O459" i="1" s="1"/>
  <c r="S459" i="1" s="1"/>
  <c r="T459" i="1" s="1"/>
  <c r="W458" i="1"/>
  <c r="W459" i="1"/>
  <c r="X458" i="1"/>
  <c r="X459" i="1"/>
  <c r="AG458" i="1"/>
  <c r="AG459" i="1"/>
  <c r="A1018" i="1"/>
  <c r="N1018" i="1"/>
  <c r="O1018" i="1" s="1"/>
  <c r="S1018" i="1" s="1"/>
  <c r="T1018" i="1" s="1"/>
  <c r="U1018" i="1" s="1"/>
  <c r="V1018" i="1" s="1"/>
  <c r="W1018" i="1"/>
  <c r="X1018" i="1"/>
  <c r="AG1018" i="1"/>
  <c r="A261" i="1"/>
  <c r="N261" i="1"/>
  <c r="P261" i="1" s="1"/>
  <c r="W261" i="1"/>
  <c r="X261" i="1"/>
  <c r="AG261" i="1"/>
  <c r="A457" i="1"/>
  <c r="N457" i="1"/>
  <c r="O457" i="1" s="1"/>
  <c r="W457" i="1"/>
  <c r="X457" i="1"/>
  <c r="AG457" i="1"/>
  <c r="A456" i="1"/>
  <c r="N456" i="1"/>
  <c r="O456" i="1" s="1"/>
  <c r="Q456" i="1" s="1"/>
  <c r="R456" i="1" s="1"/>
  <c r="S456" i="1"/>
  <c r="T456" i="1" s="1"/>
  <c r="U456" i="1" s="1"/>
  <c r="V456" i="1" s="1"/>
  <c r="W456" i="1"/>
  <c r="X456" i="1"/>
  <c r="AG456" i="1"/>
  <c r="A1017" i="1"/>
  <c r="N1017" i="1"/>
  <c r="O1017" i="1" s="1"/>
  <c r="S1017" i="1" s="1"/>
  <c r="T1017" i="1" s="1"/>
  <c r="U1017" i="1" s="1"/>
  <c r="V1017" i="1" s="1"/>
  <c r="W1017" i="1"/>
  <c r="X1017" i="1"/>
  <c r="AG1017" i="1"/>
  <c r="A455" i="1"/>
  <c r="N455" i="1"/>
  <c r="O455" i="1" s="1"/>
  <c r="S455" i="1" s="1"/>
  <c r="T455" i="1" s="1"/>
  <c r="U455" i="1" s="1"/>
  <c r="V455" i="1" s="1"/>
  <c r="W455" i="1"/>
  <c r="X455" i="1"/>
  <c r="AG455" i="1"/>
  <c r="A1016" i="1"/>
  <c r="N1016" i="1"/>
  <c r="O1016" i="1" s="1"/>
  <c r="S1016" i="1" s="1"/>
  <c r="T1016" i="1" s="1"/>
  <c r="U1016" i="1" s="1"/>
  <c r="V1016" i="1" s="1"/>
  <c r="W1016" i="1"/>
  <c r="X1016" i="1"/>
  <c r="AG1016" i="1"/>
  <c r="A1015" i="1"/>
  <c r="W1015" i="1"/>
  <c r="X1015" i="1"/>
  <c r="AG1015" i="1"/>
  <c r="A1014" i="1"/>
  <c r="N1014" i="1"/>
  <c r="P1014" i="1" s="1"/>
  <c r="W1014" i="1"/>
  <c r="X1014" i="1"/>
  <c r="AG1014" i="1"/>
  <c r="A1013" i="1"/>
  <c r="N1013" i="1"/>
  <c r="O1013" i="1" s="1"/>
  <c r="S1013" i="1" s="1"/>
  <c r="T1013" i="1" s="1"/>
  <c r="U1013" i="1" s="1"/>
  <c r="V1013" i="1" s="1"/>
  <c r="W1013" i="1"/>
  <c r="X1013" i="1"/>
  <c r="AG1013" i="1"/>
  <c r="A716" i="1"/>
  <c r="W716" i="1"/>
  <c r="X716" i="1"/>
  <c r="AG716" i="1"/>
  <c r="A1012" i="1"/>
  <c r="W1012" i="1"/>
  <c r="X1012" i="1"/>
  <c r="AG1012" i="1"/>
  <c r="A715" i="1"/>
  <c r="N715" i="1"/>
  <c r="O715" i="1" s="1"/>
  <c r="S715" i="1" s="1"/>
  <c r="T715" i="1" s="1"/>
  <c r="U715" i="1" s="1"/>
  <c r="V715" i="1" s="1"/>
  <c r="W715" i="1"/>
  <c r="X715" i="1"/>
  <c r="AG715" i="1"/>
  <c r="A1011" i="1"/>
  <c r="N1011" i="1"/>
  <c r="O1011" i="1" s="1"/>
  <c r="S1011" i="1" s="1"/>
  <c r="T1011" i="1" s="1"/>
  <c r="U1011" i="1" s="1"/>
  <c r="V1011" i="1" s="1"/>
  <c r="W1011" i="1"/>
  <c r="X1011" i="1"/>
  <c r="AG1011" i="1"/>
  <c r="A1010" i="1"/>
  <c r="N1010" i="1"/>
  <c r="S1010" i="1"/>
  <c r="W1010" i="1"/>
  <c r="X1010" i="1"/>
  <c r="AG1010" i="1"/>
  <c r="A714" i="1"/>
  <c r="N714" i="1"/>
  <c r="O714" i="1" s="1"/>
  <c r="Q714" i="1" s="1"/>
  <c r="R714" i="1" s="1"/>
  <c r="W714" i="1"/>
  <c r="X714" i="1"/>
  <c r="AG714" i="1"/>
  <c r="A1008" i="1"/>
  <c r="A1009" i="1"/>
  <c r="N1008" i="1"/>
  <c r="O1008" i="1" s="1"/>
  <c r="Q1008" i="1" s="1"/>
  <c r="R1008" i="1" s="1"/>
  <c r="N1009" i="1"/>
  <c r="S1008" i="1"/>
  <c r="T1008" i="1" s="1"/>
  <c r="U1008" i="1" s="1"/>
  <c r="V1008" i="1" s="1"/>
  <c r="W1008" i="1"/>
  <c r="W1009" i="1"/>
  <c r="X1008" i="1"/>
  <c r="X1009" i="1"/>
  <c r="AG1008" i="1"/>
  <c r="AG1009" i="1"/>
  <c r="A713" i="1"/>
  <c r="N713" i="1"/>
  <c r="O713" i="1" s="1"/>
  <c r="W713" i="1"/>
  <c r="X713" i="1"/>
  <c r="AG713" i="1"/>
  <c r="A1007" i="1"/>
  <c r="N1007" i="1"/>
  <c r="P1007" i="1" s="1"/>
  <c r="W1007" i="1"/>
  <c r="X1007" i="1"/>
  <c r="AG1007" i="1"/>
  <c r="N254" i="1"/>
  <c r="P254" i="1" s="1"/>
  <c r="S254" i="1"/>
  <c r="T254" i="1" s="1"/>
  <c r="U254" i="1" s="1"/>
  <c r="V254" i="1" s="1"/>
  <c r="N251" i="1"/>
  <c r="O251" i="1" s="1"/>
  <c r="S251" i="1" s="1"/>
  <c r="T251" i="1" s="1"/>
  <c r="U251" i="1" s="1"/>
  <c r="V251" i="1" s="1"/>
  <c r="N250" i="1"/>
  <c r="O250" i="1" s="1"/>
  <c r="S250" i="1" s="1"/>
  <c r="T250" i="1" s="1"/>
  <c r="U250" i="1" s="1"/>
  <c r="V250" i="1" s="1"/>
  <c r="N249" i="1"/>
  <c r="N990" i="1"/>
  <c r="O990" i="1" s="1"/>
  <c r="S990" i="1" s="1"/>
  <c r="T990" i="1" s="1"/>
  <c r="U990" i="1" s="1"/>
  <c r="V990" i="1" s="1"/>
  <c r="W709" i="1"/>
  <c r="N709" i="1"/>
  <c r="A260" i="1"/>
  <c r="N260" i="1"/>
  <c r="O260" i="1" s="1"/>
  <c r="S260" i="1" s="1"/>
  <c r="T260" i="1" s="1"/>
  <c r="U260" i="1" s="1"/>
  <c r="V260" i="1" s="1"/>
  <c r="W260" i="1"/>
  <c r="X260" i="1"/>
  <c r="AG260" i="1"/>
  <c r="A259" i="1"/>
  <c r="N259" i="1"/>
  <c r="O259" i="1" s="1"/>
  <c r="S259" i="1" s="1"/>
  <c r="T259" i="1" s="1"/>
  <c r="U259" i="1" s="1"/>
  <c r="V259" i="1" s="1"/>
  <c r="W259" i="1"/>
  <c r="X259" i="1"/>
  <c r="AG259" i="1"/>
  <c r="A258" i="1"/>
  <c r="W258" i="1"/>
  <c r="X258" i="1"/>
  <c r="AG258" i="1"/>
  <c r="A712" i="1"/>
  <c r="N712" i="1"/>
  <c r="O712" i="1" s="1"/>
  <c r="W712" i="1"/>
  <c r="X712" i="1"/>
  <c r="AG712" i="1"/>
  <c r="A454" i="1"/>
  <c r="N454" i="1"/>
  <c r="O454" i="1" s="1"/>
  <c r="W454" i="1"/>
  <c r="X454" i="1"/>
  <c r="AG454" i="1"/>
  <c r="A1006" i="1"/>
  <c r="N1006" i="1"/>
  <c r="P1006" i="1" s="1"/>
  <c r="W1006" i="1"/>
  <c r="X1006" i="1"/>
  <c r="AG1006" i="1"/>
  <c r="A453" i="1"/>
  <c r="N453" i="1"/>
  <c r="O453" i="1" s="1"/>
  <c r="S453" i="1" s="1"/>
  <c r="T453" i="1" s="1"/>
  <c r="U453" i="1" s="1"/>
  <c r="V453" i="1" s="1"/>
  <c r="W453" i="1"/>
  <c r="X453" i="1"/>
  <c r="AG453" i="1"/>
  <c r="A1005" i="1"/>
  <c r="N1005" i="1"/>
  <c r="P1005" i="1" s="1"/>
  <c r="W1005" i="1"/>
  <c r="X1005" i="1"/>
  <c r="AG1005" i="1"/>
  <c r="A1004" i="1"/>
  <c r="N1004" i="1"/>
  <c r="P1004" i="1" s="1"/>
  <c r="W1004" i="1"/>
  <c r="X1004" i="1"/>
  <c r="AG1004" i="1"/>
  <c r="A1003" i="1"/>
  <c r="N1003" i="1"/>
  <c r="O1003" i="1" s="1"/>
  <c r="S1003" i="1" s="1"/>
  <c r="T1003" i="1" s="1"/>
  <c r="U1003" i="1" s="1"/>
  <c r="V1003" i="1" s="1"/>
  <c r="W1003" i="1"/>
  <c r="X1003" i="1"/>
  <c r="AG1003" i="1"/>
  <c r="A452" i="1"/>
  <c r="A1002" i="1"/>
  <c r="N452" i="1"/>
  <c r="P452" i="1" s="1"/>
  <c r="N1002" i="1"/>
  <c r="O1002" i="1" s="1"/>
  <c r="S1002" i="1" s="1"/>
  <c r="T1002" i="1" s="1"/>
  <c r="U1002" i="1" s="1"/>
  <c r="V1002" i="1" s="1"/>
  <c r="W452" i="1"/>
  <c r="W1002" i="1"/>
  <c r="X452" i="1"/>
  <c r="X1002" i="1"/>
  <c r="AG452" i="1"/>
  <c r="AG1002" i="1"/>
  <c r="A257" i="1"/>
  <c r="N257" i="1"/>
  <c r="O257" i="1" s="1"/>
  <c r="S257" i="1" s="1"/>
  <c r="T257" i="1" s="1"/>
  <c r="U257" i="1" s="1"/>
  <c r="V257" i="1" s="1"/>
  <c r="W257" i="1"/>
  <c r="X257" i="1"/>
  <c r="AG257" i="1"/>
  <c r="A711" i="1"/>
  <c r="N711" i="1"/>
  <c r="P711" i="1" s="1"/>
  <c r="W711" i="1"/>
  <c r="X711" i="1"/>
  <c r="AG711" i="1"/>
  <c r="A1001" i="1"/>
  <c r="N1001" i="1"/>
  <c r="O1001" i="1" s="1"/>
  <c r="S1001" i="1" s="1"/>
  <c r="T1001" i="1" s="1"/>
  <c r="U1001" i="1" s="1"/>
  <c r="V1001" i="1" s="1"/>
  <c r="W1001" i="1"/>
  <c r="X1001" i="1"/>
  <c r="AG1001" i="1"/>
  <c r="A710" i="1"/>
  <c r="N710" i="1"/>
  <c r="O710" i="1" s="1"/>
  <c r="Q710" i="1" s="1"/>
  <c r="R710" i="1" s="1"/>
  <c r="W710" i="1"/>
  <c r="X710" i="1"/>
  <c r="AG710" i="1"/>
  <c r="N679" i="1"/>
  <c r="Q679" i="1" s="1"/>
  <c r="R679" i="1" s="1"/>
  <c r="S679" i="1"/>
  <c r="N443" i="1"/>
  <c r="O443" i="1" s="1"/>
  <c r="S443" i="1"/>
  <c r="T443" i="1" s="1"/>
  <c r="U443" i="1" s="1"/>
  <c r="V443" i="1" s="1"/>
  <c r="N227" i="1"/>
  <c r="P227" i="1" s="1"/>
  <c r="A256" i="1"/>
  <c r="N256" i="1"/>
  <c r="O256" i="1" s="1"/>
  <c r="S256" i="1" s="1"/>
  <c r="T256" i="1" s="1"/>
  <c r="U256" i="1" s="1"/>
  <c r="V256" i="1" s="1"/>
  <c r="W256" i="1"/>
  <c r="X256" i="1"/>
  <c r="AG256" i="1"/>
  <c r="A709" i="1"/>
  <c r="X709" i="1"/>
  <c r="AG709" i="1"/>
  <c r="A255" i="1"/>
  <c r="N255" i="1"/>
  <c r="P255" i="1" s="1"/>
  <c r="W255" i="1"/>
  <c r="X255" i="1"/>
  <c r="AG255" i="1"/>
  <c r="A254" i="1"/>
  <c r="A708" i="1"/>
  <c r="N708" i="1"/>
  <c r="P708" i="1" s="1"/>
  <c r="W254" i="1"/>
  <c r="W708" i="1"/>
  <c r="X254" i="1"/>
  <c r="X708" i="1"/>
  <c r="AG254" i="1"/>
  <c r="AG708" i="1"/>
  <c r="A253" i="1"/>
  <c r="N253" i="1"/>
  <c r="P253" i="1" s="1"/>
  <c r="W253" i="1"/>
  <c r="X253" i="1"/>
  <c r="AG253" i="1"/>
  <c r="A1000" i="1"/>
  <c r="A707" i="1"/>
  <c r="N1000" i="1"/>
  <c r="O1000" i="1" s="1"/>
  <c r="S1000" i="1" s="1"/>
  <c r="T1000" i="1" s="1"/>
  <c r="U1000" i="1" s="1"/>
  <c r="V1000" i="1" s="1"/>
  <c r="N707" i="1"/>
  <c r="O707" i="1" s="1"/>
  <c r="W1000" i="1"/>
  <c r="W707" i="1"/>
  <c r="X1000" i="1"/>
  <c r="X707" i="1"/>
  <c r="AG1000" i="1"/>
  <c r="AG707" i="1"/>
  <c r="A706" i="1"/>
  <c r="N706" i="1"/>
  <c r="O706" i="1" s="1"/>
  <c r="W706" i="1"/>
  <c r="X706" i="1"/>
  <c r="AG706" i="1"/>
  <c r="A252" i="1"/>
  <c r="N252" i="1"/>
  <c r="O252" i="1" s="1"/>
  <c r="Q252" i="1" s="1"/>
  <c r="R252" i="1" s="1"/>
  <c r="S252" i="1"/>
  <c r="T252" i="1" s="1"/>
  <c r="U252" i="1" s="1"/>
  <c r="V252" i="1" s="1"/>
  <c r="W252" i="1"/>
  <c r="X252" i="1"/>
  <c r="AG252" i="1"/>
  <c r="A705" i="1"/>
  <c r="N705" i="1"/>
  <c r="O705" i="1" s="1"/>
  <c r="S705" i="1" s="1"/>
  <c r="T705" i="1" s="1"/>
  <c r="U705" i="1" s="1"/>
  <c r="V705" i="1" s="1"/>
  <c r="W705" i="1"/>
  <c r="X705" i="1"/>
  <c r="AG705" i="1"/>
  <c r="A999" i="1"/>
  <c r="N999" i="1"/>
  <c r="P999" i="1" s="1"/>
  <c r="W999" i="1"/>
  <c r="X999" i="1"/>
  <c r="AG999" i="1"/>
  <c r="A251" i="1"/>
  <c r="W251" i="1"/>
  <c r="X251" i="1"/>
  <c r="AG251" i="1"/>
  <c r="A442" i="1"/>
  <c r="N442" i="1"/>
  <c r="Q442" i="1" s="1"/>
  <c r="R442" i="1" s="1"/>
  <c r="S442" i="1"/>
  <c r="W442" i="1"/>
  <c r="X442" i="1"/>
  <c r="AG442" i="1"/>
  <c r="A440" i="1"/>
  <c r="N440" i="1"/>
  <c r="O440" i="1" s="1"/>
  <c r="S440" i="1"/>
  <c r="W440" i="1"/>
  <c r="X440" i="1"/>
  <c r="AG440" i="1"/>
  <c r="A959" i="1"/>
  <c r="N959" i="1"/>
  <c r="O959" i="1" s="1"/>
  <c r="S959" i="1"/>
  <c r="W959" i="1"/>
  <c r="X959" i="1"/>
  <c r="AG959" i="1"/>
  <c r="A956" i="1"/>
  <c r="N956" i="1"/>
  <c r="O956" i="1" s="1"/>
  <c r="S956" i="1"/>
  <c r="W956" i="1"/>
  <c r="X956" i="1"/>
  <c r="AG956" i="1"/>
  <c r="A658" i="1"/>
  <c r="N658" i="1"/>
  <c r="O658" i="1" s="1"/>
  <c r="S658" i="1"/>
  <c r="W658" i="1"/>
  <c r="X658" i="1"/>
  <c r="AG658" i="1"/>
  <c r="A654" i="1"/>
  <c r="N654" i="1"/>
  <c r="O654" i="1" s="1"/>
  <c r="S654" i="1"/>
  <c r="W654" i="1"/>
  <c r="X654" i="1"/>
  <c r="AG654" i="1"/>
  <c r="A204" i="1"/>
  <c r="N204" i="1"/>
  <c r="O204" i="1" s="1"/>
  <c r="S204" i="1"/>
  <c r="W204" i="1"/>
  <c r="X204" i="1"/>
  <c r="AG204" i="1"/>
  <c r="A201" i="1"/>
  <c r="N201" i="1"/>
  <c r="O201" i="1" s="1"/>
  <c r="S201" i="1"/>
  <c r="W201" i="1"/>
  <c r="X201" i="1"/>
  <c r="AG201" i="1"/>
  <c r="A435" i="1"/>
  <c r="N435" i="1"/>
  <c r="P435" i="1" s="1"/>
  <c r="S435" i="1"/>
  <c r="W435" i="1"/>
  <c r="X435" i="1"/>
  <c r="AG435" i="1"/>
  <c r="N964" i="1"/>
  <c r="O964" i="1" s="1"/>
  <c r="S964" i="1" s="1"/>
  <c r="T964" i="1" s="1"/>
  <c r="U964" i="1" s="1"/>
  <c r="V964" i="1" s="1"/>
  <c r="N967" i="1"/>
  <c r="P967" i="1" s="1"/>
  <c r="N205" i="1"/>
  <c r="O205" i="1" s="1"/>
  <c r="S205" i="1" s="1"/>
  <c r="T205" i="1" s="1"/>
  <c r="U205" i="1" s="1"/>
  <c r="V205" i="1" s="1"/>
  <c r="A673" i="1"/>
  <c r="A674" i="1"/>
  <c r="N673" i="1"/>
  <c r="P673" i="1" s="1"/>
  <c r="N674" i="1"/>
  <c r="O674" i="1" s="1"/>
  <c r="S673" i="1"/>
  <c r="S674" i="1"/>
  <c r="W673" i="1"/>
  <c r="W674" i="1"/>
  <c r="X673" i="1"/>
  <c r="X674" i="1"/>
  <c r="AG673" i="1"/>
  <c r="AG674" i="1"/>
  <c r="A669" i="1"/>
  <c r="N669" i="1"/>
  <c r="O669" i="1" s="1"/>
  <c r="S669" i="1"/>
  <c r="W669" i="1"/>
  <c r="X669" i="1"/>
  <c r="AG669" i="1"/>
  <c r="A439" i="1"/>
  <c r="A441" i="1"/>
  <c r="A226" i="1"/>
  <c r="A661" i="1"/>
  <c r="A677" i="1"/>
  <c r="A679" i="1"/>
  <c r="N439" i="1"/>
  <c r="P439" i="1" s="1"/>
  <c r="N441" i="1"/>
  <c r="P441" i="1" s="1"/>
  <c r="N226" i="1"/>
  <c r="O226" i="1" s="1"/>
  <c r="N661" i="1"/>
  <c r="O661" i="1" s="1"/>
  <c r="N677" i="1"/>
  <c r="Q677" i="1" s="1"/>
  <c r="R677" i="1" s="1"/>
  <c r="S439" i="1"/>
  <c r="S441" i="1"/>
  <c r="S226" i="1"/>
  <c r="S661" i="1"/>
  <c r="S677" i="1"/>
  <c r="W439" i="1"/>
  <c r="W441" i="1"/>
  <c r="W226" i="1"/>
  <c r="W661" i="1"/>
  <c r="W677" i="1"/>
  <c r="W679" i="1"/>
  <c r="X439" i="1"/>
  <c r="X441" i="1"/>
  <c r="X226" i="1"/>
  <c r="X661" i="1"/>
  <c r="X677" i="1"/>
  <c r="X679" i="1"/>
  <c r="AG439" i="1"/>
  <c r="AG441" i="1"/>
  <c r="AG226" i="1"/>
  <c r="AG661" i="1"/>
  <c r="AG677" i="1"/>
  <c r="AG679" i="1"/>
  <c r="A671" i="1"/>
  <c r="A672" i="1"/>
  <c r="N671" i="1"/>
  <c r="O671" i="1" s="1"/>
  <c r="N672" i="1"/>
  <c r="P672" i="1" s="1"/>
  <c r="S671" i="1"/>
  <c r="S672" i="1"/>
  <c r="W671" i="1"/>
  <c r="W672" i="1"/>
  <c r="X671" i="1"/>
  <c r="X672" i="1"/>
  <c r="AG671" i="1"/>
  <c r="AG672" i="1"/>
  <c r="A670" i="1"/>
  <c r="N670" i="1"/>
  <c r="O670" i="1" s="1"/>
  <c r="S670" i="1"/>
  <c r="W670" i="1"/>
  <c r="X670" i="1"/>
  <c r="AG670" i="1"/>
  <c r="A198" i="1"/>
  <c r="N198" i="1"/>
  <c r="O198" i="1" s="1"/>
  <c r="S198" i="1"/>
  <c r="W198" i="1"/>
  <c r="X198" i="1"/>
  <c r="AG198" i="1"/>
  <c r="O261" i="1" l="1"/>
  <c r="Q261" i="1" s="1"/>
  <c r="R261" i="1" s="1"/>
  <c r="U459" i="1"/>
  <c r="V459" i="1" s="1"/>
  <c r="T718" i="1"/>
  <c r="U718" i="1" s="1"/>
  <c r="V718" i="1" s="1"/>
  <c r="P1018" i="1"/>
  <c r="O458" i="1"/>
  <c r="S458" i="1" s="1"/>
  <c r="T458" i="1" s="1"/>
  <c r="U458" i="1" s="1"/>
  <c r="V458" i="1" s="1"/>
  <c r="P457" i="1"/>
  <c r="Q1018" i="1"/>
  <c r="R1018" i="1" s="1"/>
  <c r="Q459" i="1"/>
  <c r="R459" i="1" s="1"/>
  <c r="P459" i="1"/>
  <c r="Q457" i="1"/>
  <c r="R457" i="1" s="1"/>
  <c r="S457" i="1"/>
  <c r="T457" i="1" s="1"/>
  <c r="U457" i="1" s="1"/>
  <c r="V457" i="1" s="1"/>
  <c r="P456" i="1"/>
  <c r="Q1017" i="1"/>
  <c r="R1017" i="1" s="1"/>
  <c r="P1017" i="1"/>
  <c r="Q455" i="1"/>
  <c r="R455" i="1" s="1"/>
  <c r="P455" i="1"/>
  <c r="Q1016" i="1"/>
  <c r="R1016" i="1" s="1"/>
  <c r="P1016" i="1"/>
  <c r="O1014" i="1"/>
  <c r="S1014" i="1" s="1"/>
  <c r="T1014" i="1" s="1"/>
  <c r="U1014" i="1" s="1"/>
  <c r="V1014" i="1" s="1"/>
  <c r="Q1013" i="1"/>
  <c r="R1013" i="1" s="1"/>
  <c r="P1013" i="1"/>
  <c r="Q715" i="1"/>
  <c r="R715" i="1" s="1"/>
  <c r="P715" i="1"/>
  <c r="P1011" i="1"/>
  <c r="Q1011" i="1"/>
  <c r="R1011" i="1" s="1"/>
  <c r="P1010" i="1"/>
  <c r="O1010" i="1"/>
  <c r="Q1010" i="1" s="1"/>
  <c r="R1010" i="1" s="1"/>
  <c r="P714" i="1"/>
  <c r="S714" i="1"/>
  <c r="T714" i="1" s="1"/>
  <c r="P1009" i="1"/>
  <c r="O1009" i="1"/>
  <c r="S1009" i="1" s="1"/>
  <c r="T1009" i="1" s="1"/>
  <c r="U1009" i="1" s="1"/>
  <c r="V1009" i="1" s="1"/>
  <c r="P1008" i="1"/>
  <c r="P713" i="1"/>
  <c r="Q713" i="1"/>
  <c r="R713" i="1" s="1"/>
  <c r="S713" i="1"/>
  <c r="T713" i="1" s="1"/>
  <c r="U713" i="1" s="1"/>
  <c r="V713" i="1" s="1"/>
  <c r="O1007" i="1"/>
  <c r="S1007" i="1" s="1"/>
  <c r="T1007" i="1" s="1"/>
  <c r="U1007" i="1" s="1"/>
  <c r="V1007" i="1" s="1"/>
  <c r="O254" i="1"/>
  <c r="Q254" i="1" s="1"/>
  <c r="R254" i="1" s="1"/>
  <c r="P251" i="1"/>
  <c r="Q251" i="1"/>
  <c r="R251" i="1" s="1"/>
  <c r="P250" i="1"/>
  <c r="Q250" i="1"/>
  <c r="R250" i="1" s="1"/>
  <c r="P249" i="1"/>
  <c r="O249" i="1"/>
  <c r="S249" i="1" s="1"/>
  <c r="T249" i="1" s="1"/>
  <c r="U249" i="1" s="1"/>
  <c r="V249" i="1" s="1"/>
  <c r="P990" i="1"/>
  <c r="Q990" i="1"/>
  <c r="R990" i="1" s="1"/>
  <c r="O709" i="1"/>
  <c r="S709" i="1" s="1"/>
  <c r="T709" i="1" s="1"/>
  <c r="U709" i="1" s="1"/>
  <c r="V709" i="1" s="1"/>
  <c r="P709" i="1"/>
  <c r="P259" i="1"/>
  <c r="P260" i="1"/>
  <c r="Q259" i="1"/>
  <c r="R259" i="1" s="1"/>
  <c r="P454" i="1"/>
  <c r="Q260" i="1"/>
  <c r="R260" i="1" s="1"/>
  <c r="Q454" i="1"/>
  <c r="R454" i="1" s="1"/>
  <c r="S454" i="1"/>
  <c r="T454" i="1" s="1"/>
  <c r="U454" i="1" s="1"/>
  <c r="V454" i="1" s="1"/>
  <c r="P712" i="1"/>
  <c r="Q712" i="1"/>
  <c r="R712" i="1" s="1"/>
  <c r="S712" i="1"/>
  <c r="T712" i="1" s="1"/>
  <c r="U712" i="1" s="1"/>
  <c r="V712" i="1" s="1"/>
  <c r="O711" i="1"/>
  <c r="S711" i="1" s="1"/>
  <c r="T711" i="1" s="1"/>
  <c r="U711" i="1" s="1"/>
  <c r="V711" i="1" s="1"/>
  <c r="O1005" i="1"/>
  <c r="S1005" i="1" s="1"/>
  <c r="T1005" i="1" s="1"/>
  <c r="U1005" i="1" s="1"/>
  <c r="V1005" i="1" s="1"/>
  <c r="O1006" i="1"/>
  <c r="P1003" i="1"/>
  <c r="P1001" i="1"/>
  <c r="Q453" i="1"/>
  <c r="R453" i="1" s="1"/>
  <c r="P453" i="1"/>
  <c r="O452" i="1"/>
  <c r="S452" i="1" s="1"/>
  <c r="T452" i="1" s="1"/>
  <c r="U452" i="1" s="1"/>
  <c r="V452" i="1" s="1"/>
  <c r="O1004" i="1"/>
  <c r="S1004" i="1" s="1"/>
  <c r="T1004" i="1" s="1"/>
  <c r="U1004" i="1" s="1"/>
  <c r="V1004" i="1" s="1"/>
  <c r="Q1003" i="1"/>
  <c r="R1003" i="1" s="1"/>
  <c r="Q1002" i="1"/>
  <c r="R1002" i="1" s="1"/>
  <c r="P1002" i="1"/>
  <c r="Q257" i="1"/>
  <c r="R257" i="1" s="1"/>
  <c r="P257" i="1"/>
  <c r="Q443" i="1"/>
  <c r="R443" i="1" s="1"/>
  <c r="P443" i="1"/>
  <c r="Q1001" i="1"/>
  <c r="R1001" i="1" s="1"/>
  <c r="S710" i="1"/>
  <c r="T710" i="1" s="1"/>
  <c r="U710" i="1" s="1"/>
  <c r="V710" i="1" s="1"/>
  <c r="P710" i="1"/>
  <c r="O227" i="1"/>
  <c r="S227" i="1" s="1"/>
  <c r="T227" i="1" s="1"/>
  <c r="U227" i="1" s="1"/>
  <c r="V227" i="1" s="1"/>
  <c r="P679" i="1"/>
  <c r="O679" i="1"/>
  <c r="P256" i="1"/>
  <c r="Q256" i="1"/>
  <c r="R256" i="1" s="1"/>
  <c r="O255" i="1"/>
  <c r="Q255" i="1" s="1"/>
  <c r="R255" i="1" s="1"/>
  <c r="O253" i="1"/>
  <c r="S253" i="1" s="1"/>
  <c r="T253" i="1" s="1"/>
  <c r="U253" i="1" s="1"/>
  <c r="V253" i="1" s="1"/>
  <c r="O708" i="1"/>
  <c r="S708" i="1" s="1"/>
  <c r="T708" i="1" s="1"/>
  <c r="U708" i="1" s="1"/>
  <c r="V708" i="1" s="1"/>
  <c r="P707" i="1"/>
  <c r="Q1000" i="1"/>
  <c r="R1000" i="1" s="1"/>
  <c r="P1000" i="1"/>
  <c r="Q707" i="1"/>
  <c r="R707" i="1" s="1"/>
  <c r="S707" i="1"/>
  <c r="T707" i="1" s="1"/>
  <c r="U707" i="1" s="1"/>
  <c r="V707" i="1" s="1"/>
  <c r="P706" i="1"/>
  <c r="Q706" i="1"/>
  <c r="R706" i="1" s="1"/>
  <c r="S706" i="1"/>
  <c r="T706" i="1" s="1"/>
  <c r="U706" i="1" s="1"/>
  <c r="V706" i="1" s="1"/>
  <c r="P252" i="1"/>
  <c r="O999" i="1"/>
  <c r="S999" i="1" s="1"/>
  <c r="T999" i="1" s="1"/>
  <c r="U999" i="1" s="1"/>
  <c r="V999" i="1" s="1"/>
  <c r="Q705" i="1"/>
  <c r="R705" i="1" s="1"/>
  <c r="P705" i="1"/>
  <c r="P442" i="1"/>
  <c r="O442" i="1"/>
  <c r="Q440" i="1"/>
  <c r="R440" i="1" s="1"/>
  <c r="P440" i="1"/>
  <c r="Q959" i="1"/>
  <c r="R959" i="1" s="1"/>
  <c r="P959" i="1"/>
  <c r="P956" i="1"/>
  <c r="Q956" i="1"/>
  <c r="R956" i="1" s="1"/>
  <c r="Q658" i="1"/>
  <c r="R658" i="1" s="1"/>
  <c r="P658" i="1"/>
  <c r="Q654" i="1"/>
  <c r="R654" i="1" s="1"/>
  <c r="P654" i="1"/>
  <c r="Q204" i="1"/>
  <c r="R204" i="1" s="1"/>
  <c r="P204" i="1"/>
  <c r="Q201" i="1"/>
  <c r="R201" i="1" s="1"/>
  <c r="P201" i="1"/>
  <c r="Q435" i="1"/>
  <c r="R435" i="1" s="1"/>
  <c r="O967" i="1"/>
  <c r="S967" i="1" s="1"/>
  <c r="T967" i="1" s="1"/>
  <c r="U967" i="1" s="1"/>
  <c r="V967" i="1" s="1"/>
  <c r="O435" i="1"/>
  <c r="P964" i="1"/>
  <c r="Q964" i="1"/>
  <c r="R964" i="1" s="1"/>
  <c r="Q205" i="1"/>
  <c r="R205" i="1" s="1"/>
  <c r="P205" i="1"/>
  <c r="Q674" i="1"/>
  <c r="R674" i="1" s="1"/>
  <c r="P674" i="1"/>
  <c r="Q673" i="1"/>
  <c r="R673" i="1" s="1"/>
  <c r="O673" i="1"/>
  <c r="O672" i="1"/>
  <c r="Q226" i="1"/>
  <c r="R226" i="1" s="1"/>
  <c r="Q439" i="1"/>
  <c r="R439" i="1" s="1"/>
  <c r="O441" i="1"/>
  <c r="O439" i="1"/>
  <c r="Q669" i="1"/>
  <c r="R669" i="1" s="1"/>
  <c r="P671" i="1"/>
  <c r="P669" i="1"/>
  <c r="Q661" i="1"/>
  <c r="R661" i="1" s="1"/>
  <c r="Q441" i="1"/>
  <c r="R441" i="1" s="1"/>
  <c r="P677" i="1"/>
  <c r="P226" i="1"/>
  <c r="Q672" i="1"/>
  <c r="R672" i="1" s="1"/>
  <c r="O677" i="1"/>
  <c r="P661" i="1"/>
  <c r="Q671" i="1"/>
  <c r="R671" i="1" s="1"/>
  <c r="Q670" i="1"/>
  <c r="R670" i="1" s="1"/>
  <c r="P670" i="1"/>
  <c r="Q198" i="1"/>
  <c r="R198" i="1" s="1"/>
  <c r="P198" i="1"/>
  <c r="S261" i="1" l="1"/>
  <c r="T261" i="1" s="1"/>
  <c r="U261" i="1" s="1"/>
  <c r="V261" i="1" s="1"/>
  <c r="Q458" i="1"/>
  <c r="R458" i="1" s="1"/>
  <c r="Q1014" i="1"/>
  <c r="R1014" i="1" s="1"/>
  <c r="U714" i="1"/>
  <c r="V714" i="1" s="1"/>
  <c r="T1010" i="1"/>
  <c r="U1010" i="1" s="1"/>
  <c r="V1010" i="1" s="1"/>
  <c r="Q1009" i="1"/>
  <c r="R1009" i="1" s="1"/>
  <c r="Q1007" i="1"/>
  <c r="R1007" i="1" s="1"/>
  <c r="Q249" i="1"/>
  <c r="R249" i="1" s="1"/>
  <c r="Q709" i="1"/>
  <c r="R709" i="1" s="1"/>
  <c r="Q1005" i="1"/>
  <c r="R1005" i="1" s="1"/>
  <c r="Q711" i="1"/>
  <c r="R711" i="1" s="1"/>
  <c r="Q452" i="1"/>
  <c r="R452" i="1" s="1"/>
  <c r="Q1006" i="1"/>
  <c r="R1006" i="1" s="1"/>
  <c r="S1006" i="1"/>
  <c r="T1006" i="1" s="1"/>
  <c r="U1006" i="1" s="1"/>
  <c r="V1006" i="1" s="1"/>
  <c r="Q1004" i="1"/>
  <c r="R1004" i="1" s="1"/>
  <c r="Q227" i="1"/>
  <c r="R227" i="1" s="1"/>
  <c r="S255" i="1"/>
  <c r="T255" i="1" s="1"/>
  <c r="U255" i="1" s="1"/>
  <c r="V255" i="1" s="1"/>
  <c r="Q253" i="1"/>
  <c r="R253" i="1" s="1"/>
  <c r="Q708" i="1"/>
  <c r="R708" i="1" s="1"/>
  <c r="Q999" i="1"/>
  <c r="R999" i="1" s="1"/>
  <c r="Q967" i="1"/>
  <c r="R967" i="1" s="1"/>
  <c r="A704" i="1"/>
  <c r="N704" i="1"/>
  <c r="O704" i="1" s="1"/>
  <c r="W704" i="1"/>
  <c r="X704" i="1"/>
  <c r="AG704" i="1"/>
  <c r="A703" i="1"/>
  <c r="N703" i="1"/>
  <c r="O703" i="1" s="1"/>
  <c r="S703" i="1" s="1"/>
  <c r="T703" i="1" s="1"/>
  <c r="U703" i="1" s="1"/>
  <c r="V703" i="1" s="1"/>
  <c r="W703" i="1"/>
  <c r="X703" i="1"/>
  <c r="AG703" i="1"/>
  <c r="A998" i="1"/>
  <c r="N998" i="1"/>
  <c r="P998" i="1" s="1"/>
  <c r="W998" i="1"/>
  <c r="X998" i="1"/>
  <c r="AG998" i="1"/>
  <c r="A451" i="1"/>
  <c r="N451" i="1"/>
  <c r="O451" i="1" s="1"/>
  <c r="S451" i="1" s="1"/>
  <c r="T451" i="1" s="1"/>
  <c r="U451" i="1" s="1"/>
  <c r="V451" i="1" s="1"/>
  <c r="W451" i="1"/>
  <c r="X451" i="1"/>
  <c r="AG451" i="1"/>
  <c r="A450" i="1"/>
  <c r="N450" i="1"/>
  <c r="P450" i="1" s="1"/>
  <c r="W450" i="1"/>
  <c r="X450" i="1"/>
  <c r="AG450" i="1"/>
  <c r="A997" i="1"/>
  <c r="N997" i="1"/>
  <c r="O997" i="1" s="1"/>
  <c r="S997" i="1" s="1"/>
  <c r="T997" i="1" s="1"/>
  <c r="U997" i="1" s="1"/>
  <c r="V997" i="1" s="1"/>
  <c r="W997" i="1"/>
  <c r="X997" i="1"/>
  <c r="AG997" i="1"/>
  <c r="A702" i="1"/>
  <c r="N702" i="1"/>
  <c r="O702" i="1" s="1"/>
  <c r="S702" i="1" s="1"/>
  <c r="T702" i="1" s="1"/>
  <c r="U702" i="1" s="1"/>
  <c r="V702" i="1" s="1"/>
  <c r="W702" i="1"/>
  <c r="X702" i="1"/>
  <c r="AG702" i="1"/>
  <c r="A250" i="1"/>
  <c r="W250" i="1"/>
  <c r="X250" i="1"/>
  <c r="AG250" i="1"/>
  <c r="A449" i="1"/>
  <c r="N449" i="1"/>
  <c r="O449" i="1" s="1"/>
  <c r="S449" i="1" s="1"/>
  <c r="T449" i="1" s="1"/>
  <c r="U449" i="1" s="1"/>
  <c r="V449" i="1" s="1"/>
  <c r="W449" i="1"/>
  <c r="X449" i="1"/>
  <c r="AG449" i="1"/>
  <c r="A996" i="1"/>
  <c r="N996" i="1"/>
  <c r="O996" i="1" s="1"/>
  <c r="S996" i="1" s="1"/>
  <c r="T996" i="1" s="1"/>
  <c r="U996" i="1" s="1"/>
  <c r="V996" i="1" s="1"/>
  <c r="W996" i="1"/>
  <c r="X996" i="1"/>
  <c r="AG996" i="1"/>
  <c r="A994" i="1"/>
  <c r="A995" i="1"/>
  <c r="N994" i="1"/>
  <c r="O994" i="1" s="1"/>
  <c r="N995" i="1"/>
  <c r="O995" i="1" s="1"/>
  <c r="W994" i="1"/>
  <c r="W995" i="1"/>
  <c r="X994" i="1"/>
  <c r="X995" i="1"/>
  <c r="AG994" i="1"/>
  <c r="AG995" i="1"/>
  <c r="A993" i="1"/>
  <c r="N993" i="1"/>
  <c r="O993" i="1" s="1"/>
  <c r="W993" i="1"/>
  <c r="X993" i="1"/>
  <c r="AG993" i="1"/>
  <c r="A701" i="1"/>
  <c r="N701" i="1"/>
  <c r="O701" i="1" s="1"/>
  <c r="S701" i="1" s="1"/>
  <c r="T701" i="1" s="1"/>
  <c r="U701" i="1" s="1"/>
  <c r="V701" i="1" s="1"/>
  <c r="W701" i="1"/>
  <c r="X701" i="1"/>
  <c r="AG701" i="1"/>
  <c r="A249" i="1"/>
  <c r="W249" i="1"/>
  <c r="X249" i="1"/>
  <c r="AG249" i="1"/>
  <c r="A700" i="1"/>
  <c r="N700" i="1"/>
  <c r="O700" i="1" s="1"/>
  <c r="S700" i="1" s="1"/>
  <c r="T700" i="1" s="1"/>
  <c r="U700" i="1" s="1"/>
  <c r="V700" i="1" s="1"/>
  <c r="W700" i="1"/>
  <c r="X700" i="1"/>
  <c r="AG700" i="1"/>
  <c r="A448" i="1"/>
  <c r="N448" i="1"/>
  <c r="O448" i="1" s="1"/>
  <c r="S448" i="1" s="1"/>
  <c r="T448" i="1" s="1"/>
  <c r="U448" i="1" s="1"/>
  <c r="V448" i="1" s="1"/>
  <c r="W448" i="1"/>
  <c r="X448" i="1"/>
  <c r="AG448" i="1"/>
  <c r="A248" i="1"/>
  <c r="N248" i="1"/>
  <c r="O248" i="1" s="1"/>
  <c r="W248" i="1"/>
  <c r="X248" i="1"/>
  <c r="AG248" i="1"/>
  <c r="A992" i="1"/>
  <c r="N992" i="1"/>
  <c r="O992" i="1" s="1"/>
  <c r="W992" i="1"/>
  <c r="X992" i="1"/>
  <c r="AG992" i="1"/>
  <c r="A991" i="1"/>
  <c r="N991" i="1"/>
  <c r="O991" i="1" s="1"/>
  <c r="S991" i="1" s="1"/>
  <c r="T991" i="1" s="1"/>
  <c r="U991" i="1" s="1"/>
  <c r="V991" i="1" s="1"/>
  <c r="W991" i="1"/>
  <c r="X991" i="1"/>
  <c r="AG991" i="1"/>
  <c r="A990" i="1"/>
  <c r="W990" i="1"/>
  <c r="X990" i="1"/>
  <c r="AG990" i="1"/>
  <c r="F38" i="9" a="1"/>
  <c r="F38" i="9" s="1"/>
  <c r="A989" i="1"/>
  <c r="N989" i="1"/>
  <c r="O989" i="1" s="1"/>
  <c r="S989" i="1" s="1"/>
  <c r="T989" i="1" s="1"/>
  <c r="U989" i="1" s="1"/>
  <c r="V989" i="1" s="1"/>
  <c r="W989" i="1"/>
  <c r="X989" i="1"/>
  <c r="AG989" i="1"/>
  <c r="A247" i="1"/>
  <c r="N247" i="1"/>
  <c r="P247" i="1" s="1"/>
  <c r="W247" i="1"/>
  <c r="X247" i="1"/>
  <c r="AG247" i="1"/>
  <c r="A246" i="1"/>
  <c r="N246" i="1"/>
  <c r="O246" i="1" s="1"/>
  <c r="S246" i="1" s="1"/>
  <c r="T246" i="1" s="1"/>
  <c r="U246" i="1" s="1"/>
  <c r="V246" i="1" s="1"/>
  <c r="W246" i="1"/>
  <c r="X246" i="1"/>
  <c r="AG246" i="1"/>
  <c r="A245" i="1"/>
  <c r="N245" i="1"/>
  <c r="O245" i="1" s="1"/>
  <c r="S245" i="1" s="1"/>
  <c r="W245" i="1"/>
  <c r="X245" i="1"/>
  <c r="AG245" i="1"/>
  <c r="A699" i="1"/>
  <c r="N699" i="1"/>
  <c r="O699" i="1" s="1"/>
  <c r="S699" i="1" s="1"/>
  <c r="T699" i="1" s="1"/>
  <c r="U699" i="1" s="1"/>
  <c r="V699" i="1" s="1"/>
  <c r="W699" i="1"/>
  <c r="X699" i="1"/>
  <c r="AG699" i="1"/>
  <c r="A698" i="1"/>
  <c r="N698" i="1"/>
  <c r="O698" i="1" s="1"/>
  <c r="S698" i="1" s="1"/>
  <c r="W698" i="1"/>
  <c r="X698" i="1"/>
  <c r="AG698" i="1"/>
  <c r="A447" i="1"/>
  <c r="A697" i="1"/>
  <c r="N447" i="1"/>
  <c r="P447" i="1" s="1"/>
  <c r="N697" i="1"/>
  <c r="O697" i="1" s="1"/>
  <c r="Q697" i="1" s="1"/>
  <c r="R697" i="1" s="1"/>
  <c r="S447" i="1"/>
  <c r="T447" i="1" s="1"/>
  <c r="U447" i="1" s="1"/>
  <c r="V447" i="1" s="1"/>
  <c r="W447" i="1"/>
  <c r="W697" i="1"/>
  <c r="X447" i="1"/>
  <c r="X697" i="1"/>
  <c r="AG447" i="1"/>
  <c r="AG697" i="1"/>
  <c r="A446" i="1"/>
  <c r="N446" i="1"/>
  <c r="O446" i="1" s="1"/>
  <c r="S446" i="1"/>
  <c r="W446" i="1"/>
  <c r="X446" i="1"/>
  <c r="AG446" i="1"/>
  <c r="A696" i="1"/>
  <c r="N696" i="1"/>
  <c r="O696" i="1" s="1"/>
  <c r="S696" i="1" s="1"/>
  <c r="W696" i="1"/>
  <c r="X696" i="1"/>
  <c r="AG696" i="1"/>
  <c r="AG445" i="1"/>
  <c r="X445" i="1"/>
  <c r="W445" i="1"/>
  <c r="S445" i="1"/>
  <c r="N445" i="1"/>
  <c r="Q445" i="1" s="1"/>
  <c r="R445" i="1" s="1"/>
  <c r="A445" i="1"/>
  <c r="A988" i="1"/>
  <c r="N988" i="1"/>
  <c r="O988" i="1" s="1"/>
  <c r="Q988" i="1" s="1"/>
  <c r="R988" i="1" s="1"/>
  <c r="W988" i="1"/>
  <c r="X988" i="1"/>
  <c r="AG988" i="1"/>
  <c r="A695" i="1"/>
  <c r="N695" i="1"/>
  <c r="O695" i="1" s="1"/>
  <c r="W695" i="1"/>
  <c r="X695" i="1"/>
  <c r="AG695" i="1"/>
  <c r="A694" i="1"/>
  <c r="A244" i="1"/>
  <c r="N694" i="1"/>
  <c r="O694" i="1" s="1"/>
  <c r="S694" i="1" s="1"/>
  <c r="T694" i="1" s="1"/>
  <c r="U694" i="1" s="1"/>
  <c r="V694" i="1" s="1"/>
  <c r="N244" i="1"/>
  <c r="O244" i="1" s="1"/>
  <c r="S244" i="1" s="1"/>
  <c r="T244" i="1" s="1"/>
  <c r="U244" i="1" s="1"/>
  <c r="V244" i="1" s="1"/>
  <c r="W694" i="1"/>
  <c r="W244" i="1"/>
  <c r="X694" i="1"/>
  <c r="X244" i="1"/>
  <c r="AG694" i="1"/>
  <c r="AG244" i="1"/>
  <c r="A987" i="1"/>
  <c r="N987" i="1"/>
  <c r="O987" i="1" s="1"/>
  <c r="S987" i="1" s="1"/>
  <c r="T987" i="1" s="1"/>
  <c r="U987" i="1" s="1"/>
  <c r="V987" i="1" s="1"/>
  <c r="W987" i="1"/>
  <c r="X987" i="1"/>
  <c r="AG987" i="1"/>
  <c r="AG243" i="1"/>
  <c r="A243" i="1"/>
  <c r="N243" i="1"/>
  <c r="O243" i="1" s="1"/>
  <c r="S243" i="1" s="1"/>
  <c r="T243" i="1" s="1"/>
  <c r="U243" i="1" s="1"/>
  <c r="V243" i="1" s="1"/>
  <c r="W243" i="1"/>
  <c r="X243" i="1"/>
  <c r="A693" i="1"/>
  <c r="N693" i="1"/>
  <c r="O693" i="1" s="1"/>
  <c r="S693" i="1"/>
  <c r="T693" i="1" s="1"/>
  <c r="U693" i="1" s="1"/>
  <c r="V693" i="1" s="1"/>
  <c r="W693" i="1"/>
  <c r="X693" i="1"/>
  <c r="AG693" i="1"/>
  <c r="A692" i="1"/>
  <c r="N692" i="1"/>
  <c r="O692" i="1" s="1"/>
  <c r="S692" i="1" s="1"/>
  <c r="W692" i="1"/>
  <c r="X692" i="1"/>
  <c r="AG692" i="1"/>
  <c r="N238" i="1"/>
  <c r="A691" i="1"/>
  <c r="N691" i="1"/>
  <c r="O691" i="1" s="1"/>
  <c r="S691" i="1" s="1"/>
  <c r="W691" i="1"/>
  <c r="X691" i="1"/>
  <c r="AG691" i="1"/>
  <c r="A986" i="1"/>
  <c r="N986" i="1"/>
  <c r="O986" i="1" s="1"/>
  <c r="S986" i="1" s="1"/>
  <c r="W986" i="1"/>
  <c r="X986" i="1"/>
  <c r="AG986" i="1"/>
  <c r="G45" i="6"/>
  <c r="K45" i="6" a="1"/>
  <c r="K45" i="6" s="1"/>
  <c r="L45" i="6" s="1" a="1"/>
  <c r="L45" i="6" s="1"/>
  <c r="J45" i="6" s="1"/>
  <c r="A242" i="1"/>
  <c r="N242" i="1"/>
  <c r="O242" i="1" s="1"/>
  <c r="Q242" i="1" s="1"/>
  <c r="R242" i="1" s="1"/>
  <c r="W242" i="1"/>
  <c r="X242" i="1"/>
  <c r="AG242" i="1"/>
  <c r="A241" i="1"/>
  <c r="A985" i="1"/>
  <c r="N241" i="1"/>
  <c r="P241" i="1" s="1"/>
  <c r="N985" i="1"/>
  <c r="P985" i="1" s="1"/>
  <c r="W241" i="1"/>
  <c r="W985" i="1"/>
  <c r="X241" i="1"/>
  <c r="X985" i="1"/>
  <c r="AG241" i="1"/>
  <c r="AG985" i="1"/>
  <c r="A240" i="1"/>
  <c r="N240" i="1"/>
  <c r="O240" i="1" s="1"/>
  <c r="S240" i="1" s="1"/>
  <c r="T240" i="1" s="1"/>
  <c r="U240" i="1" s="1"/>
  <c r="V240" i="1" s="1"/>
  <c r="W240" i="1"/>
  <c r="X240" i="1"/>
  <c r="AG240" i="1"/>
  <c r="A239" i="1"/>
  <c r="N239" i="1"/>
  <c r="O239" i="1" s="1"/>
  <c r="W239" i="1"/>
  <c r="X239" i="1"/>
  <c r="AG239" i="1"/>
  <c r="A238" i="1"/>
  <c r="W238" i="1"/>
  <c r="X238" i="1"/>
  <c r="AG238" i="1"/>
  <c r="N976" i="1"/>
  <c r="O976" i="1" s="1"/>
  <c r="S976" i="1"/>
  <c r="T976" i="1" s="1"/>
  <c r="U976" i="1" s="1"/>
  <c r="V976" i="1" s="1"/>
  <c r="A984" i="1"/>
  <c r="N984" i="1"/>
  <c r="O984" i="1" s="1"/>
  <c r="S984" i="1" s="1"/>
  <c r="T984" i="1" s="1"/>
  <c r="U984" i="1" s="1"/>
  <c r="V984" i="1" s="1"/>
  <c r="W984" i="1"/>
  <c r="X984" i="1"/>
  <c r="AG984" i="1"/>
  <c r="A983" i="1"/>
  <c r="N983" i="1"/>
  <c r="O983" i="1" s="1"/>
  <c r="W983" i="1"/>
  <c r="X983" i="1"/>
  <c r="AG983" i="1"/>
  <c r="A690" i="1"/>
  <c r="N690" i="1"/>
  <c r="O690" i="1" s="1"/>
  <c r="Q690" i="1" s="1"/>
  <c r="R690" i="1" s="1"/>
  <c r="W690" i="1"/>
  <c r="X690" i="1"/>
  <c r="AG690" i="1"/>
  <c r="A982" i="1"/>
  <c r="N982" i="1"/>
  <c r="O982" i="1" s="1"/>
  <c r="S982" i="1" s="1"/>
  <c r="T982" i="1" s="1"/>
  <c r="U982" i="1" s="1"/>
  <c r="V982" i="1" s="1"/>
  <c r="W982" i="1"/>
  <c r="X982" i="1"/>
  <c r="AG982" i="1"/>
  <c r="A981" i="1"/>
  <c r="N981" i="1"/>
  <c r="O981" i="1" s="1"/>
  <c r="Q981" i="1" s="1"/>
  <c r="R981" i="1" s="1"/>
  <c r="W981" i="1"/>
  <c r="X981" i="1"/>
  <c r="AG981" i="1"/>
  <c r="A980" i="1"/>
  <c r="N980" i="1"/>
  <c r="O980" i="1" s="1"/>
  <c r="S980" i="1" s="1"/>
  <c r="T980" i="1" s="1"/>
  <c r="U980" i="1" s="1"/>
  <c r="V980" i="1" s="1"/>
  <c r="W980" i="1"/>
  <c r="X980" i="1"/>
  <c r="AG980" i="1"/>
  <c r="A237" i="1"/>
  <c r="N237" i="1"/>
  <c r="O237" i="1" s="1"/>
  <c r="S237" i="1" s="1"/>
  <c r="T237" i="1" s="1"/>
  <c r="U237" i="1" s="1"/>
  <c r="V237" i="1" s="1"/>
  <c r="W237" i="1"/>
  <c r="X237" i="1"/>
  <c r="AG237" i="1"/>
  <c r="A979" i="1"/>
  <c r="N979" i="1"/>
  <c r="O979" i="1" s="1"/>
  <c r="S979" i="1" s="1"/>
  <c r="T979" i="1" s="1"/>
  <c r="U979" i="1" s="1"/>
  <c r="V979" i="1" s="1"/>
  <c r="W979" i="1"/>
  <c r="X979" i="1"/>
  <c r="AG979" i="1"/>
  <c r="A689" i="1"/>
  <c r="N689" i="1"/>
  <c r="O689" i="1" s="1"/>
  <c r="W689" i="1"/>
  <c r="X689" i="1"/>
  <c r="AG689" i="1"/>
  <c r="A236" i="1"/>
  <c r="N236" i="1"/>
  <c r="O236" i="1" s="1"/>
  <c r="S236" i="1" s="1"/>
  <c r="W236" i="1"/>
  <c r="X236" i="1"/>
  <c r="AG236" i="1"/>
  <c r="A688" i="1"/>
  <c r="N688" i="1"/>
  <c r="O688" i="1" s="1"/>
  <c r="W688" i="1"/>
  <c r="X688" i="1"/>
  <c r="AG688" i="1"/>
  <c r="A978" i="1"/>
  <c r="N978" i="1"/>
  <c r="P978" i="1" s="1"/>
  <c r="W978" i="1"/>
  <c r="X978" i="1"/>
  <c r="AG978" i="1"/>
  <c r="A977" i="1"/>
  <c r="N977" i="1"/>
  <c r="P977" i="1" s="1"/>
  <c r="W977" i="1"/>
  <c r="X977" i="1"/>
  <c r="AG977" i="1"/>
  <c r="A976" i="1"/>
  <c r="W976" i="1"/>
  <c r="X976" i="1"/>
  <c r="AG976" i="1"/>
  <c r="A975" i="1"/>
  <c r="N975" i="1"/>
  <c r="O975" i="1" s="1"/>
  <c r="S975" i="1" s="1"/>
  <c r="T975" i="1" s="1"/>
  <c r="U975" i="1" s="1"/>
  <c r="V975" i="1" s="1"/>
  <c r="W975" i="1"/>
  <c r="X975" i="1"/>
  <c r="AG975" i="1"/>
  <c r="A235" i="1"/>
  <c r="N235" i="1"/>
  <c r="O235" i="1" s="1"/>
  <c r="S235" i="1" s="1"/>
  <c r="W235" i="1"/>
  <c r="X235" i="1"/>
  <c r="AG235" i="1"/>
  <c r="A234" i="1"/>
  <c r="N234" i="1"/>
  <c r="O234" i="1" s="1"/>
  <c r="S234" i="1" s="1"/>
  <c r="W234" i="1"/>
  <c r="X234" i="1"/>
  <c r="AG234" i="1"/>
  <c r="A687" i="1"/>
  <c r="N687" i="1"/>
  <c r="O687" i="1" s="1"/>
  <c r="Q687" i="1" s="1"/>
  <c r="R687" i="1" s="1"/>
  <c r="W687" i="1"/>
  <c r="X687" i="1"/>
  <c r="AG687" i="1"/>
  <c r="A974" i="1"/>
  <c r="N974" i="1"/>
  <c r="O974" i="1" s="1"/>
  <c r="S974" i="1" s="1"/>
  <c r="W974" i="1"/>
  <c r="X974" i="1"/>
  <c r="AG974" i="1"/>
  <c r="A973" i="1"/>
  <c r="N973" i="1"/>
  <c r="O973" i="1" s="1"/>
  <c r="S973" i="1" s="1"/>
  <c r="T973" i="1" s="1"/>
  <c r="U973" i="1" s="1"/>
  <c r="V973" i="1" s="1"/>
  <c r="W973" i="1"/>
  <c r="X973" i="1"/>
  <c r="AG973" i="1"/>
  <c r="A233" i="1"/>
  <c r="N233" i="1"/>
  <c r="O233" i="1" s="1"/>
  <c r="W233" i="1"/>
  <c r="X233" i="1"/>
  <c r="AG233" i="1"/>
  <c r="A232" i="1"/>
  <c r="N232" i="1"/>
  <c r="O232" i="1" s="1"/>
  <c r="W232" i="1"/>
  <c r="X232" i="1"/>
  <c r="AG232" i="1"/>
  <c r="A686" i="1"/>
  <c r="N686" i="1"/>
  <c r="O686" i="1" s="1"/>
  <c r="S686" i="1" s="1"/>
  <c r="W686" i="1"/>
  <c r="X686" i="1"/>
  <c r="AG686" i="1"/>
  <c r="A972" i="1"/>
  <c r="N972" i="1"/>
  <c r="P972" i="1" s="1"/>
  <c r="W972" i="1"/>
  <c r="X972" i="1"/>
  <c r="AG972" i="1"/>
  <c r="A685" i="1"/>
  <c r="N685" i="1"/>
  <c r="O685" i="1" s="1"/>
  <c r="S685" i="1" s="1"/>
  <c r="T685" i="1" s="1"/>
  <c r="U685" i="1" s="1"/>
  <c r="V685" i="1" s="1"/>
  <c r="W685" i="1"/>
  <c r="X685" i="1"/>
  <c r="AG685" i="1"/>
  <c r="A231" i="1"/>
  <c r="N231" i="1"/>
  <c r="O231" i="1" s="1"/>
  <c r="S231" i="1" s="1"/>
  <c r="W231" i="1"/>
  <c r="X231" i="1"/>
  <c r="AG231" i="1"/>
  <c r="A684" i="1"/>
  <c r="N684" i="1"/>
  <c r="O684" i="1" s="1"/>
  <c r="S684" i="1" s="1"/>
  <c r="T684" i="1" s="1"/>
  <c r="U684" i="1" s="1"/>
  <c r="V684" i="1" s="1"/>
  <c r="W684" i="1"/>
  <c r="X684" i="1"/>
  <c r="AG684" i="1"/>
  <c r="A230" i="1"/>
  <c r="N230" i="1"/>
  <c r="O230" i="1" s="1"/>
  <c r="S230" i="1" s="1"/>
  <c r="W230" i="1"/>
  <c r="X230" i="1"/>
  <c r="AG230" i="1"/>
  <c r="G43" i="6"/>
  <c r="G44" i="6"/>
  <c r="K43" i="6" a="1"/>
  <c r="K43" i="6" s="1"/>
  <c r="K44" i="6" a="1"/>
  <c r="K44" i="6" s="1"/>
  <c r="L44" i="6" s="1" a="1"/>
  <c r="L44" i="6" s="1"/>
  <c r="J44" i="6" s="1"/>
  <c r="G42" i="6"/>
  <c r="K42" i="6" a="1"/>
  <c r="K42" i="6" s="1"/>
  <c r="L43" i="6" l="1" a="1"/>
  <c r="L43" i="6" s="1"/>
  <c r="J43" i="6" s="1"/>
  <c r="O998" i="1"/>
  <c r="Q998" i="1" s="1"/>
  <c r="R998" i="1" s="1"/>
  <c r="P704" i="1"/>
  <c r="Q704" i="1"/>
  <c r="R704" i="1" s="1"/>
  <c r="S704" i="1"/>
  <c r="T704" i="1" s="1"/>
  <c r="Q703" i="1"/>
  <c r="R703" i="1" s="1"/>
  <c r="P703" i="1"/>
  <c r="O450" i="1"/>
  <c r="S450" i="1" s="1"/>
  <c r="T450" i="1" s="1"/>
  <c r="U450" i="1" s="1"/>
  <c r="V450" i="1" s="1"/>
  <c r="Q451" i="1"/>
  <c r="R451" i="1" s="1"/>
  <c r="P451" i="1"/>
  <c r="Q997" i="1"/>
  <c r="R997" i="1" s="1"/>
  <c r="P997" i="1"/>
  <c r="Q702" i="1"/>
  <c r="R702" i="1" s="1"/>
  <c r="P702" i="1"/>
  <c r="Q449" i="1"/>
  <c r="R449" i="1" s="1"/>
  <c r="P449" i="1"/>
  <c r="S995" i="1"/>
  <c r="T995" i="1" s="1"/>
  <c r="U995" i="1" s="1"/>
  <c r="V995" i="1" s="1"/>
  <c r="Q995" i="1"/>
  <c r="R995" i="1" s="1"/>
  <c r="P995" i="1"/>
  <c r="P994" i="1"/>
  <c r="Q996" i="1"/>
  <c r="R996" i="1" s="1"/>
  <c r="P996" i="1"/>
  <c r="S994" i="1"/>
  <c r="T994" i="1" s="1"/>
  <c r="U994" i="1" s="1"/>
  <c r="V994" i="1" s="1"/>
  <c r="Q994" i="1"/>
  <c r="R994" i="1" s="1"/>
  <c r="Q993" i="1"/>
  <c r="R993" i="1" s="1"/>
  <c r="S993" i="1"/>
  <c r="T993" i="1" s="1"/>
  <c r="U993" i="1" s="1"/>
  <c r="V993" i="1" s="1"/>
  <c r="P700" i="1"/>
  <c r="P993" i="1"/>
  <c r="Q701" i="1"/>
  <c r="R701" i="1" s="1"/>
  <c r="P701" i="1"/>
  <c r="O247" i="1"/>
  <c r="S247" i="1" s="1"/>
  <c r="T247" i="1" s="1"/>
  <c r="U247" i="1" s="1"/>
  <c r="V247" i="1" s="1"/>
  <c r="Q700" i="1"/>
  <c r="R700" i="1" s="1"/>
  <c r="Q448" i="1"/>
  <c r="R448" i="1" s="1"/>
  <c r="P448" i="1"/>
  <c r="P248" i="1"/>
  <c r="Q248" i="1"/>
  <c r="R248" i="1" s="1"/>
  <c r="S248" i="1"/>
  <c r="T248" i="1" s="1"/>
  <c r="U248" i="1" s="1"/>
  <c r="V248" i="1" s="1"/>
  <c r="Q992" i="1"/>
  <c r="R992" i="1" s="1"/>
  <c r="S992" i="1"/>
  <c r="T992" i="1" s="1"/>
  <c r="U992" i="1" s="1"/>
  <c r="V992" i="1" s="1"/>
  <c r="P992" i="1"/>
  <c r="P991" i="1"/>
  <c r="Q991" i="1"/>
  <c r="R991" i="1" s="1"/>
  <c r="P989" i="1"/>
  <c r="P246" i="1"/>
  <c r="Q989" i="1"/>
  <c r="R989" i="1" s="1"/>
  <c r="Q246" i="1"/>
  <c r="R246" i="1" s="1"/>
  <c r="Q245" i="1"/>
  <c r="R245" i="1" s="1"/>
  <c r="P245" i="1"/>
  <c r="Q699" i="1"/>
  <c r="R699" i="1" s="1"/>
  <c r="P699" i="1"/>
  <c r="Q447" i="1"/>
  <c r="R447" i="1" s="1"/>
  <c r="P697" i="1"/>
  <c r="O447" i="1"/>
  <c r="Q698" i="1"/>
  <c r="R698" i="1" s="1"/>
  <c r="P698" i="1"/>
  <c r="S697" i="1"/>
  <c r="T697" i="1" s="1"/>
  <c r="T245" i="1" s="1"/>
  <c r="U245" i="1" s="1"/>
  <c r="V245" i="1" s="1"/>
  <c r="P446" i="1"/>
  <c r="Q446" i="1"/>
  <c r="R446" i="1" s="1"/>
  <c r="Q696" i="1"/>
  <c r="R696" i="1" s="1"/>
  <c r="P696" i="1"/>
  <c r="O445" i="1"/>
  <c r="P445" i="1"/>
  <c r="P695" i="1"/>
  <c r="P988" i="1"/>
  <c r="S988" i="1"/>
  <c r="T988" i="1" s="1"/>
  <c r="U988" i="1" s="1"/>
  <c r="V988" i="1" s="1"/>
  <c r="S695" i="1"/>
  <c r="T695" i="1" s="1"/>
  <c r="U695" i="1" s="1"/>
  <c r="V695" i="1" s="1"/>
  <c r="Q695" i="1"/>
  <c r="R695" i="1" s="1"/>
  <c r="Q244" i="1"/>
  <c r="R244" i="1" s="1"/>
  <c r="Q694" i="1"/>
  <c r="R694" i="1" s="1"/>
  <c r="P244" i="1"/>
  <c r="P694" i="1"/>
  <c r="P987" i="1"/>
  <c r="Q987" i="1"/>
  <c r="R987" i="1" s="1"/>
  <c r="Q243" i="1"/>
  <c r="R243" i="1" s="1"/>
  <c r="P243" i="1"/>
  <c r="Q693" i="1"/>
  <c r="R693" i="1" s="1"/>
  <c r="P693" i="1"/>
  <c r="Q692" i="1"/>
  <c r="R692" i="1" s="1"/>
  <c r="P692" i="1"/>
  <c r="P691" i="1"/>
  <c r="O238" i="1"/>
  <c r="S238" i="1" s="1"/>
  <c r="T238" i="1" s="1"/>
  <c r="U238" i="1" s="1"/>
  <c r="V238" i="1" s="1"/>
  <c r="P238" i="1"/>
  <c r="Q691" i="1"/>
  <c r="R691" i="1" s="1"/>
  <c r="O985" i="1"/>
  <c r="Q985" i="1" s="1"/>
  <c r="R985" i="1" s="1"/>
  <c r="Q986" i="1"/>
  <c r="R986" i="1" s="1"/>
  <c r="P986" i="1"/>
  <c r="L42" i="6" a="1"/>
  <c r="L42" i="6" s="1"/>
  <c r="J42" i="6" s="1"/>
  <c r="P242" i="1"/>
  <c r="O241" i="1"/>
  <c r="S241" i="1" s="1"/>
  <c r="T241" i="1" s="1"/>
  <c r="U241" i="1" s="1"/>
  <c r="V241" i="1" s="1"/>
  <c r="P239" i="1"/>
  <c r="S242" i="1"/>
  <c r="T242" i="1" s="1"/>
  <c r="Q240" i="1"/>
  <c r="R240" i="1" s="1"/>
  <c r="P240" i="1"/>
  <c r="S239" i="1"/>
  <c r="T239" i="1" s="1"/>
  <c r="U239" i="1" s="1"/>
  <c r="V239" i="1" s="1"/>
  <c r="Q239" i="1"/>
  <c r="R239" i="1" s="1"/>
  <c r="P981" i="1"/>
  <c r="Q976" i="1"/>
  <c r="R976" i="1" s="1"/>
  <c r="P976" i="1"/>
  <c r="P984" i="1"/>
  <c r="Q984" i="1"/>
  <c r="R984" i="1" s="1"/>
  <c r="Q983" i="1"/>
  <c r="R983" i="1" s="1"/>
  <c r="S983" i="1"/>
  <c r="T983" i="1" s="1"/>
  <c r="U983" i="1" s="1"/>
  <c r="V983" i="1" s="1"/>
  <c r="P983" i="1"/>
  <c r="S690" i="1"/>
  <c r="T690" i="1" s="1"/>
  <c r="U690" i="1" s="1"/>
  <c r="V690" i="1" s="1"/>
  <c r="P690" i="1"/>
  <c r="P982" i="1"/>
  <c r="Q982" i="1"/>
  <c r="R982" i="1" s="1"/>
  <c r="S981" i="1"/>
  <c r="T981" i="1" s="1"/>
  <c r="U981" i="1" s="1"/>
  <c r="V981" i="1" s="1"/>
  <c r="Q980" i="1"/>
  <c r="R980" i="1" s="1"/>
  <c r="P980" i="1"/>
  <c r="Q237" i="1"/>
  <c r="R237" i="1" s="1"/>
  <c r="P237" i="1"/>
  <c r="Q979" i="1"/>
  <c r="R979" i="1" s="1"/>
  <c r="P979" i="1"/>
  <c r="S689" i="1"/>
  <c r="T689" i="1" s="1"/>
  <c r="U689" i="1" s="1"/>
  <c r="V689" i="1" s="1"/>
  <c r="Q689" i="1"/>
  <c r="R689" i="1" s="1"/>
  <c r="P689" i="1"/>
  <c r="Q236" i="1"/>
  <c r="R236" i="1" s="1"/>
  <c r="P236" i="1"/>
  <c r="O978" i="1"/>
  <c r="Q978" i="1" s="1"/>
  <c r="R978" i="1" s="1"/>
  <c r="P688" i="1"/>
  <c r="S688" i="1"/>
  <c r="T688" i="1" s="1"/>
  <c r="Q688" i="1"/>
  <c r="R688" i="1" s="1"/>
  <c r="O977" i="1"/>
  <c r="Q975" i="1"/>
  <c r="R975" i="1" s="1"/>
  <c r="P975" i="1"/>
  <c r="Q235" i="1"/>
  <c r="R235" i="1" s="1"/>
  <c r="P235" i="1"/>
  <c r="Q234" i="1"/>
  <c r="R234" i="1" s="1"/>
  <c r="P234" i="1"/>
  <c r="P687" i="1"/>
  <c r="S687" i="1"/>
  <c r="T687" i="1" s="1"/>
  <c r="U687" i="1" s="1"/>
  <c r="V687" i="1" s="1"/>
  <c r="P233" i="1"/>
  <c r="T974" i="1"/>
  <c r="Q974" i="1"/>
  <c r="R974" i="1" s="1"/>
  <c r="P974" i="1"/>
  <c r="P973" i="1"/>
  <c r="Q973" i="1"/>
  <c r="R973" i="1" s="1"/>
  <c r="Q233" i="1"/>
  <c r="R233" i="1" s="1"/>
  <c r="S233" i="1"/>
  <c r="T233" i="1" s="1"/>
  <c r="U233" i="1" s="1"/>
  <c r="V233" i="1" s="1"/>
  <c r="Q232" i="1"/>
  <c r="R232" i="1" s="1"/>
  <c r="S232" i="1"/>
  <c r="T232" i="1" s="1"/>
  <c r="U232" i="1" s="1"/>
  <c r="V232" i="1" s="1"/>
  <c r="P232" i="1"/>
  <c r="P686" i="1"/>
  <c r="Q686" i="1"/>
  <c r="R686" i="1" s="1"/>
  <c r="P685" i="1"/>
  <c r="O972" i="1"/>
  <c r="S972" i="1" s="1"/>
  <c r="T972" i="1" s="1"/>
  <c r="Q685" i="1"/>
  <c r="R685" i="1" s="1"/>
  <c r="Q231" i="1"/>
  <c r="R231" i="1" s="1"/>
  <c r="P231" i="1"/>
  <c r="T231" i="1"/>
  <c r="U231" i="1" s="1"/>
  <c r="V231" i="1" s="1"/>
  <c r="P684" i="1"/>
  <c r="Q684" i="1"/>
  <c r="R684" i="1" s="1"/>
  <c r="Q230" i="1"/>
  <c r="R230" i="1" s="1"/>
  <c r="P230" i="1"/>
  <c r="F27" i="9" a="1"/>
  <c r="F27" i="9" s="1"/>
  <c r="A971" i="1"/>
  <c r="N971" i="1"/>
  <c r="P971" i="1" s="1"/>
  <c r="W971" i="1"/>
  <c r="X971" i="1"/>
  <c r="AG971" i="1"/>
  <c r="A970" i="1"/>
  <c r="N970" i="1"/>
  <c r="O970" i="1" s="1"/>
  <c r="Q970" i="1" s="1"/>
  <c r="R970" i="1" s="1"/>
  <c r="S970" i="1"/>
  <c r="T970" i="1" s="1"/>
  <c r="U970" i="1" s="1"/>
  <c r="V970" i="1" s="1"/>
  <c r="W970" i="1"/>
  <c r="X970" i="1"/>
  <c r="AG970" i="1"/>
  <c r="A969" i="1"/>
  <c r="N969" i="1"/>
  <c r="P969" i="1" s="1"/>
  <c r="W969" i="1"/>
  <c r="X969" i="1"/>
  <c r="AG969" i="1"/>
  <c r="A229" i="1"/>
  <c r="N229" i="1"/>
  <c r="O229" i="1" s="1"/>
  <c r="S229" i="1" s="1"/>
  <c r="T229" i="1" s="1"/>
  <c r="U229" i="1" s="1"/>
  <c r="V229" i="1" s="1"/>
  <c r="W229" i="1"/>
  <c r="X229" i="1"/>
  <c r="AG229" i="1"/>
  <c r="A228" i="1"/>
  <c r="N228" i="1"/>
  <c r="P228" i="1" s="1"/>
  <c r="W228" i="1"/>
  <c r="X228" i="1"/>
  <c r="AG228" i="1"/>
  <c r="A683" i="1"/>
  <c r="N683" i="1"/>
  <c r="O683" i="1" s="1"/>
  <c r="S683" i="1" s="1"/>
  <c r="W683" i="1"/>
  <c r="X683" i="1"/>
  <c r="AG683" i="1"/>
  <c r="F5" i="9" a="1"/>
  <c r="F5" i="9" s="1"/>
  <c r="F16" i="9" a="1"/>
  <c r="F16" i="9" s="1"/>
  <c r="A681" i="1"/>
  <c r="A682" i="1"/>
  <c r="N681" i="1"/>
  <c r="O681" i="1" s="1"/>
  <c r="S681" i="1" s="1"/>
  <c r="N682" i="1"/>
  <c r="O682" i="1" s="1"/>
  <c r="S682" i="1" s="1"/>
  <c r="W681" i="1"/>
  <c r="W682" i="1"/>
  <c r="X681" i="1"/>
  <c r="X682" i="1"/>
  <c r="AG681" i="1"/>
  <c r="AG682" i="1"/>
  <c r="A680" i="1"/>
  <c r="N680" i="1"/>
  <c r="P680" i="1" s="1"/>
  <c r="S680" i="1"/>
  <c r="W680" i="1"/>
  <c r="X680" i="1"/>
  <c r="AG680" i="1"/>
  <c r="A444" i="1"/>
  <c r="N444" i="1"/>
  <c r="Q444" i="1" s="1"/>
  <c r="R444" i="1" s="1"/>
  <c r="S444" i="1"/>
  <c r="W444" i="1"/>
  <c r="X444" i="1"/>
  <c r="AG444" i="1"/>
  <c r="A227" i="1"/>
  <c r="W227" i="1"/>
  <c r="X227" i="1"/>
  <c r="AG227" i="1"/>
  <c r="A443" i="1"/>
  <c r="W443" i="1"/>
  <c r="X443" i="1"/>
  <c r="AG443" i="1"/>
  <c r="A968" i="1"/>
  <c r="N968" i="1"/>
  <c r="O968" i="1" s="1"/>
  <c r="S968" i="1"/>
  <c r="W968" i="1"/>
  <c r="X968" i="1"/>
  <c r="AG968" i="1"/>
  <c r="A678" i="1"/>
  <c r="N678" i="1"/>
  <c r="O678" i="1" s="1"/>
  <c r="S678" i="1" s="1"/>
  <c r="W678" i="1"/>
  <c r="X678" i="1"/>
  <c r="AG678" i="1"/>
  <c r="A225" i="1"/>
  <c r="N225" i="1"/>
  <c r="O225" i="1" s="1"/>
  <c r="Q225" i="1" s="1"/>
  <c r="R225" i="1" s="1"/>
  <c r="W225" i="1"/>
  <c r="X225" i="1"/>
  <c r="AG225" i="1"/>
  <c r="A224" i="1"/>
  <c r="N224" i="1"/>
  <c r="O224" i="1" s="1"/>
  <c r="W224" i="1"/>
  <c r="X224" i="1"/>
  <c r="AG224" i="1"/>
  <c r="A223" i="1"/>
  <c r="N223" i="1"/>
  <c r="O223" i="1" s="1"/>
  <c r="S223" i="1"/>
  <c r="W223" i="1"/>
  <c r="X223" i="1"/>
  <c r="AG223" i="1"/>
  <c r="A222" i="1"/>
  <c r="N222" i="1"/>
  <c r="O222" i="1" s="1"/>
  <c r="W222" i="1"/>
  <c r="X222" i="1"/>
  <c r="AG222" i="1"/>
  <c r="A221" i="1"/>
  <c r="N221" i="1"/>
  <c r="O221" i="1" s="1"/>
  <c r="S221" i="1" s="1"/>
  <c r="T221" i="1" s="1"/>
  <c r="U221" i="1" s="1"/>
  <c r="V221" i="1" s="1"/>
  <c r="W221" i="1"/>
  <c r="X221" i="1"/>
  <c r="AG221" i="1"/>
  <c r="A220" i="1"/>
  <c r="N220" i="1"/>
  <c r="O220" i="1" s="1"/>
  <c r="S220" i="1" s="1"/>
  <c r="T220" i="1" s="1"/>
  <c r="U220" i="1" s="1"/>
  <c r="V220" i="1" s="1"/>
  <c r="W220" i="1"/>
  <c r="X220" i="1"/>
  <c r="AG220" i="1"/>
  <c r="A676" i="1"/>
  <c r="N676" i="1"/>
  <c r="O676" i="1" s="1"/>
  <c r="W676" i="1"/>
  <c r="X676" i="1"/>
  <c r="AG676" i="1"/>
  <c r="A219" i="1"/>
  <c r="N219" i="1"/>
  <c r="O219" i="1" s="1"/>
  <c r="S219" i="1" s="1"/>
  <c r="T219" i="1" s="1"/>
  <c r="U219" i="1" s="1"/>
  <c r="V219" i="1" s="1"/>
  <c r="W219" i="1"/>
  <c r="X219" i="1"/>
  <c r="AG219" i="1"/>
  <c r="A675" i="1"/>
  <c r="N675" i="1"/>
  <c r="O675" i="1" s="1"/>
  <c r="S675" i="1" s="1"/>
  <c r="T675" i="1" s="1"/>
  <c r="U675" i="1" s="1"/>
  <c r="V675" i="1" s="1"/>
  <c r="W675" i="1"/>
  <c r="X675" i="1"/>
  <c r="AG675" i="1"/>
  <c r="A218" i="1"/>
  <c r="N218" i="1"/>
  <c r="O218" i="1" s="1"/>
  <c r="S218" i="1" s="1"/>
  <c r="T218" i="1" s="1"/>
  <c r="U218" i="1" s="1"/>
  <c r="V218" i="1" s="1"/>
  <c r="W218" i="1"/>
  <c r="X218" i="1"/>
  <c r="AG218" i="1"/>
  <c r="A217" i="1"/>
  <c r="N217" i="1"/>
  <c r="P217" i="1" s="1"/>
  <c r="W217" i="1"/>
  <c r="X217" i="1"/>
  <c r="AG217" i="1"/>
  <c r="A967" i="1"/>
  <c r="W967" i="1"/>
  <c r="X967" i="1"/>
  <c r="AG967" i="1"/>
  <c r="A216" i="1"/>
  <c r="N216" i="1"/>
  <c r="P216" i="1" s="1"/>
  <c r="W216" i="1"/>
  <c r="X216" i="1"/>
  <c r="AG216" i="1"/>
  <c r="E7" i="11" a="1"/>
  <c r="E7" i="11" s="1"/>
  <c r="J7" i="11" s="1" a="1"/>
  <c r="J7" i="11" s="1"/>
  <c r="N40" i="1"/>
  <c r="P40" i="1" s="1"/>
  <c r="A39" i="1"/>
  <c r="N39" i="1"/>
  <c r="Q39" i="1" s="1"/>
  <c r="R39" i="1" s="1"/>
  <c r="S39" i="1"/>
  <c r="W39" i="1"/>
  <c r="X39" i="1"/>
  <c r="AG39" i="1"/>
  <c r="U704" i="1" l="1"/>
  <c r="V704" i="1" s="1"/>
  <c r="S998" i="1"/>
  <c r="T998" i="1" s="1"/>
  <c r="U998" i="1" s="1"/>
  <c r="V998" i="1" s="1"/>
  <c r="Q450" i="1"/>
  <c r="R450" i="1" s="1"/>
  <c r="Q247" i="1"/>
  <c r="R247" i="1" s="1"/>
  <c r="U697" i="1"/>
  <c r="V697" i="1" s="1"/>
  <c r="T698" i="1"/>
  <c r="U698" i="1" s="1"/>
  <c r="V698" i="1" s="1"/>
  <c r="T445" i="1"/>
  <c r="Q238" i="1"/>
  <c r="R238" i="1" s="1"/>
  <c r="S985" i="1"/>
  <c r="T985" i="1" s="1"/>
  <c r="U985" i="1" s="1"/>
  <c r="V985" i="1" s="1"/>
  <c r="U242" i="1"/>
  <c r="V242" i="1" s="1"/>
  <c r="T986" i="1"/>
  <c r="Q241" i="1"/>
  <c r="R241" i="1" s="1"/>
  <c r="S978" i="1"/>
  <c r="T978" i="1" s="1"/>
  <c r="U978" i="1" s="1"/>
  <c r="V978" i="1" s="1"/>
  <c r="U688" i="1"/>
  <c r="V688" i="1" s="1"/>
  <c r="T236" i="1"/>
  <c r="U236" i="1" s="1"/>
  <c r="V236" i="1" s="1"/>
  <c r="Q977" i="1"/>
  <c r="R977" i="1" s="1"/>
  <c r="S977" i="1"/>
  <c r="T977" i="1" s="1"/>
  <c r="U977" i="1" s="1"/>
  <c r="V977" i="1" s="1"/>
  <c r="U974" i="1"/>
  <c r="V974" i="1" s="1"/>
  <c r="T234" i="1"/>
  <c r="U972" i="1"/>
  <c r="V972" i="1" s="1"/>
  <c r="T686" i="1"/>
  <c r="U686" i="1" s="1"/>
  <c r="V686" i="1" s="1"/>
  <c r="Q972" i="1"/>
  <c r="R972" i="1" s="1"/>
  <c r="O971" i="1"/>
  <c r="S971" i="1" s="1"/>
  <c r="T971" i="1" s="1"/>
  <c r="Q683" i="1"/>
  <c r="R683" i="1" s="1"/>
  <c r="P683" i="1"/>
  <c r="P970" i="1"/>
  <c r="O969" i="1"/>
  <c r="S969" i="1" s="1"/>
  <c r="T969" i="1" s="1"/>
  <c r="U969" i="1" s="1"/>
  <c r="V969" i="1" s="1"/>
  <c r="O228" i="1"/>
  <c r="S228" i="1" s="1"/>
  <c r="T228" i="1" s="1"/>
  <c r="U228" i="1" s="1"/>
  <c r="V228" i="1" s="1"/>
  <c r="Q229" i="1"/>
  <c r="R229" i="1" s="1"/>
  <c r="P229" i="1"/>
  <c r="Q682" i="1"/>
  <c r="R682" i="1" s="1"/>
  <c r="Q681" i="1"/>
  <c r="R681" i="1" s="1"/>
  <c r="P682" i="1"/>
  <c r="P681" i="1"/>
  <c r="P444" i="1"/>
  <c r="O444" i="1"/>
  <c r="O680" i="1"/>
  <c r="Q680" i="1" s="1"/>
  <c r="R680" i="1" s="1"/>
  <c r="Q968" i="1"/>
  <c r="R968" i="1" s="1"/>
  <c r="P968" i="1"/>
  <c r="P224" i="1"/>
  <c r="Q678" i="1"/>
  <c r="R678" i="1" s="1"/>
  <c r="P678" i="1"/>
  <c r="P225" i="1"/>
  <c r="S225" i="1"/>
  <c r="T225" i="1" s="1"/>
  <c r="Q224" i="1"/>
  <c r="R224" i="1" s="1"/>
  <c r="S224" i="1"/>
  <c r="T224" i="1" s="1"/>
  <c r="U224" i="1" s="1"/>
  <c r="V224" i="1" s="1"/>
  <c r="Q223" i="1"/>
  <c r="R223" i="1" s="1"/>
  <c r="P223" i="1"/>
  <c r="P222" i="1"/>
  <c r="S222" i="1"/>
  <c r="T222" i="1" s="1"/>
  <c r="T223" i="1" s="1"/>
  <c r="U223" i="1" s="1"/>
  <c r="V223" i="1" s="1"/>
  <c r="Q222" i="1"/>
  <c r="R222" i="1" s="1"/>
  <c r="Q221" i="1"/>
  <c r="R221" i="1" s="1"/>
  <c r="P221" i="1"/>
  <c r="Q220" i="1"/>
  <c r="R220" i="1" s="1"/>
  <c r="P220" i="1"/>
  <c r="P676" i="1"/>
  <c r="Q676" i="1"/>
  <c r="R676" i="1" s="1"/>
  <c r="S676" i="1"/>
  <c r="T676" i="1" s="1"/>
  <c r="U676" i="1" s="1"/>
  <c r="V676" i="1" s="1"/>
  <c r="Q219" i="1"/>
  <c r="R219" i="1" s="1"/>
  <c r="P219" i="1"/>
  <c r="Q675" i="1"/>
  <c r="R675" i="1" s="1"/>
  <c r="P675" i="1"/>
  <c r="Q218" i="1"/>
  <c r="R218" i="1" s="1"/>
  <c r="P218" i="1"/>
  <c r="O217" i="1"/>
  <c r="S217" i="1" s="1"/>
  <c r="T217" i="1" s="1"/>
  <c r="U217" i="1" s="1"/>
  <c r="V217" i="1" s="1"/>
  <c r="O216" i="1"/>
  <c r="S216" i="1" s="1"/>
  <c r="O39" i="1"/>
  <c r="P39" i="1"/>
  <c r="O40" i="1"/>
  <c r="J11" i="11"/>
  <c r="U445" i="1" l="1"/>
  <c r="V445" i="1" s="1"/>
  <c r="T696" i="1"/>
  <c r="U986" i="1"/>
  <c r="V986" i="1" s="1"/>
  <c r="T691" i="1"/>
  <c r="T692" i="1" s="1"/>
  <c r="U692" i="1" s="1"/>
  <c r="V692" i="1" s="1"/>
  <c r="U234" i="1"/>
  <c r="V234" i="1" s="1"/>
  <c r="T235" i="1"/>
  <c r="U235" i="1" s="1"/>
  <c r="V235" i="1" s="1"/>
  <c r="U971" i="1"/>
  <c r="V971" i="1" s="1"/>
  <c r="T230" i="1"/>
  <c r="U230" i="1" s="1"/>
  <c r="V230" i="1" s="1"/>
  <c r="Q971" i="1"/>
  <c r="R971" i="1" s="1"/>
  <c r="Q969" i="1"/>
  <c r="R969" i="1" s="1"/>
  <c r="Q228" i="1"/>
  <c r="R228" i="1" s="1"/>
  <c r="U225" i="1"/>
  <c r="V225" i="1" s="1"/>
  <c r="T678" i="1"/>
  <c r="U222" i="1"/>
  <c r="V222" i="1" s="1"/>
  <c r="Q217" i="1"/>
  <c r="R217" i="1" s="1"/>
  <c r="Q216" i="1"/>
  <c r="R216" i="1" s="1"/>
  <c r="N11" i="11"/>
  <c r="Q40" i="1"/>
  <c r="R40" i="1" s="1"/>
  <c r="S40" i="1"/>
  <c r="U696" i="1" l="1"/>
  <c r="V696" i="1" s="1"/>
  <c r="T446" i="1"/>
  <c r="U446" i="1" s="1"/>
  <c r="V446" i="1" s="1"/>
  <c r="U691" i="1"/>
  <c r="V691" i="1" s="1"/>
  <c r="U678" i="1"/>
  <c r="V678" i="1" s="1"/>
  <c r="T968" i="1"/>
  <c r="T679" i="1" s="1"/>
  <c r="U679" i="1" s="1"/>
  <c r="V679" i="1" s="1"/>
  <c r="T40" i="1"/>
  <c r="U40" i="1" s="1"/>
  <c r="V40" i="1" s="1"/>
  <c r="U968" i="1" l="1"/>
  <c r="V968" i="1" s="1"/>
  <c r="N214" i="1"/>
  <c r="O214" i="1" s="1"/>
  <c r="S214" i="1" s="1"/>
  <c r="T214" i="1" s="1"/>
  <c r="U214" i="1" s="1"/>
  <c r="V214" i="1" s="1"/>
  <c r="A215" i="1"/>
  <c r="N215" i="1"/>
  <c r="O215" i="1" s="1"/>
  <c r="S215" i="1" s="1"/>
  <c r="T215" i="1" s="1"/>
  <c r="T216" i="1" s="1"/>
  <c r="U216" i="1" s="1"/>
  <c r="V216" i="1" s="1"/>
  <c r="W215" i="1"/>
  <c r="X215" i="1"/>
  <c r="AG215" i="1"/>
  <c r="A668" i="1"/>
  <c r="N668" i="1"/>
  <c r="O668" i="1" s="1"/>
  <c r="S668" i="1" s="1"/>
  <c r="T668" i="1" s="1"/>
  <c r="U668" i="1" s="1"/>
  <c r="V668" i="1" s="1"/>
  <c r="W668" i="1"/>
  <c r="X668" i="1"/>
  <c r="AG668" i="1"/>
  <c r="A667" i="1"/>
  <c r="N667" i="1"/>
  <c r="O667" i="1" s="1"/>
  <c r="W667" i="1"/>
  <c r="X667" i="1"/>
  <c r="AG667" i="1"/>
  <c r="A666" i="1"/>
  <c r="N666" i="1"/>
  <c r="O666" i="1" s="1"/>
  <c r="W666" i="1"/>
  <c r="X666" i="1"/>
  <c r="AG666" i="1"/>
  <c r="A665" i="1"/>
  <c r="N665" i="1"/>
  <c r="O665" i="1" s="1"/>
  <c r="S665" i="1"/>
  <c r="W665" i="1"/>
  <c r="X665" i="1"/>
  <c r="AG665" i="1"/>
  <c r="G41" i="6"/>
  <c r="K41" i="6" a="1"/>
  <c r="K41" i="6" s="1"/>
  <c r="L41" i="6" s="1" a="1"/>
  <c r="L41" i="6" s="1"/>
  <c r="J41" i="6" s="1"/>
  <c r="G40" i="6"/>
  <c r="K40" i="6" a="1"/>
  <c r="K40" i="6" s="1"/>
  <c r="L40" i="6" s="1" a="1"/>
  <c r="L40" i="6" s="1"/>
  <c r="J40" i="6" s="1"/>
  <c r="A960" i="1"/>
  <c r="N960" i="1"/>
  <c r="P960" i="1" s="1"/>
  <c r="W960" i="1"/>
  <c r="X960" i="1"/>
  <c r="AG960" i="1"/>
  <c r="A958" i="1"/>
  <c r="N958" i="1"/>
  <c r="P958" i="1" s="1"/>
  <c r="W958" i="1"/>
  <c r="X958" i="1"/>
  <c r="AG958" i="1"/>
  <c r="A966" i="1"/>
  <c r="N966" i="1"/>
  <c r="O966" i="1" s="1"/>
  <c r="S966" i="1" s="1"/>
  <c r="T966" i="1" s="1"/>
  <c r="U966" i="1" s="1"/>
  <c r="V966" i="1" s="1"/>
  <c r="W966" i="1"/>
  <c r="X966" i="1"/>
  <c r="AG966" i="1"/>
  <c r="A214" i="1"/>
  <c r="W214" i="1"/>
  <c r="X214" i="1"/>
  <c r="AG214" i="1"/>
  <c r="A664" i="1"/>
  <c r="N664" i="1"/>
  <c r="O664" i="1" s="1"/>
  <c r="S664" i="1" s="1"/>
  <c r="T664" i="1" s="1"/>
  <c r="U664" i="1" s="1"/>
  <c r="V664" i="1" s="1"/>
  <c r="W664" i="1"/>
  <c r="X664" i="1"/>
  <c r="AG664" i="1"/>
  <c r="A213" i="1"/>
  <c r="N213" i="1"/>
  <c r="O213" i="1" s="1"/>
  <c r="S213" i="1" s="1"/>
  <c r="W213" i="1"/>
  <c r="X213" i="1"/>
  <c r="AG213" i="1"/>
  <c r="A965" i="1"/>
  <c r="N965" i="1"/>
  <c r="O965" i="1" s="1"/>
  <c r="Q965" i="1" s="1"/>
  <c r="R965" i="1" s="1"/>
  <c r="W965" i="1"/>
  <c r="X965" i="1"/>
  <c r="AG965" i="1"/>
  <c r="A964" i="1"/>
  <c r="W964" i="1"/>
  <c r="X964" i="1"/>
  <c r="AG964" i="1"/>
  <c r="A963" i="1"/>
  <c r="N963" i="1"/>
  <c r="O963" i="1" s="1"/>
  <c r="S963" i="1" s="1"/>
  <c r="T963" i="1" s="1"/>
  <c r="U963" i="1" s="1"/>
  <c r="V963" i="1" s="1"/>
  <c r="W963" i="1"/>
  <c r="X963" i="1"/>
  <c r="AG963" i="1"/>
  <c r="A212" i="1"/>
  <c r="N212" i="1"/>
  <c r="P212" i="1" s="1"/>
  <c r="W212" i="1"/>
  <c r="X212" i="1"/>
  <c r="AG212" i="1"/>
  <c r="U215" i="1" l="1"/>
  <c r="V215" i="1" s="1"/>
  <c r="Q214" i="1"/>
  <c r="R214" i="1" s="1"/>
  <c r="P214" i="1"/>
  <c r="P215" i="1"/>
  <c r="P667" i="1"/>
  <c r="Q215" i="1"/>
  <c r="R215" i="1" s="1"/>
  <c r="Q668" i="1"/>
  <c r="R668" i="1" s="1"/>
  <c r="P668" i="1"/>
  <c r="Q667" i="1"/>
  <c r="R667" i="1" s="1"/>
  <c r="S667" i="1"/>
  <c r="T667" i="1" s="1"/>
  <c r="U667" i="1" s="1"/>
  <c r="V667" i="1" s="1"/>
  <c r="Q666" i="1"/>
  <c r="R666" i="1" s="1"/>
  <c r="S666" i="1"/>
  <c r="T666" i="1" s="1"/>
  <c r="U666" i="1" s="1"/>
  <c r="V666" i="1" s="1"/>
  <c r="P666" i="1"/>
  <c r="Q665" i="1"/>
  <c r="R665" i="1" s="1"/>
  <c r="P665" i="1"/>
  <c r="O960" i="1"/>
  <c r="S960" i="1" s="1"/>
  <c r="T960" i="1" s="1"/>
  <c r="U960" i="1" s="1"/>
  <c r="V960" i="1" s="1"/>
  <c r="O958" i="1"/>
  <c r="S958" i="1" s="1"/>
  <c r="T665" i="1"/>
  <c r="U665" i="1" s="1"/>
  <c r="V665" i="1" s="1"/>
  <c r="P966" i="1"/>
  <c r="Q966" i="1"/>
  <c r="R966" i="1" s="1"/>
  <c r="Q664" i="1"/>
  <c r="R664" i="1" s="1"/>
  <c r="P664" i="1"/>
  <c r="P965" i="1"/>
  <c r="Q213" i="1"/>
  <c r="R213" i="1" s="1"/>
  <c r="P213" i="1"/>
  <c r="S965" i="1"/>
  <c r="T965" i="1" s="1"/>
  <c r="Q963" i="1"/>
  <c r="R963" i="1" s="1"/>
  <c r="P963" i="1"/>
  <c r="O212" i="1"/>
  <c r="S212" i="1" s="1"/>
  <c r="N209" i="1"/>
  <c r="O209" i="1" s="1"/>
  <c r="S209" i="1" s="1"/>
  <c r="T209" i="1" s="1"/>
  <c r="U209" i="1" s="1"/>
  <c r="V209" i="1" s="1"/>
  <c r="A659" i="1"/>
  <c r="N659" i="1"/>
  <c r="O659" i="1" s="1"/>
  <c r="S659" i="1" s="1"/>
  <c r="T659" i="1" s="1"/>
  <c r="U659" i="1" s="1"/>
  <c r="V659" i="1" s="1"/>
  <c r="W659" i="1"/>
  <c r="X659" i="1"/>
  <c r="AG659" i="1"/>
  <c r="A657" i="1"/>
  <c r="N657" i="1"/>
  <c r="O657" i="1" s="1"/>
  <c r="S657" i="1" s="1"/>
  <c r="W657" i="1"/>
  <c r="X657" i="1"/>
  <c r="AG657" i="1"/>
  <c r="A655" i="1"/>
  <c r="N655" i="1"/>
  <c r="O655" i="1" s="1"/>
  <c r="Q655" i="1" s="1"/>
  <c r="R655" i="1" s="1"/>
  <c r="W655" i="1"/>
  <c r="X655" i="1"/>
  <c r="AG655" i="1"/>
  <c r="A961" i="1"/>
  <c r="N961" i="1"/>
  <c r="O961" i="1" s="1"/>
  <c r="S961" i="1" s="1"/>
  <c r="W961" i="1"/>
  <c r="X961" i="1"/>
  <c r="AG961" i="1"/>
  <c r="A663" i="1"/>
  <c r="N663" i="1"/>
  <c r="O663" i="1" s="1"/>
  <c r="W663" i="1"/>
  <c r="X663" i="1"/>
  <c r="AG663" i="1"/>
  <c r="A211" i="1"/>
  <c r="N211" i="1"/>
  <c r="O211" i="1" s="1"/>
  <c r="W211" i="1"/>
  <c r="X211" i="1"/>
  <c r="AG211" i="1"/>
  <c r="A662" i="1"/>
  <c r="N662" i="1"/>
  <c r="O662" i="1" s="1"/>
  <c r="W662" i="1"/>
  <c r="X662" i="1"/>
  <c r="AG662" i="1"/>
  <c r="A962" i="1"/>
  <c r="N962" i="1"/>
  <c r="O962" i="1" s="1"/>
  <c r="W962" i="1"/>
  <c r="X962" i="1"/>
  <c r="AG962" i="1"/>
  <c r="AG210" i="1"/>
  <c r="A210" i="1"/>
  <c r="N210" i="1"/>
  <c r="P210" i="1" s="1"/>
  <c r="W210" i="1"/>
  <c r="X210" i="1"/>
  <c r="A660" i="1"/>
  <c r="N660" i="1"/>
  <c r="O660" i="1" s="1"/>
  <c r="Q660" i="1" s="1"/>
  <c r="R660" i="1" s="1"/>
  <c r="W660" i="1"/>
  <c r="X660" i="1"/>
  <c r="AG660" i="1"/>
  <c r="A209" i="1"/>
  <c r="W209" i="1"/>
  <c r="X209" i="1"/>
  <c r="AG209" i="1"/>
  <c r="A957" i="1"/>
  <c r="N957" i="1"/>
  <c r="O957" i="1" s="1"/>
  <c r="S957" i="1" s="1"/>
  <c r="T957" i="1" s="1"/>
  <c r="U957" i="1" s="1"/>
  <c r="V957" i="1" s="1"/>
  <c r="W957" i="1"/>
  <c r="X957" i="1"/>
  <c r="AG957" i="1"/>
  <c r="A955" i="1"/>
  <c r="N955" i="1"/>
  <c r="O955" i="1" s="1"/>
  <c r="Q955" i="1" s="1"/>
  <c r="R955" i="1" s="1"/>
  <c r="S955" i="1"/>
  <c r="W955" i="1"/>
  <c r="X955" i="1"/>
  <c r="AG955" i="1"/>
  <c r="A954" i="1"/>
  <c r="N954" i="1"/>
  <c r="P954" i="1" s="1"/>
  <c r="W954" i="1"/>
  <c r="X954" i="1"/>
  <c r="AG954" i="1"/>
  <c r="A656" i="1"/>
  <c r="N656" i="1"/>
  <c r="O656" i="1" s="1"/>
  <c r="Q656" i="1" s="1"/>
  <c r="R656" i="1" s="1"/>
  <c r="W656" i="1"/>
  <c r="X656" i="1"/>
  <c r="AG656" i="1"/>
  <c r="A208" i="1"/>
  <c r="N208" i="1"/>
  <c r="P208" i="1" s="1"/>
  <c r="W208" i="1"/>
  <c r="X208" i="1"/>
  <c r="AG208" i="1"/>
  <c r="A207" i="1"/>
  <c r="A653" i="1"/>
  <c r="N207" i="1"/>
  <c r="P207" i="1" s="1"/>
  <c r="N653" i="1"/>
  <c r="O653" i="1" s="1"/>
  <c r="W207" i="1"/>
  <c r="W653" i="1"/>
  <c r="X207" i="1"/>
  <c r="X653" i="1"/>
  <c r="AG207" i="1"/>
  <c r="AG653" i="1"/>
  <c r="A206" i="1"/>
  <c r="N206" i="1"/>
  <c r="W206" i="1"/>
  <c r="X206" i="1"/>
  <c r="AG206" i="1"/>
  <c r="A652" i="1"/>
  <c r="N652" i="1"/>
  <c r="O652" i="1" s="1"/>
  <c r="W652" i="1"/>
  <c r="X652" i="1"/>
  <c r="AG652" i="1"/>
  <c r="A651" i="1"/>
  <c r="N651" i="1"/>
  <c r="O651" i="1" s="1"/>
  <c r="S651" i="1" s="1"/>
  <c r="W651" i="1"/>
  <c r="X651" i="1"/>
  <c r="AG651" i="1"/>
  <c r="A953" i="1"/>
  <c r="N953" i="1"/>
  <c r="O953" i="1" s="1"/>
  <c r="Q953" i="1" s="1"/>
  <c r="R953" i="1" s="1"/>
  <c r="W953" i="1"/>
  <c r="X953" i="1"/>
  <c r="AG953" i="1"/>
  <c r="A205" i="1"/>
  <c r="W205" i="1"/>
  <c r="X205" i="1"/>
  <c r="AG205" i="1"/>
  <c r="S626" i="1"/>
  <c r="N626" i="1"/>
  <c r="O626" i="1" s="1"/>
  <c r="AG625" i="1"/>
  <c r="A625" i="1"/>
  <c r="N625" i="1"/>
  <c r="O625" i="1" s="1"/>
  <c r="S625" i="1"/>
  <c r="W625" i="1"/>
  <c r="X625" i="1"/>
  <c r="N425" i="1"/>
  <c r="O425" i="1" s="1"/>
  <c r="S425" i="1" s="1"/>
  <c r="T425" i="1" s="1"/>
  <c r="U425" i="1" s="1"/>
  <c r="V425" i="1" s="1"/>
  <c r="N417" i="1"/>
  <c r="P417" i="1" s="1"/>
  <c r="N412" i="1"/>
  <c r="O412" i="1" s="1"/>
  <c r="A411" i="1"/>
  <c r="N411" i="1"/>
  <c r="P411" i="1" s="1"/>
  <c r="S411" i="1"/>
  <c r="W411" i="1"/>
  <c r="X411" i="1"/>
  <c r="AG411" i="1"/>
  <c r="N182" i="1"/>
  <c r="O182" i="1" s="1"/>
  <c r="N179" i="1"/>
  <c r="P179" i="1" s="1"/>
  <c r="N177" i="1"/>
  <c r="O177" i="1" s="1"/>
  <c r="S177" i="1" s="1"/>
  <c r="T177" i="1" s="1"/>
  <c r="U177" i="1" s="1"/>
  <c r="V177" i="1" s="1"/>
  <c r="N175" i="1"/>
  <c r="O175" i="1" s="1"/>
  <c r="N171" i="1"/>
  <c r="O171" i="1" s="1"/>
  <c r="A428" i="1"/>
  <c r="A193" i="1"/>
  <c r="A646" i="1"/>
  <c r="N428" i="1"/>
  <c r="P428" i="1" s="1"/>
  <c r="N193" i="1"/>
  <c r="P193" i="1" s="1"/>
  <c r="N646" i="1"/>
  <c r="P646" i="1" s="1"/>
  <c r="W428" i="1"/>
  <c r="W193" i="1"/>
  <c r="W646" i="1"/>
  <c r="X428" i="1"/>
  <c r="X193" i="1"/>
  <c r="X646" i="1"/>
  <c r="AG428" i="1"/>
  <c r="AG193" i="1"/>
  <c r="AG646" i="1"/>
  <c r="A191" i="1"/>
  <c r="N191" i="1"/>
  <c r="O191" i="1" s="1"/>
  <c r="S191" i="1"/>
  <c r="W191" i="1"/>
  <c r="X191" i="1"/>
  <c r="AG191" i="1"/>
  <c r="A189" i="1"/>
  <c r="N189" i="1"/>
  <c r="O189" i="1" s="1"/>
  <c r="S189" i="1"/>
  <c r="W189" i="1"/>
  <c r="X189" i="1"/>
  <c r="AG189" i="1"/>
  <c r="A188" i="1"/>
  <c r="N188" i="1"/>
  <c r="O188" i="1" s="1"/>
  <c r="S188" i="1"/>
  <c r="W188" i="1"/>
  <c r="X188" i="1"/>
  <c r="AG188" i="1"/>
  <c r="A420" i="1"/>
  <c r="N420" i="1"/>
  <c r="W420" i="1"/>
  <c r="X420" i="1"/>
  <c r="AG420" i="1"/>
  <c r="A418" i="1"/>
  <c r="N418" i="1"/>
  <c r="P418" i="1" s="1"/>
  <c r="W418" i="1"/>
  <c r="X418" i="1"/>
  <c r="AG418" i="1"/>
  <c r="A185" i="1"/>
  <c r="N185" i="1"/>
  <c r="O185" i="1" s="1"/>
  <c r="S185" i="1"/>
  <c r="W185" i="1"/>
  <c r="X185" i="1"/>
  <c r="AG185" i="1"/>
  <c r="A183" i="1"/>
  <c r="N183" i="1"/>
  <c r="W183" i="1"/>
  <c r="X183" i="1"/>
  <c r="AG183" i="1"/>
  <c r="A640" i="1"/>
  <c r="N640" i="1"/>
  <c r="O640" i="1" s="1"/>
  <c r="S640" i="1"/>
  <c r="W640" i="1"/>
  <c r="X640" i="1"/>
  <c r="AG640" i="1"/>
  <c r="A412" i="1"/>
  <c r="S412" i="1"/>
  <c r="W412" i="1"/>
  <c r="X412" i="1"/>
  <c r="AG412" i="1"/>
  <c r="A410" i="1"/>
  <c r="N410" i="1"/>
  <c r="O410" i="1" s="1"/>
  <c r="S410" i="1"/>
  <c r="W410" i="1"/>
  <c r="X410" i="1"/>
  <c r="AG410" i="1"/>
  <c r="A935" i="1"/>
  <c r="N935" i="1"/>
  <c r="P935" i="1" s="1"/>
  <c r="W935" i="1"/>
  <c r="X935" i="1"/>
  <c r="AG935" i="1"/>
  <c r="A637" i="1"/>
  <c r="N637" i="1"/>
  <c r="O637" i="1" s="1"/>
  <c r="S637" i="1"/>
  <c r="W637" i="1"/>
  <c r="X637" i="1"/>
  <c r="AG637" i="1"/>
  <c r="A635" i="1"/>
  <c r="N635" i="1"/>
  <c r="P635" i="1" s="1"/>
  <c r="W635" i="1"/>
  <c r="X635" i="1"/>
  <c r="AG635" i="1"/>
  <c r="A630" i="1"/>
  <c r="A632" i="1"/>
  <c r="A633" i="1"/>
  <c r="N630" i="1"/>
  <c r="N632" i="1"/>
  <c r="N633" i="1"/>
  <c r="W630" i="1"/>
  <c r="W632" i="1"/>
  <c r="W633" i="1"/>
  <c r="X630" i="1"/>
  <c r="X632" i="1"/>
  <c r="X633" i="1"/>
  <c r="AG630" i="1"/>
  <c r="AG632" i="1"/>
  <c r="AG633" i="1"/>
  <c r="A398" i="1"/>
  <c r="N398" i="1"/>
  <c r="P398" i="1" s="1"/>
  <c r="W398" i="1"/>
  <c r="X398" i="1"/>
  <c r="AG398" i="1"/>
  <c r="A626" i="1"/>
  <c r="W626" i="1"/>
  <c r="X626" i="1"/>
  <c r="AG626" i="1"/>
  <c r="A395" i="1"/>
  <c r="N395" i="1"/>
  <c r="P395" i="1" s="1"/>
  <c r="W395" i="1"/>
  <c r="X395" i="1"/>
  <c r="AG395" i="1"/>
  <c r="A173" i="1"/>
  <c r="N173" i="1"/>
  <c r="P173" i="1" s="1"/>
  <c r="W173" i="1"/>
  <c r="X173" i="1"/>
  <c r="AG173" i="1"/>
  <c r="A930" i="1"/>
  <c r="N930" i="1"/>
  <c r="O930" i="1" s="1"/>
  <c r="S930" i="1"/>
  <c r="W930" i="1"/>
  <c r="X930" i="1"/>
  <c r="AG930" i="1"/>
  <c r="A929" i="1"/>
  <c r="N929" i="1"/>
  <c r="O929" i="1" s="1"/>
  <c r="S929" i="1" s="1"/>
  <c r="W929" i="1"/>
  <c r="X929" i="1"/>
  <c r="AG929" i="1"/>
  <c r="A927" i="1"/>
  <c r="N927" i="1"/>
  <c r="W927" i="1"/>
  <c r="X927" i="1"/>
  <c r="AG927" i="1"/>
  <c r="Q960" i="1" l="1"/>
  <c r="R960" i="1" s="1"/>
  <c r="Q958" i="1"/>
  <c r="R958" i="1" s="1"/>
  <c r="T958" i="1"/>
  <c r="U958" i="1" s="1"/>
  <c r="V958" i="1" s="1"/>
  <c r="U965" i="1"/>
  <c r="V965" i="1" s="1"/>
  <c r="T213" i="1"/>
  <c r="U213" i="1" s="1"/>
  <c r="V213" i="1" s="1"/>
  <c r="Q212" i="1"/>
  <c r="R212" i="1" s="1"/>
  <c r="P211" i="1"/>
  <c r="P209" i="1"/>
  <c r="Q209" i="1"/>
  <c r="R209" i="1" s="1"/>
  <c r="Q659" i="1"/>
  <c r="R659" i="1" s="1"/>
  <c r="P659" i="1"/>
  <c r="Q657" i="1"/>
  <c r="R657" i="1" s="1"/>
  <c r="P657" i="1"/>
  <c r="P655" i="1"/>
  <c r="S655" i="1"/>
  <c r="T655" i="1" s="1"/>
  <c r="U655" i="1" s="1"/>
  <c r="V655" i="1" s="1"/>
  <c r="P961" i="1"/>
  <c r="Q961" i="1"/>
  <c r="R961" i="1" s="1"/>
  <c r="P663" i="1"/>
  <c r="Q663" i="1"/>
  <c r="R663" i="1" s="1"/>
  <c r="S663" i="1"/>
  <c r="T663" i="1" s="1"/>
  <c r="S211" i="1"/>
  <c r="T211" i="1" s="1"/>
  <c r="U211" i="1" s="1"/>
  <c r="V211" i="1" s="1"/>
  <c r="Q211" i="1"/>
  <c r="R211" i="1" s="1"/>
  <c r="P662" i="1"/>
  <c r="Q962" i="1"/>
  <c r="R962" i="1" s="1"/>
  <c r="S962" i="1"/>
  <c r="Q662" i="1"/>
  <c r="R662" i="1" s="1"/>
  <c r="S662" i="1"/>
  <c r="T662" i="1" s="1"/>
  <c r="U662" i="1" s="1"/>
  <c r="V662" i="1" s="1"/>
  <c r="P962" i="1"/>
  <c r="P957" i="1"/>
  <c r="O210" i="1"/>
  <c r="S210" i="1" s="1"/>
  <c r="P660" i="1"/>
  <c r="P955" i="1"/>
  <c r="S660" i="1"/>
  <c r="T660" i="1" s="1"/>
  <c r="P652" i="1"/>
  <c r="Q957" i="1"/>
  <c r="R957" i="1" s="1"/>
  <c r="O207" i="1"/>
  <c r="S207" i="1" s="1"/>
  <c r="T207" i="1" s="1"/>
  <c r="U207" i="1" s="1"/>
  <c r="V207" i="1" s="1"/>
  <c r="O208" i="1"/>
  <c r="S208" i="1" s="1"/>
  <c r="T208" i="1" s="1"/>
  <c r="U208" i="1" s="1"/>
  <c r="V208" i="1" s="1"/>
  <c r="O954" i="1"/>
  <c r="S954" i="1" s="1"/>
  <c r="P656" i="1"/>
  <c r="S656" i="1"/>
  <c r="T656" i="1" s="1"/>
  <c r="P653" i="1"/>
  <c r="Q653" i="1"/>
  <c r="R653" i="1" s="1"/>
  <c r="S653" i="1"/>
  <c r="T653" i="1" s="1"/>
  <c r="P206" i="1"/>
  <c r="O206" i="1"/>
  <c r="S206" i="1" s="1"/>
  <c r="T206" i="1" s="1"/>
  <c r="U206" i="1" s="1"/>
  <c r="V206" i="1" s="1"/>
  <c r="S652" i="1"/>
  <c r="T652" i="1" s="1"/>
  <c r="U652" i="1" s="1"/>
  <c r="V652" i="1" s="1"/>
  <c r="Q652" i="1"/>
  <c r="R652" i="1" s="1"/>
  <c r="Q651" i="1"/>
  <c r="R651" i="1" s="1"/>
  <c r="P651" i="1"/>
  <c r="P953" i="1"/>
  <c r="S953" i="1"/>
  <c r="T953" i="1" s="1"/>
  <c r="O179" i="1"/>
  <c r="S179" i="1" s="1"/>
  <c r="T179" i="1" s="1"/>
  <c r="U179" i="1" s="1"/>
  <c r="V179" i="1" s="1"/>
  <c r="O417" i="1"/>
  <c r="S417" i="1" s="1"/>
  <c r="T417" i="1" s="1"/>
  <c r="U417" i="1" s="1"/>
  <c r="V417" i="1" s="1"/>
  <c r="O411" i="1"/>
  <c r="Q411" i="1"/>
  <c r="R411" i="1" s="1"/>
  <c r="Q625" i="1"/>
  <c r="R625" i="1" s="1"/>
  <c r="P625" i="1"/>
  <c r="Q425" i="1"/>
  <c r="R425" i="1" s="1"/>
  <c r="P425" i="1"/>
  <c r="P182" i="1"/>
  <c r="Q182" i="1"/>
  <c r="R182" i="1" s="1"/>
  <c r="S182" i="1"/>
  <c r="T182" i="1" s="1"/>
  <c r="U182" i="1" s="1"/>
  <c r="V182" i="1" s="1"/>
  <c r="Q177" i="1"/>
  <c r="R177" i="1" s="1"/>
  <c r="P177" i="1"/>
  <c r="Q175" i="1"/>
  <c r="R175" i="1" s="1"/>
  <c r="S175" i="1"/>
  <c r="T175" i="1" s="1"/>
  <c r="U175" i="1" s="1"/>
  <c r="V175" i="1" s="1"/>
  <c r="P175" i="1"/>
  <c r="P171" i="1"/>
  <c r="Q171" i="1"/>
  <c r="R171" i="1" s="1"/>
  <c r="S171" i="1"/>
  <c r="T171" i="1" s="1"/>
  <c r="U171" i="1" s="1"/>
  <c r="V171" i="1" s="1"/>
  <c r="Q428" i="1"/>
  <c r="R428" i="1" s="1"/>
  <c r="P189" i="1"/>
  <c r="O183" i="1"/>
  <c r="S183" i="1" s="1"/>
  <c r="O646" i="1"/>
  <c r="S646" i="1" s="1"/>
  <c r="O193" i="1"/>
  <c r="S193" i="1" s="1"/>
  <c r="O428" i="1"/>
  <c r="S428" i="1" s="1"/>
  <c r="Q193" i="1"/>
  <c r="R193" i="1" s="1"/>
  <c r="Q191" i="1"/>
  <c r="R191" i="1" s="1"/>
  <c r="P191" i="1"/>
  <c r="O935" i="1"/>
  <c r="S935" i="1" s="1"/>
  <c r="O420" i="1"/>
  <c r="S420" i="1" s="1"/>
  <c r="Q189" i="1"/>
  <c r="R189" i="1" s="1"/>
  <c r="Q188" i="1"/>
  <c r="R188" i="1" s="1"/>
  <c r="P188" i="1"/>
  <c r="O635" i="1"/>
  <c r="S635" i="1" s="1"/>
  <c r="P420" i="1"/>
  <c r="P183" i="1"/>
  <c r="O418" i="1"/>
  <c r="S418" i="1" s="1"/>
  <c r="O173" i="1"/>
  <c r="S173" i="1" s="1"/>
  <c r="Q185" i="1"/>
  <c r="R185" i="1" s="1"/>
  <c r="P185" i="1"/>
  <c r="Q418" i="1"/>
  <c r="R418" i="1" s="1"/>
  <c r="P632" i="1"/>
  <c r="Q640" i="1"/>
  <c r="R640" i="1" s="1"/>
  <c r="O632" i="1"/>
  <c r="S632" i="1" s="1"/>
  <c r="P640" i="1"/>
  <c r="Q412" i="1"/>
  <c r="R412" i="1" s="1"/>
  <c r="P412" i="1"/>
  <c r="Q410" i="1"/>
  <c r="R410" i="1" s="1"/>
  <c r="P410" i="1"/>
  <c r="Q637" i="1"/>
  <c r="R637" i="1" s="1"/>
  <c r="P637" i="1"/>
  <c r="P630" i="1"/>
  <c r="O633" i="1"/>
  <c r="S633" i="1" s="1"/>
  <c r="O398" i="1"/>
  <c r="S398" i="1" s="1"/>
  <c r="O630" i="1"/>
  <c r="S630" i="1" s="1"/>
  <c r="P633" i="1"/>
  <c r="Q398" i="1"/>
  <c r="R398" i="1" s="1"/>
  <c r="Q173" i="1"/>
  <c r="R173" i="1" s="1"/>
  <c r="Q626" i="1"/>
  <c r="R626" i="1" s="1"/>
  <c r="P626" i="1"/>
  <c r="O395" i="1"/>
  <c r="S395" i="1" s="1"/>
  <c r="Q395" i="1"/>
  <c r="R395" i="1" s="1"/>
  <c r="Q930" i="1"/>
  <c r="R930" i="1" s="1"/>
  <c r="P930" i="1"/>
  <c r="P927" i="1"/>
  <c r="O927" i="1"/>
  <c r="S927" i="1" s="1"/>
  <c r="Q929" i="1"/>
  <c r="R929" i="1" s="1"/>
  <c r="P929" i="1"/>
  <c r="U653" i="1" l="1"/>
  <c r="V653" i="1" s="1"/>
  <c r="T654" i="1"/>
  <c r="U654" i="1" s="1"/>
  <c r="V654" i="1" s="1"/>
  <c r="T226" i="1"/>
  <c r="T657" i="1"/>
  <c r="T212" i="1"/>
  <c r="U212" i="1" s="1"/>
  <c r="V212" i="1" s="1"/>
  <c r="U663" i="1"/>
  <c r="V663" i="1" s="1"/>
  <c r="T961" i="1"/>
  <c r="Q210" i="1"/>
  <c r="R210" i="1" s="1"/>
  <c r="U660" i="1"/>
  <c r="V660" i="1" s="1"/>
  <c r="T210" i="1"/>
  <c r="T959" i="1" s="1"/>
  <c r="U959" i="1" s="1"/>
  <c r="V959" i="1" s="1"/>
  <c r="Q207" i="1"/>
  <c r="R207" i="1" s="1"/>
  <c r="Q208" i="1"/>
  <c r="R208" i="1" s="1"/>
  <c r="Q954" i="1"/>
  <c r="R954" i="1" s="1"/>
  <c r="U656" i="1"/>
  <c r="V656" i="1" s="1"/>
  <c r="T954" i="1"/>
  <c r="Q206" i="1"/>
  <c r="R206" i="1" s="1"/>
  <c r="Q417" i="1"/>
  <c r="R417" i="1" s="1"/>
  <c r="Q179" i="1"/>
  <c r="R179" i="1" s="1"/>
  <c r="U953" i="1"/>
  <c r="V953" i="1" s="1"/>
  <c r="T651" i="1"/>
  <c r="U651" i="1" s="1"/>
  <c r="V651" i="1" s="1"/>
  <c r="Q183" i="1"/>
  <c r="R183" i="1" s="1"/>
  <c r="Q935" i="1"/>
  <c r="R935" i="1" s="1"/>
  <c r="Q632" i="1"/>
  <c r="R632" i="1" s="1"/>
  <c r="Q420" i="1"/>
  <c r="R420" i="1" s="1"/>
  <c r="Q646" i="1"/>
  <c r="R646" i="1" s="1"/>
  <c r="Q635" i="1"/>
  <c r="R635" i="1" s="1"/>
  <c r="Q633" i="1"/>
  <c r="R633" i="1" s="1"/>
  <c r="Q927" i="1"/>
  <c r="R927" i="1" s="1"/>
  <c r="Q630" i="1"/>
  <c r="R630" i="1" s="1"/>
  <c r="U657" i="1" l="1"/>
  <c r="V657" i="1" s="1"/>
  <c r="T658" i="1"/>
  <c r="U658" i="1" s="1"/>
  <c r="V658" i="1" s="1"/>
  <c r="U226" i="1"/>
  <c r="V226" i="1" s="1"/>
  <c r="T661" i="1"/>
  <c r="T444" i="1"/>
  <c r="U961" i="1"/>
  <c r="V961" i="1" s="1"/>
  <c r="U210" i="1"/>
  <c r="V210" i="1" s="1"/>
  <c r="T962" i="1"/>
  <c r="U962" i="1" s="1"/>
  <c r="V962" i="1" s="1"/>
  <c r="U954" i="1"/>
  <c r="V954" i="1" s="1"/>
  <c r="T955" i="1"/>
  <c r="N918" i="1"/>
  <c r="O918" i="1" s="1"/>
  <c r="W918" i="1"/>
  <c r="X918" i="1"/>
  <c r="N917" i="1"/>
  <c r="P917" i="1" s="1"/>
  <c r="S917" i="1"/>
  <c r="T917" i="1" s="1"/>
  <c r="U917" i="1" s="1"/>
  <c r="V917" i="1" s="1"/>
  <c r="W917" i="1"/>
  <c r="X917" i="1"/>
  <c r="U955" i="1" l="1"/>
  <c r="V955" i="1" s="1"/>
  <c r="T956" i="1"/>
  <c r="U956" i="1" s="1"/>
  <c r="V956" i="1" s="1"/>
  <c r="U661" i="1"/>
  <c r="V661" i="1" s="1"/>
  <c r="T677" i="1"/>
  <c r="U444" i="1"/>
  <c r="V444" i="1" s="1"/>
  <c r="T680" i="1"/>
  <c r="P918" i="1"/>
  <c r="O917" i="1"/>
  <c r="Q918" i="1"/>
  <c r="R918" i="1" s="1"/>
  <c r="S918" i="1"/>
  <c r="T918" i="1" s="1"/>
  <c r="U918" i="1" s="1"/>
  <c r="V918" i="1" s="1"/>
  <c r="Q917" i="1"/>
  <c r="R917" i="1" s="1"/>
  <c r="U677" i="1" l="1"/>
  <c r="V677" i="1" s="1"/>
  <c r="U680" i="1"/>
  <c r="V680" i="1" s="1"/>
  <c r="T681" i="1"/>
  <c r="N616" i="1"/>
  <c r="P616" i="1" s="1"/>
  <c r="A615" i="1"/>
  <c r="N615" i="1"/>
  <c r="O615" i="1" s="1"/>
  <c r="S615" i="1"/>
  <c r="W615" i="1"/>
  <c r="X615" i="1"/>
  <c r="AG615" i="1"/>
  <c r="N590" i="1"/>
  <c r="N167" i="1"/>
  <c r="P167" i="1" s="1"/>
  <c r="N166" i="1"/>
  <c r="O166" i="1" s="1"/>
  <c r="S166" i="1" s="1"/>
  <c r="T166" i="1" s="1"/>
  <c r="U166" i="1" s="1"/>
  <c r="V166" i="1" s="1"/>
  <c r="N162" i="1"/>
  <c r="P162" i="1" s="1"/>
  <c r="W162" i="1"/>
  <c r="X162" i="1"/>
  <c r="N155" i="1"/>
  <c r="P155" i="1" s="1"/>
  <c r="N144" i="1"/>
  <c r="N148" i="1"/>
  <c r="O148" i="1" s="1"/>
  <c r="S148" i="1" s="1"/>
  <c r="T148" i="1" s="1"/>
  <c r="U148" i="1" s="1"/>
  <c r="V148" i="1" s="1"/>
  <c r="N143" i="1"/>
  <c r="P143" i="1" s="1"/>
  <c r="A388" i="1"/>
  <c r="A912" i="1"/>
  <c r="A915" i="1"/>
  <c r="A616" i="1"/>
  <c r="A920" i="1"/>
  <c r="A391" i="1"/>
  <c r="N388" i="1"/>
  <c r="P388" i="1" s="1"/>
  <c r="N912" i="1"/>
  <c r="Q912" i="1" s="1"/>
  <c r="R912" i="1" s="1"/>
  <c r="N915" i="1"/>
  <c r="Q915" i="1" s="1"/>
  <c r="R915" i="1" s="1"/>
  <c r="N920" i="1"/>
  <c r="O920" i="1" s="1"/>
  <c r="N391" i="1"/>
  <c r="O391" i="1" s="1"/>
  <c r="S388" i="1"/>
  <c r="S912" i="1"/>
  <c r="S915" i="1"/>
  <c r="S616" i="1"/>
  <c r="S920" i="1"/>
  <c r="S391" i="1"/>
  <c r="W388" i="1"/>
  <c r="W912" i="1"/>
  <c r="W915" i="1"/>
  <c r="W616" i="1"/>
  <c r="W920" i="1"/>
  <c r="W391" i="1"/>
  <c r="X388" i="1"/>
  <c r="X912" i="1"/>
  <c r="X915" i="1"/>
  <c r="X616" i="1"/>
  <c r="X920" i="1"/>
  <c r="X391" i="1"/>
  <c r="AG388" i="1"/>
  <c r="AG912" i="1"/>
  <c r="AG915" i="1"/>
  <c r="AG616" i="1"/>
  <c r="AG920" i="1"/>
  <c r="AG391" i="1"/>
  <c r="A609" i="1"/>
  <c r="N609" i="1"/>
  <c r="O609" i="1" s="1"/>
  <c r="S609" i="1"/>
  <c r="W609" i="1"/>
  <c r="X609" i="1"/>
  <c r="AG609" i="1"/>
  <c r="A387" i="1"/>
  <c r="N387" i="1"/>
  <c r="O387" i="1" s="1"/>
  <c r="S387" i="1"/>
  <c r="W387" i="1"/>
  <c r="X387" i="1"/>
  <c r="AG387" i="1"/>
  <c r="A386" i="1"/>
  <c r="N386" i="1"/>
  <c r="O386" i="1" s="1"/>
  <c r="S386" i="1"/>
  <c r="W386" i="1"/>
  <c r="X386" i="1"/>
  <c r="AG386" i="1"/>
  <c r="A605" i="1"/>
  <c r="A607" i="1"/>
  <c r="N605" i="1"/>
  <c r="Q605" i="1" s="1"/>
  <c r="R605" i="1" s="1"/>
  <c r="N607" i="1"/>
  <c r="O607" i="1" s="1"/>
  <c r="S605" i="1"/>
  <c r="S607" i="1"/>
  <c r="W605" i="1"/>
  <c r="W607" i="1"/>
  <c r="X605" i="1"/>
  <c r="X607" i="1"/>
  <c r="AG605" i="1"/>
  <c r="AG607" i="1"/>
  <c r="A384" i="1"/>
  <c r="A385" i="1"/>
  <c r="N384" i="1"/>
  <c r="O384" i="1" s="1"/>
  <c r="N385" i="1"/>
  <c r="P385" i="1" s="1"/>
  <c r="S384" i="1"/>
  <c r="S385" i="1"/>
  <c r="W384" i="1"/>
  <c r="W385" i="1"/>
  <c r="X384" i="1"/>
  <c r="X385" i="1"/>
  <c r="AG384" i="1"/>
  <c r="AG385" i="1"/>
  <c r="A383" i="1"/>
  <c r="N383" i="1"/>
  <c r="O383" i="1" s="1"/>
  <c r="S383" i="1"/>
  <c r="W383" i="1"/>
  <c r="X383" i="1"/>
  <c r="AG383" i="1"/>
  <c r="A904" i="1"/>
  <c r="A382" i="1"/>
  <c r="N904" i="1"/>
  <c r="O904" i="1" s="1"/>
  <c r="N382" i="1"/>
  <c r="P382" i="1" s="1"/>
  <c r="S904" i="1"/>
  <c r="S382" i="1"/>
  <c r="W904" i="1"/>
  <c r="W382" i="1"/>
  <c r="X904" i="1"/>
  <c r="X382" i="1"/>
  <c r="AG904" i="1"/>
  <c r="AG382" i="1"/>
  <c r="A902" i="1"/>
  <c r="N902" i="1"/>
  <c r="O902" i="1" s="1"/>
  <c r="S902" i="1"/>
  <c r="W902" i="1"/>
  <c r="X902" i="1"/>
  <c r="AG902" i="1"/>
  <c r="A381" i="1"/>
  <c r="N381" i="1"/>
  <c r="P381" i="1" s="1"/>
  <c r="S381" i="1"/>
  <c r="W381" i="1"/>
  <c r="X381" i="1"/>
  <c r="AG381" i="1"/>
  <c r="A380" i="1"/>
  <c r="N380" i="1"/>
  <c r="Q380" i="1" s="1"/>
  <c r="R380" i="1" s="1"/>
  <c r="S380" i="1"/>
  <c r="W380" i="1"/>
  <c r="X380" i="1"/>
  <c r="AG380" i="1"/>
  <c r="A900" i="1"/>
  <c r="N900" i="1"/>
  <c r="O900" i="1" s="1"/>
  <c r="S900" i="1"/>
  <c r="W900" i="1"/>
  <c r="X900" i="1"/>
  <c r="AG900" i="1"/>
  <c r="A898" i="1"/>
  <c r="N898" i="1"/>
  <c r="O898" i="1" s="1"/>
  <c r="S898" i="1"/>
  <c r="W898" i="1"/>
  <c r="X898" i="1"/>
  <c r="AG898" i="1"/>
  <c r="A597" i="1"/>
  <c r="N597" i="1"/>
  <c r="O597" i="1" s="1"/>
  <c r="S597" i="1"/>
  <c r="W597" i="1"/>
  <c r="X597" i="1"/>
  <c r="AG597" i="1"/>
  <c r="A596" i="1"/>
  <c r="N596" i="1"/>
  <c r="O596" i="1" s="1"/>
  <c r="S596" i="1"/>
  <c r="W596" i="1"/>
  <c r="X596" i="1"/>
  <c r="AG596" i="1"/>
  <c r="A895" i="1"/>
  <c r="A896" i="1"/>
  <c r="N895" i="1"/>
  <c r="O895" i="1" s="1"/>
  <c r="N896" i="1"/>
  <c r="O896" i="1" s="1"/>
  <c r="S895" i="1"/>
  <c r="S896" i="1"/>
  <c r="W895" i="1"/>
  <c r="W896" i="1"/>
  <c r="X895" i="1"/>
  <c r="X896" i="1"/>
  <c r="AG895" i="1"/>
  <c r="AG896" i="1"/>
  <c r="A894" i="1"/>
  <c r="N894" i="1"/>
  <c r="O894" i="1" s="1"/>
  <c r="S894" i="1"/>
  <c r="W894" i="1"/>
  <c r="X894" i="1"/>
  <c r="AG894" i="1"/>
  <c r="A153" i="1"/>
  <c r="N153" i="1"/>
  <c r="O153" i="1" s="1"/>
  <c r="S153" i="1"/>
  <c r="W153" i="1"/>
  <c r="X153" i="1"/>
  <c r="AG153" i="1"/>
  <c r="A593" i="1"/>
  <c r="N593" i="1"/>
  <c r="P593" i="1" s="1"/>
  <c r="S593" i="1"/>
  <c r="W593" i="1"/>
  <c r="X593" i="1"/>
  <c r="AG593" i="1"/>
  <c r="A886" i="1"/>
  <c r="N886" i="1"/>
  <c r="O886" i="1" s="1"/>
  <c r="S886" i="1"/>
  <c r="W886" i="1"/>
  <c r="X886" i="1"/>
  <c r="AG886" i="1"/>
  <c r="A141" i="1"/>
  <c r="N141" i="1"/>
  <c r="O141" i="1" s="1"/>
  <c r="S141" i="1"/>
  <c r="W141" i="1"/>
  <c r="X141" i="1"/>
  <c r="AG141" i="1"/>
  <c r="A378" i="1"/>
  <c r="N378" i="1"/>
  <c r="Q378" i="1" s="1"/>
  <c r="R378" i="1" s="1"/>
  <c r="S378" i="1"/>
  <c r="W378" i="1"/>
  <c r="X378" i="1"/>
  <c r="AG378" i="1"/>
  <c r="T669" i="1" l="1"/>
  <c r="U681" i="1"/>
  <c r="V681" i="1" s="1"/>
  <c r="T682" i="1"/>
  <c r="P166" i="1"/>
  <c r="Q615" i="1"/>
  <c r="R615" i="1" s="1"/>
  <c r="P615" i="1"/>
  <c r="P590" i="1"/>
  <c r="O590" i="1"/>
  <c r="S590" i="1" s="1"/>
  <c r="T590" i="1" s="1"/>
  <c r="U590" i="1" s="1"/>
  <c r="V590" i="1" s="1"/>
  <c r="O167" i="1"/>
  <c r="S167" i="1" s="1"/>
  <c r="T167" i="1" s="1"/>
  <c r="U167" i="1" s="1"/>
  <c r="V167" i="1" s="1"/>
  <c r="Q166" i="1"/>
  <c r="R166" i="1" s="1"/>
  <c r="O162" i="1"/>
  <c r="S162" i="1" s="1"/>
  <c r="T162" i="1" s="1"/>
  <c r="U162" i="1" s="1"/>
  <c r="V162" i="1" s="1"/>
  <c r="O155" i="1"/>
  <c r="S155" i="1" s="1"/>
  <c r="T155" i="1" s="1"/>
  <c r="U155" i="1" s="1"/>
  <c r="V155" i="1" s="1"/>
  <c r="Q148" i="1"/>
  <c r="R148" i="1" s="1"/>
  <c r="P148" i="1"/>
  <c r="O143" i="1"/>
  <c r="S143" i="1" s="1"/>
  <c r="T143" i="1" s="1"/>
  <c r="U143" i="1" s="1"/>
  <c r="V143" i="1" s="1"/>
  <c r="P391" i="1"/>
  <c r="P920" i="1"/>
  <c r="O616" i="1"/>
  <c r="Q391" i="1"/>
  <c r="R391" i="1" s="1"/>
  <c r="P915" i="1"/>
  <c r="O915" i="1"/>
  <c r="Q920" i="1"/>
  <c r="R920" i="1" s="1"/>
  <c r="Q616" i="1"/>
  <c r="R616" i="1" s="1"/>
  <c r="P387" i="1"/>
  <c r="Q386" i="1"/>
  <c r="R386" i="1" s="1"/>
  <c r="P386" i="1"/>
  <c r="O912" i="1"/>
  <c r="O388" i="1"/>
  <c r="P605" i="1"/>
  <c r="P912" i="1"/>
  <c r="Q388" i="1"/>
  <c r="R388" i="1" s="1"/>
  <c r="O605" i="1"/>
  <c r="Q609" i="1"/>
  <c r="R609" i="1" s="1"/>
  <c r="P609" i="1"/>
  <c r="Q387" i="1"/>
  <c r="R387" i="1" s="1"/>
  <c r="Q607" i="1"/>
  <c r="R607" i="1" s="1"/>
  <c r="P607" i="1"/>
  <c r="Q384" i="1"/>
  <c r="R384" i="1" s="1"/>
  <c r="Q385" i="1"/>
  <c r="R385" i="1" s="1"/>
  <c r="O385" i="1"/>
  <c r="P384" i="1"/>
  <c r="P380" i="1"/>
  <c r="Q383" i="1"/>
  <c r="R383" i="1" s="1"/>
  <c r="Q904" i="1"/>
  <c r="R904" i="1" s="1"/>
  <c r="P383" i="1"/>
  <c r="Q382" i="1"/>
  <c r="R382" i="1" s="1"/>
  <c r="O382" i="1"/>
  <c r="P904" i="1"/>
  <c r="O380" i="1"/>
  <c r="Q902" i="1"/>
  <c r="R902" i="1" s="1"/>
  <c r="P902" i="1"/>
  <c r="O381" i="1"/>
  <c r="Q381" i="1"/>
  <c r="R381" i="1" s="1"/>
  <c r="Q900" i="1"/>
  <c r="R900" i="1" s="1"/>
  <c r="P900" i="1"/>
  <c r="Q898" i="1"/>
  <c r="R898" i="1" s="1"/>
  <c r="Q896" i="1"/>
  <c r="R896" i="1" s="1"/>
  <c r="P898" i="1"/>
  <c r="Q597" i="1"/>
  <c r="R597" i="1" s="1"/>
  <c r="P597" i="1"/>
  <c r="O593" i="1"/>
  <c r="Q596" i="1"/>
  <c r="R596" i="1" s="1"/>
  <c r="Q895" i="1"/>
  <c r="R895" i="1" s="1"/>
  <c r="P596" i="1"/>
  <c r="P896" i="1"/>
  <c r="P895" i="1"/>
  <c r="P894" i="1"/>
  <c r="Q894" i="1"/>
  <c r="R894" i="1" s="1"/>
  <c r="Q153" i="1"/>
  <c r="R153" i="1" s="1"/>
  <c r="P153" i="1"/>
  <c r="Q593" i="1"/>
  <c r="R593" i="1" s="1"/>
  <c r="Q886" i="1"/>
  <c r="R886" i="1" s="1"/>
  <c r="Q141" i="1"/>
  <c r="R141" i="1" s="1"/>
  <c r="P141" i="1"/>
  <c r="P886" i="1"/>
  <c r="P378" i="1"/>
  <c r="O378" i="1"/>
  <c r="U669" i="1" l="1"/>
  <c r="V669" i="1" s="1"/>
  <c r="U682" i="1"/>
  <c r="V682" i="1" s="1"/>
  <c r="T683" i="1"/>
  <c r="U683" i="1" s="1"/>
  <c r="V683" i="1" s="1"/>
  <c r="Q590" i="1"/>
  <c r="R590" i="1" s="1"/>
  <c r="Q167" i="1"/>
  <c r="R167" i="1" s="1"/>
  <c r="Q162" i="1"/>
  <c r="R162" i="1" s="1"/>
  <c r="Q155" i="1"/>
  <c r="R155" i="1" s="1"/>
  <c r="Q143" i="1"/>
  <c r="R143" i="1" s="1"/>
  <c r="A952" i="1"/>
  <c r="N952" i="1"/>
  <c r="P952" i="1" s="1"/>
  <c r="W952" i="1"/>
  <c r="X952" i="1"/>
  <c r="AG952" i="1"/>
  <c r="A951" i="1"/>
  <c r="N951" i="1"/>
  <c r="O951" i="1" s="1"/>
  <c r="S951" i="1" s="1"/>
  <c r="T951" i="1" s="1"/>
  <c r="W951" i="1"/>
  <c r="X951" i="1"/>
  <c r="AG951" i="1"/>
  <c r="A203" i="1"/>
  <c r="N203" i="1"/>
  <c r="O203" i="1" s="1"/>
  <c r="S203" i="1" s="1"/>
  <c r="T203" i="1" s="1"/>
  <c r="U203" i="1" s="1"/>
  <c r="V203" i="1" s="1"/>
  <c r="W203" i="1"/>
  <c r="X203" i="1"/>
  <c r="AG203" i="1"/>
  <c r="A202" i="1"/>
  <c r="N202" i="1"/>
  <c r="O202" i="1" s="1"/>
  <c r="S202" i="1"/>
  <c r="T202" i="1" s="1"/>
  <c r="U202" i="1" s="1"/>
  <c r="V202" i="1" s="1"/>
  <c r="W202" i="1"/>
  <c r="X202" i="1"/>
  <c r="AG202" i="1"/>
  <c r="A650" i="1"/>
  <c r="N650" i="1"/>
  <c r="O650" i="1" s="1"/>
  <c r="S650" i="1" s="1"/>
  <c r="T650" i="1" s="1"/>
  <c r="U650" i="1" s="1"/>
  <c r="V650" i="1" s="1"/>
  <c r="W650" i="1"/>
  <c r="X650" i="1"/>
  <c r="AG650" i="1"/>
  <c r="A200" i="1"/>
  <c r="N200" i="1"/>
  <c r="O200" i="1" s="1"/>
  <c r="S200" i="1"/>
  <c r="W200" i="1"/>
  <c r="X200" i="1"/>
  <c r="AG200" i="1"/>
  <c r="A199" i="1"/>
  <c r="N199" i="1"/>
  <c r="O199" i="1" s="1"/>
  <c r="W199" i="1"/>
  <c r="X199" i="1"/>
  <c r="AG199" i="1"/>
  <c r="A950" i="1"/>
  <c r="N950" i="1"/>
  <c r="P950" i="1" s="1"/>
  <c r="W950" i="1"/>
  <c r="X950" i="1"/>
  <c r="AG950" i="1"/>
  <c r="A438" i="1"/>
  <c r="N438" i="1"/>
  <c r="O438" i="1" s="1"/>
  <c r="S438" i="1"/>
  <c r="W438" i="1"/>
  <c r="X438" i="1"/>
  <c r="AG438" i="1"/>
  <c r="A197" i="1"/>
  <c r="N197" i="1"/>
  <c r="O197" i="1" s="1"/>
  <c r="S197" i="1" s="1"/>
  <c r="W197" i="1"/>
  <c r="X197" i="1"/>
  <c r="AG197" i="1"/>
  <c r="A949" i="1"/>
  <c r="N949" i="1"/>
  <c r="O949" i="1" s="1"/>
  <c r="S949" i="1" s="1"/>
  <c r="W949" i="1"/>
  <c r="X949" i="1"/>
  <c r="AG949" i="1"/>
  <c r="A649" i="1"/>
  <c r="N649" i="1"/>
  <c r="O649" i="1" s="1"/>
  <c r="S649" i="1" s="1"/>
  <c r="W649" i="1"/>
  <c r="X649" i="1"/>
  <c r="AG649" i="1"/>
  <c r="A196" i="1"/>
  <c r="N196" i="1"/>
  <c r="P196" i="1" s="1"/>
  <c r="W196" i="1"/>
  <c r="X196" i="1"/>
  <c r="AG196" i="1"/>
  <c r="A648" i="1"/>
  <c r="N648" i="1"/>
  <c r="O648" i="1" s="1"/>
  <c r="S648" i="1" s="1"/>
  <c r="W648" i="1"/>
  <c r="X648" i="1"/>
  <c r="AG648" i="1"/>
  <c r="A647" i="1"/>
  <c r="N647" i="1"/>
  <c r="O647" i="1" s="1"/>
  <c r="S647" i="1" s="1"/>
  <c r="W647" i="1"/>
  <c r="X647" i="1"/>
  <c r="AG647" i="1"/>
  <c r="A195" i="1"/>
  <c r="N195" i="1"/>
  <c r="P195" i="1" s="1"/>
  <c r="W195" i="1"/>
  <c r="X195" i="1"/>
  <c r="AG195" i="1"/>
  <c r="A437" i="1"/>
  <c r="N437" i="1"/>
  <c r="P437" i="1" s="1"/>
  <c r="W437" i="1"/>
  <c r="X437" i="1"/>
  <c r="AG437" i="1"/>
  <c r="A948" i="1"/>
  <c r="N948" i="1"/>
  <c r="O948" i="1" s="1"/>
  <c r="S948" i="1" s="1"/>
  <c r="W948" i="1"/>
  <c r="X948" i="1"/>
  <c r="AG948" i="1"/>
  <c r="G37" i="6"/>
  <c r="G38" i="6"/>
  <c r="G39" i="6"/>
  <c r="K37" i="6" a="1"/>
  <c r="K37" i="6" s="1"/>
  <c r="L37" i="6" s="1" a="1"/>
  <c r="L37" i="6" s="1"/>
  <c r="J37" i="6" s="1"/>
  <c r="K38" i="6" a="1"/>
  <c r="K38" i="6" s="1"/>
  <c r="L38" i="6" s="1" a="1"/>
  <c r="L38" i="6" s="1"/>
  <c r="J38" i="6" s="1"/>
  <c r="K39" i="6" a="1"/>
  <c r="K39" i="6" s="1"/>
  <c r="L39" i="6" s="1" a="1"/>
  <c r="L39" i="6" s="1"/>
  <c r="J39" i="6" s="1"/>
  <c r="G36" i="6"/>
  <c r="K36" i="6" a="1"/>
  <c r="K36" i="6" s="1"/>
  <c r="L36" i="6" s="1" a="1"/>
  <c r="L36" i="6" s="1"/>
  <c r="J36" i="6" s="1"/>
  <c r="A947" i="1"/>
  <c r="N947" i="1"/>
  <c r="O947" i="1" s="1"/>
  <c r="S947" i="1" s="1"/>
  <c r="W947" i="1"/>
  <c r="X947" i="1"/>
  <c r="AG947" i="1"/>
  <c r="A436" i="1"/>
  <c r="N436" i="1"/>
  <c r="O436" i="1" s="1"/>
  <c r="Q436" i="1" s="1"/>
  <c r="R436" i="1" s="1"/>
  <c r="W436" i="1"/>
  <c r="X436" i="1"/>
  <c r="AG436" i="1"/>
  <c r="A434" i="1"/>
  <c r="N434" i="1"/>
  <c r="P434" i="1" s="1"/>
  <c r="W434" i="1"/>
  <c r="X434" i="1"/>
  <c r="AG434" i="1"/>
  <c r="A194" i="1"/>
  <c r="N194" i="1"/>
  <c r="O194" i="1" s="1"/>
  <c r="Q194" i="1" s="1"/>
  <c r="R194" i="1" s="1"/>
  <c r="W194" i="1"/>
  <c r="X194" i="1"/>
  <c r="AG194" i="1"/>
  <c r="A433" i="1"/>
  <c r="N433" i="1"/>
  <c r="W433" i="1"/>
  <c r="X433" i="1"/>
  <c r="AG433" i="1"/>
  <c r="A645" i="1"/>
  <c r="N645" i="1"/>
  <c r="O645" i="1" s="1"/>
  <c r="S645" i="1" s="1"/>
  <c r="W645" i="1"/>
  <c r="X645" i="1"/>
  <c r="AG645" i="1"/>
  <c r="A431" i="1"/>
  <c r="N431" i="1"/>
  <c r="O431" i="1" s="1"/>
  <c r="S431" i="1" s="1"/>
  <c r="W431" i="1"/>
  <c r="X431" i="1"/>
  <c r="AG431" i="1"/>
  <c r="A432" i="1"/>
  <c r="N432" i="1"/>
  <c r="O432" i="1" s="1"/>
  <c r="S432" i="1" s="1"/>
  <c r="W432" i="1"/>
  <c r="X432" i="1"/>
  <c r="AG432" i="1"/>
  <c r="A429" i="1"/>
  <c r="N429" i="1"/>
  <c r="O429" i="1" s="1"/>
  <c r="S429" i="1" s="1"/>
  <c r="W429" i="1"/>
  <c r="X429" i="1"/>
  <c r="AG429" i="1"/>
  <c r="A430" i="1"/>
  <c r="N430" i="1"/>
  <c r="P430" i="1" s="1"/>
  <c r="W430" i="1"/>
  <c r="X430" i="1"/>
  <c r="AG430" i="1"/>
  <c r="A413" i="1"/>
  <c r="N413" i="1"/>
  <c r="O413" i="1" s="1"/>
  <c r="S413" i="1" s="1"/>
  <c r="W413" i="1"/>
  <c r="X413" i="1"/>
  <c r="AG413" i="1"/>
  <c r="A403" i="1"/>
  <c r="N403" i="1"/>
  <c r="W403" i="1"/>
  <c r="X403" i="1"/>
  <c r="AG403" i="1"/>
  <c r="A427" i="1"/>
  <c r="N427" i="1"/>
  <c r="O427" i="1" s="1"/>
  <c r="S427" i="1" s="1"/>
  <c r="W427" i="1"/>
  <c r="X427" i="1"/>
  <c r="AG427" i="1"/>
  <c r="A192" i="1"/>
  <c r="N192" i="1"/>
  <c r="P192" i="1" s="1"/>
  <c r="W192" i="1"/>
  <c r="X192" i="1"/>
  <c r="AG192" i="1"/>
  <c r="A946" i="1"/>
  <c r="N946" i="1"/>
  <c r="O946" i="1" s="1"/>
  <c r="S946" i="1" s="1"/>
  <c r="W946" i="1"/>
  <c r="X946" i="1"/>
  <c r="AG946" i="1"/>
  <c r="A426" i="1"/>
  <c r="N426" i="1"/>
  <c r="O426" i="1" s="1"/>
  <c r="S426" i="1" s="1"/>
  <c r="W426" i="1"/>
  <c r="X426" i="1"/>
  <c r="AG426" i="1"/>
  <c r="A425" i="1"/>
  <c r="W425" i="1"/>
  <c r="X425" i="1"/>
  <c r="AG425" i="1"/>
  <c r="N178" i="1"/>
  <c r="O178" i="1" s="1"/>
  <c r="S178" i="1" s="1"/>
  <c r="T178" i="1" s="1"/>
  <c r="U178" i="1" s="1"/>
  <c r="V178" i="1" s="1"/>
  <c r="W178" i="1"/>
  <c r="X178" i="1"/>
  <c r="A945" i="1"/>
  <c r="N945" i="1"/>
  <c r="O945" i="1" s="1"/>
  <c r="S945" i="1" s="1"/>
  <c r="W945" i="1"/>
  <c r="X945" i="1"/>
  <c r="AG945" i="1"/>
  <c r="A424" i="1"/>
  <c r="N424" i="1"/>
  <c r="O424" i="1" s="1"/>
  <c r="S424" i="1" s="1"/>
  <c r="W424" i="1"/>
  <c r="X424" i="1"/>
  <c r="AG424" i="1"/>
  <c r="A423" i="1"/>
  <c r="N423" i="1"/>
  <c r="O423" i="1" s="1"/>
  <c r="S423" i="1" s="1"/>
  <c r="W423" i="1"/>
  <c r="X423" i="1"/>
  <c r="AG423" i="1"/>
  <c r="A644" i="1"/>
  <c r="N644" i="1"/>
  <c r="O644" i="1" s="1"/>
  <c r="S644" i="1" s="1"/>
  <c r="W644" i="1"/>
  <c r="X644" i="1"/>
  <c r="AG644" i="1"/>
  <c r="A190" i="1"/>
  <c r="N190" i="1"/>
  <c r="O190" i="1" s="1"/>
  <c r="S190" i="1" s="1"/>
  <c r="W190" i="1"/>
  <c r="X190" i="1"/>
  <c r="AG190" i="1"/>
  <c r="N186" i="1"/>
  <c r="O186" i="1" s="1"/>
  <c r="S186" i="1" s="1"/>
  <c r="T186" i="1" s="1"/>
  <c r="U186" i="1" s="1"/>
  <c r="V186" i="1" s="1"/>
  <c r="W186" i="1"/>
  <c r="X186" i="1"/>
  <c r="U951" i="1" l="1"/>
  <c r="V951" i="1" s="1"/>
  <c r="O952" i="1"/>
  <c r="Q952" i="1" s="1"/>
  <c r="R952" i="1" s="1"/>
  <c r="P650" i="1"/>
  <c r="Q951" i="1"/>
  <c r="R951" i="1" s="1"/>
  <c r="P951" i="1"/>
  <c r="Q203" i="1"/>
  <c r="R203" i="1" s="1"/>
  <c r="Q202" i="1"/>
  <c r="R202" i="1" s="1"/>
  <c r="P203" i="1"/>
  <c r="P202" i="1"/>
  <c r="Q650" i="1"/>
  <c r="R650" i="1" s="1"/>
  <c r="Q200" i="1"/>
  <c r="R200" i="1" s="1"/>
  <c r="P200" i="1"/>
  <c r="P199" i="1"/>
  <c r="S199" i="1"/>
  <c r="Q199" i="1"/>
  <c r="R199" i="1" s="1"/>
  <c r="Q438" i="1"/>
  <c r="R438" i="1" s="1"/>
  <c r="O950" i="1"/>
  <c r="S950" i="1" s="1"/>
  <c r="T950" i="1" s="1"/>
  <c r="P438" i="1"/>
  <c r="O195" i="1"/>
  <c r="Q195" i="1" s="1"/>
  <c r="R195" i="1" s="1"/>
  <c r="O196" i="1"/>
  <c r="S196" i="1" s="1"/>
  <c r="P949" i="1"/>
  <c r="Q647" i="1"/>
  <c r="R647" i="1" s="1"/>
  <c r="Q949" i="1"/>
  <c r="R949" i="1" s="1"/>
  <c r="Q197" i="1"/>
  <c r="R197" i="1" s="1"/>
  <c r="P197" i="1"/>
  <c r="Q649" i="1"/>
  <c r="R649" i="1" s="1"/>
  <c r="P649" i="1"/>
  <c r="O437" i="1"/>
  <c r="S437" i="1" s="1"/>
  <c r="Q648" i="1"/>
  <c r="R648" i="1" s="1"/>
  <c r="P648" i="1"/>
  <c r="P647" i="1"/>
  <c r="Q948" i="1"/>
  <c r="R948" i="1" s="1"/>
  <c r="P948" i="1"/>
  <c r="S436" i="1"/>
  <c r="Q947" i="1"/>
  <c r="R947" i="1" s="1"/>
  <c r="P947" i="1"/>
  <c r="P436" i="1"/>
  <c r="O434" i="1"/>
  <c r="S434" i="1" s="1"/>
  <c r="P194" i="1"/>
  <c r="S194" i="1"/>
  <c r="P433" i="1"/>
  <c r="O433" i="1"/>
  <c r="S433" i="1" s="1"/>
  <c r="Q432" i="1"/>
  <c r="R432" i="1" s="1"/>
  <c r="Q645" i="1"/>
  <c r="R645" i="1" s="1"/>
  <c r="P432" i="1"/>
  <c r="P645" i="1"/>
  <c r="P431" i="1"/>
  <c r="Q431" i="1"/>
  <c r="R431" i="1" s="1"/>
  <c r="P429" i="1"/>
  <c r="Q429" i="1"/>
  <c r="R429" i="1" s="1"/>
  <c r="O430" i="1"/>
  <c r="S430" i="1" s="1"/>
  <c r="O403" i="1"/>
  <c r="S403" i="1" s="1"/>
  <c r="Q413" i="1"/>
  <c r="R413" i="1" s="1"/>
  <c r="P413" i="1"/>
  <c r="P403" i="1"/>
  <c r="Q946" i="1"/>
  <c r="R946" i="1" s="1"/>
  <c r="P946" i="1"/>
  <c r="O192" i="1"/>
  <c r="S192" i="1" s="1"/>
  <c r="Q427" i="1"/>
  <c r="R427" i="1" s="1"/>
  <c r="P427" i="1"/>
  <c r="Q426" i="1"/>
  <c r="R426" i="1" s="1"/>
  <c r="P426" i="1"/>
  <c r="Q178" i="1"/>
  <c r="R178" i="1" s="1"/>
  <c r="P178" i="1"/>
  <c r="Q424" i="1"/>
  <c r="R424" i="1" s="1"/>
  <c r="Q945" i="1"/>
  <c r="R945" i="1" s="1"/>
  <c r="P945" i="1"/>
  <c r="P424" i="1"/>
  <c r="P644" i="1"/>
  <c r="Q423" i="1"/>
  <c r="R423" i="1" s="1"/>
  <c r="P423" i="1"/>
  <c r="Q644" i="1"/>
  <c r="R644" i="1" s="1"/>
  <c r="Q190" i="1"/>
  <c r="R190" i="1" s="1"/>
  <c r="P190" i="1"/>
  <c r="P186" i="1"/>
  <c r="Q186" i="1"/>
  <c r="R186" i="1" s="1"/>
  <c r="S952" i="1" l="1"/>
  <c r="T952" i="1" s="1"/>
  <c r="U950" i="1"/>
  <c r="V950" i="1" s="1"/>
  <c r="T199" i="1"/>
  <c r="Q950" i="1"/>
  <c r="R950" i="1" s="1"/>
  <c r="S195" i="1"/>
  <c r="Q196" i="1"/>
  <c r="R196" i="1" s="1"/>
  <c r="Q437" i="1"/>
  <c r="R437" i="1" s="1"/>
  <c r="Q434" i="1"/>
  <c r="R434" i="1" s="1"/>
  <c r="Q433" i="1"/>
  <c r="R433" i="1" s="1"/>
  <c r="Q430" i="1"/>
  <c r="R430" i="1" s="1"/>
  <c r="Q403" i="1"/>
  <c r="R403" i="1" s="1"/>
  <c r="Q192" i="1"/>
  <c r="R192" i="1" s="1"/>
  <c r="A422" i="1"/>
  <c r="N422" i="1"/>
  <c r="O422" i="1" s="1"/>
  <c r="S422" i="1" s="1"/>
  <c r="W422" i="1"/>
  <c r="X422" i="1"/>
  <c r="AG422" i="1"/>
  <c r="A944" i="1"/>
  <c r="N944" i="1"/>
  <c r="O944" i="1" s="1"/>
  <c r="S944" i="1" s="1"/>
  <c r="W944" i="1"/>
  <c r="X944" i="1"/>
  <c r="AG944" i="1"/>
  <c r="A943" i="1"/>
  <c r="N943" i="1"/>
  <c r="O943" i="1" s="1"/>
  <c r="S943" i="1" s="1"/>
  <c r="W943" i="1"/>
  <c r="X943" i="1"/>
  <c r="AG943" i="1"/>
  <c r="A421" i="1"/>
  <c r="N421" i="1"/>
  <c r="O421" i="1" s="1"/>
  <c r="S421" i="1" s="1"/>
  <c r="W421" i="1"/>
  <c r="X421" i="1"/>
  <c r="AG421" i="1"/>
  <c r="A187" i="1"/>
  <c r="N187" i="1"/>
  <c r="O187" i="1" s="1"/>
  <c r="S187" i="1" s="1"/>
  <c r="W187" i="1"/>
  <c r="X187" i="1"/>
  <c r="AG187" i="1"/>
  <c r="A419" i="1"/>
  <c r="N419" i="1"/>
  <c r="P419" i="1" s="1"/>
  <c r="W419" i="1"/>
  <c r="X419" i="1"/>
  <c r="AG419" i="1"/>
  <c r="A942" i="1"/>
  <c r="N942" i="1"/>
  <c r="O942" i="1" s="1"/>
  <c r="S942" i="1" s="1"/>
  <c r="W942" i="1"/>
  <c r="X942" i="1"/>
  <c r="AG942" i="1"/>
  <c r="A941" i="1"/>
  <c r="N941" i="1"/>
  <c r="O941" i="1" s="1"/>
  <c r="S941" i="1"/>
  <c r="W941" i="1"/>
  <c r="X941" i="1"/>
  <c r="AG941" i="1"/>
  <c r="A643" i="1"/>
  <c r="N643" i="1"/>
  <c r="W643" i="1"/>
  <c r="X643" i="1"/>
  <c r="AG643" i="1"/>
  <c r="A642" i="1"/>
  <c r="N642" i="1"/>
  <c r="O642" i="1" s="1"/>
  <c r="S642" i="1" s="1"/>
  <c r="W642" i="1"/>
  <c r="X642" i="1"/>
  <c r="AG642" i="1"/>
  <c r="A186" i="1"/>
  <c r="A417" i="1"/>
  <c r="W417" i="1"/>
  <c r="X417" i="1"/>
  <c r="AG186" i="1"/>
  <c r="AG417" i="1"/>
  <c r="A184" i="1"/>
  <c r="N184" i="1"/>
  <c r="O184" i="1" s="1"/>
  <c r="S184" i="1" s="1"/>
  <c r="W184" i="1"/>
  <c r="X184" i="1"/>
  <c r="AG184" i="1"/>
  <c r="A416" i="1"/>
  <c r="N416" i="1"/>
  <c r="O416" i="1" s="1"/>
  <c r="S416" i="1" s="1"/>
  <c r="W416" i="1"/>
  <c r="X416" i="1"/>
  <c r="AG416" i="1"/>
  <c r="A641" i="1"/>
  <c r="N641" i="1"/>
  <c r="O641" i="1" s="1"/>
  <c r="S641" i="1" s="1"/>
  <c r="W641" i="1"/>
  <c r="X641" i="1"/>
  <c r="AG641" i="1"/>
  <c r="A182" i="1"/>
  <c r="W182" i="1"/>
  <c r="X182" i="1"/>
  <c r="AG182" i="1"/>
  <c r="A940" i="1"/>
  <c r="N940" i="1"/>
  <c r="O940" i="1" s="1"/>
  <c r="S940" i="1" s="1"/>
  <c r="W940" i="1"/>
  <c r="X940" i="1"/>
  <c r="AG940" i="1"/>
  <c r="A939" i="1"/>
  <c r="N939" i="1"/>
  <c r="P939" i="1" s="1"/>
  <c r="W939" i="1"/>
  <c r="X939" i="1"/>
  <c r="AG939" i="1"/>
  <c r="A938" i="1"/>
  <c r="N938" i="1"/>
  <c r="O938" i="1" s="1"/>
  <c r="S938" i="1" s="1"/>
  <c r="W938" i="1"/>
  <c r="X938" i="1"/>
  <c r="AG938" i="1"/>
  <c r="A181" i="1"/>
  <c r="N181" i="1"/>
  <c r="P181" i="1" s="1"/>
  <c r="S181" i="1"/>
  <c r="W181" i="1"/>
  <c r="X181" i="1"/>
  <c r="AG181" i="1"/>
  <c r="A414" i="1"/>
  <c r="N414" i="1"/>
  <c r="O414" i="1" s="1"/>
  <c r="S414" i="1" s="1"/>
  <c r="W414" i="1"/>
  <c r="X414" i="1"/>
  <c r="AG414" i="1"/>
  <c r="A415" i="1"/>
  <c r="N415" i="1"/>
  <c r="O415" i="1" s="1"/>
  <c r="S415" i="1" s="1"/>
  <c r="W415" i="1"/>
  <c r="X415" i="1"/>
  <c r="AG415" i="1"/>
  <c r="A936" i="1"/>
  <c r="A639" i="1"/>
  <c r="N936" i="1"/>
  <c r="P936" i="1" s="1"/>
  <c r="N639" i="1"/>
  <c r="P639" i="1" s="1"/>
  <c r="W936" i="1"/>
  <c r="W639" i="1"/>
  <c r="X936" i="1"/>
  <c r="X639" i="1"/>
  <c r="AG936" i="1"/>
  <c r="AG639" i="1"/>
  <c r="A937" i="1"/>
  <c r="N937" i="1"/>
  <c r="O937" i="1" s="1"/>
  <c r="S937" i="1" s="1"/>
  <c r="W937" i="1"/>
  <c r="X937" i="1"/>
  <c r="AG937" i="1"/>
  <c r="A409" i="1"/>
  <c r="N409" i="1"/>
  <c r="O409" i="1" s="1"/>
  <c r="Q409" i="1" s="1"/>
  <c r="R409" i="1" s="1"/>
  <c r="W409" i="1"/>
  <c r="X409" i="1"/>
  <c r="AG409" i="1"/>
  <c r="A638" i="1"/>
  <c r="N638" i="1"/>
  <c r="P638" i="1" s="1"/>
  <c r="W638" i="1"/>
  <c r="X638" i="1"/>
  <c r="AG638" i="1"/>
  <c r="A934" i="1"/>
  <c r="N934" i="1"/>
  <c r="O934" i="1" s="1"/>
  <c r="S934" i="1" s="1"/>
  <c r="W934" i="1"/>
  <c r="X934" i="1"/>
  <c r="AG934" i="1"/>
  <c r="A408" i="1"/>
  <c r="N408" i="1"/>
  <c r="O408" i="1" s="1"/>
  <c r="S408" i="1" s="1"/>
  <c r="W408" i="1"/>
  <c r="X408" i="1"/>
  <c r="AG408" i="1"/>
  <c r="G35" i="6"/>
  <c r="K35" i="6" a="1"/>
  <c r="K35" i="6" s="1"/>
  <c r="L35" i="6" s="1" a="1"/>
  <c r="L35" i="6" s="1"/>
  <c r="J35" i="6" s="1"/>
  <c r="G34" i="6"/>
  <c r="K34" i="6" a="1"/>
  <c r="K34" i="6" s="1"/>
  <c r="U952" i="1" l="1"/>
  <c r="V952" i="1" s="1"/>
  <c r="T204" i="1"/>
  <c r="U204" i="1" s="1"/>
  <c r="V204" i="1" s="1"/>
  <c r="L34" i="6" a="1"/>
  <c r="L34" i="6" s="1"/>
  <c r="J34" i="6" s="1"/>
  <c r="U199" i="1"/>
  <c r="V199" i="1" s="1"/>
  <c r="T200" i="1"/>
  <c r="U200" i="1" s="1"/>
  <c r="V200" i="1" s="1"/>
  <c r="Q944" i="1"/>
  <c r="R944" i="1" s="1"/>
  <c r="P944" i="1"/>
  <c r="P421" i="1"/>
  <c r="O419" i="1"/>
  <c r="S419" i="1" s="1"/>
  <c r="P943" i="1"/>
  <c r="Q943" i="1"/>
  <c r="R943" i="1" s="1"/>
  <c r="P643" i="1"/>
  <c r="Q422" i="1"/>
  <c r="R422" i="1" s="1"/>
  <c r="P422" i="1"/>
  <c r="Q421" i="1"/>
  <c r="R421" i="1" s="1"/>
  <c r="Q187" i="1"/>
  <c r="R187" i="1" s="1"/>
  <c r="P187" i="1"/>
  <c r="Q942" i="1"/>
  <c r="R942" i="1" s="1"/>
  <c r="O643" i="1"/>
  <c r="S643" i="1" s="1"/>
  <c r="P942" i="1"/>
  <c r="P416" i="1"/>
  <c r="Q941" i="1"/>
  <c r="R941" i="1" s="1"/>
  <c r="P941" i="1"/>
  <c r="P642" i="1"/>
  <c r="Q642" i="1"/>
  <c r="R642" i="1" s="1"/>
  <c r="Q184" i="1"/>
  <c r="R184" i="1" s="1"/>
  <c r="P184" i="1"/>
  <c r="Q416" i="1"/>
  <c r="R416" i="1" s="1"/>
  <c r="Q641" i="1"/>
  <c r="R641" i="1" s="1"/>
  <c r="P641" i="1"/>
  <c r="O939" i="1"/>
  <c r="S939" i="1" s="1"/>
  <c r="P938" i="1"/>
  <c r="Q940" i="1"/>
  <c r="R940" i="1" s="1"/>
  <c r="P940" i="1"/>
  <c r="Q938" i="1"/>
  <c r="R938" i="1" s="1"/>
  <c r="Q181" i="1"/>
  <c r="R181" i="1" s="1"/>
  <c r="O181" i="1"/>
  <c r="O936" i="1"/>
  <c r="S936" i="1" s="1"/>
  <c r="O639" i="1"/>
  <c r="S639" i="1" s="1"/>
  <c r="Q414" i="1"/>
  <c r="R414" i="1" s="1"/>
  <c r="Q415" i="1"/>
  <c r="R415" i="1" s="1"/>
  <c r="P414" i="1"/>
  <c r="P415" i="1"/>
  <c r="Q937" i="1"/>
  <c r="R937" i="1" s="1"/>
  <c r="P937" i="1"/>
  <c r="O638" i="1"/>
  <c r="S638" i="1" s="1"/>
  <c r="S409" i="1"/>
  <c r="P409" i="1"/>
  <c r="Q408" i="1"/>
  <c r="R408" i="1" s="1"/>
  <c r="P408" i="1"/>
  <c r="Q934" i="1"/>
  <c r="R934" i="1" s="1"/>
  <c r="P934" i="1"/>
  <c r="N397" i="1"/>
  <c r="O397" i="1" s="1"/>
  <c r="S397" i="1" s="1"/>
  <c r="T397" i="1" s="1"/>
  <c r="U397" i="1" s="1"/>
  <c r="V397" i="1" s="1"/>
  <c r="W397" i="1"/>
  <c r="X397" i="1"/>
  <c r="A407" i="1"/>
  <c r="N407" i="1"/>
  <c r="O407" i="1" s="1"/>
  <c r="S407" i="1" s="1"/>
  <c r="W407" i="1"/>
  <c r="X407" i="1"/>
  <c r="AG407" i="1"/>
  <c r="A406" i="1"/>
  <c r="N406" i="1"/>
  <c r="O406" i="1" s="1"/>
  <c r="Q406" i="1" s="1"/>
  <c r="R406" i="1" s="1"/>
  <c r="W406" i="1"/>
  <c r="X406" i="1"/>
  <c r="AG406" i="1"/>
  <c r="A405" i="1"/>
  <c r="N405" i="1"/>
  <c r="O405" i="1" s="1"/>
  <c r="S405" i="1" s="1"/>
  <c r="W405" i="1"/>
  <c r="X405" i="1"/>
  <c r="AG405" i="1"/>
  <c r="A180" i="1"/>
  <c r="N180" i="1"/>
  <c r="O180" i="1" s="1"/>
  <c r="S180" i="1" s="1"/>
  <c r="W180" i="1"/>
  <c r="X180" i="1"/>
  <c r="AG180" i="1"/>
  <c r="A179" i="1"/>
  <c r="W179" i="1"/>
  <c r="X179" i="1"/>
  <c r="AG179" i="1"/>
  <c r="A933" i="1"/>
  <c r="N933" i="1"/>
  <c r="O933" i="1" s="1"/>
  <c r="Q933" i="1" s="1"/>
  <c r="R933" i="1" s="1"/>
  <c r="W933" i="1"/>
  <c r="X933" i="1"/>
  <c r="AG933" i="1"/>
  <c r="A636" i="1"/>
  <c r="N636" i="1"/>
  <c r="O636" i="1" s="1"/>
  <c r="S636" i="1" s="1"/>
  <c r="W636" i="1"/>
  <c r="X636" i="1"/>
  <c r="AG636" i="1"/>
  <c r="A404" i="1"/>
  <c r="N404" i="1"/>
  <c r="O404" i="1" s="1"/>
  <c r="S404" i="1" s="1"/>
  <c r="W404" i="1"/>
  <c r="X404" i="1"/>
  <c r="AG404" i="1"/>
  <c r="A634" i="1"/>
  <c r="N634" i="1"/>
  <c r="P634" i="1" s="1"/>
  <c r="W634" i="1"/>
  <c r="X634" i="1"/>
  <c r="AG634" i="1"/>
  <c r="A178" i="1"/>
  <c r="AG178" i="1"/>
  <c r="A401" i="1"/>
  <c r="A402" i="1"/>
  <c r="A177" i="1"/>
  <c r="N401" i="1"/>
  <c r="O401" i="1" s="1"/>
  <c r="Q401" i="1" s="1"/>
  <c r="R401" i="1" s="1"/>
  <c r="N402" i="1"/>
  <c r="W401" i="1"/>
  <c r="W402" i="1"/>
  <c r="W177" i="1"/>
  <c r="X401" i="1"/>
  <c r="X402" i="1"/>
  <c r="X177" i="1"/>
  <c r="AG401" i="1"/>
  <c r="AG402" i="1"/>
  <c r="AG177" i="1"/>
  <c r="A400" i="1"/>
  <c r="N400" i="1"/>
  <c r="O400" i="1" s="1"/>
  <c r="S400" i="1" s="1"/>
  <c r="W400" i="1"/>
  <c r="X400" i="1"/>
  <c r="AG400" i="1"/>
  <c r="A399" i="1"/>
  <c r="N399" i="1"/>
  <c r="O399" i="1" s="1"/>
  <c r="S399" i="1" s="1"/>
  <c r="W399" i="1"/>
  <c r="X399" i="1"/>
  <c r="AG399" i="1"/>
  <c r="Q419" i="1" l="1"/>
  <c r="R419" i="1" s="1"/>
  <c r="Q643" i="1"/>
  <c r="R643" i="1" s="1"/>
  <c r="Q939" i="1"/>
  <c r="R939" i="1" s="1"/>
  <c r="Q936" i="1"/>
  <c r="R936" i="1" s="1"/>
  <c r="Q639" i="1"/>
  <c r="R639" i="1" s="1"/>
  <c r="Q638" i="1"/>
  <c r="R638" i="1" s="1"/>
  <c r="Q397" i="1"/>
  <c r="R397" i="1" s="1"/>
  <c r="P397" i="1"/>
  <c r="P636" i="1"/>
  <c r="P405" i="1"/>
  <c r="Q405" i="1"/>
  <c r="R405" i="1" s="1"/>
  <c r="P933" i="1"/>
  <c r="S933" i="1"/>
  <c r="S406" i="1"/>
  <c r="Q407" i="1"/>
  <c r="R407" i="1" s="1"/>
  <c r="Q636" i="1"/>
  <c r="R636" i="1" s="1"/>
  <c r="P407" i="1"/>
  <c r="Q180" i="1"/>
  <c r="R180" i="1" s="1"/>
  <c r="P180" i="1"/>
  <c r="Q404" i="1"/>
  <c r="R404" i="1" s="1"/>
  <c r="P406" i="1"/>
  <c r="P404" i="1"/>
  <c r="O634" i="1"/>
  <c r="S634" i="1" s="1"/>
  <c r="P401" i="1"/>
  <c r="S401" i="1"/>
  <c r="P402" i="1"/>
  <c r="O402" i="1"/>
  <c r="S402" i="1" s="1"/>
  <c r="P400" i="1"/>
  <c r="Q400" i="1"/>
  <c r="R400" i="1" s="1"/>
  <c r="P399" i="1"/>
  <c r="Q399" i="1"/>
  <c r="R399" i="1" s="1"/>
  <c r="A631" i="1"/>
  <c r="N631" i="1"/>
  <c r="O631" i="1" s="1"/>
  <c r="S631" i="1" s="1"/>
  <c r="W631" i="1"/>
  <c r="X631" i="1"/>
  <c r="AG631" i="1"/>
  <c r="AG619" i="1"/>
  <c r="A621" i="1"/>
  <c r="N621" i="1"/>
  <c r="O621" i="1" s="1"/>
  <c r="S621" i="1" s="1"/>
  <c r="W621" i="1"/>
  <c r="X621" i="1"/>
  <c r="N169" i="1"/>
  <c r="O169" i="1" s="1"/>
  <c r="W169" i="1"/>
  <c r="X169" i="1"/>
  <c r="Q634" i="1" l="1"/>
  <c r="R634" i="1" s="1"/>
  <c r="Q402" i="1"/>
  <c r="R402" i="1" s="1"/>
  <c r="Q631" i="1"/>
  <c r="R631" i="1" s="1"/>
  <c r="P631" i="1"/>
  <c r="P621" i="1"/>
  <c r="Q621" i="1"/>
  <c r="R621" i="1" s="1"/>
  <c r="Q169" i="1"/>
  <c r="R169" i="1" s="1"/>
  <c r="S169" i="1"/>
  <c r="T169" i="1" s="1"/>
  <c r="U169" i="1" s="1"/>
  <c r="V169" i="1" s="1"/>
  <c r="P169" i="1"/>
  <c r="A175" i="1" l="1"/>
  <c r="A176" i="1"/>
  <c r="N176" i="1"/>
  <c r="O176" i="1" s="1"/>
  <c r="Q176" i="1" s="1"/>
  <c r="R176" i="1" s="1"/>
  <c r="W175" i="1"/>
  <c r="W176" i="1"/>
  <c r="X175" i="1"/>
  <c r="X176" i="1"/>
  <c r="AG175" i="1"/>
  <c r="AG176" i="1"/>
  <c r="A629" i="1"/>
  <c r="N629" i="1"/>
  <c r="W629" i="1"/>
  <c r="X629" i="1"/>
  <c r="AG629" i="1"/>
  <c r="G33" i="6"/>
  <c r="K33" i="6" a="1"/>
  <c r="K33" i="6" s="1"/>
  <c r="L33" i="6" s="1" a="1"/>
  <c r="L33" i="6" s="1"/>
  <c r="J33" i="6" s="1"/>
  <c r="G30" i="6"/>
  <c r="K30" i="6" a="1"/>
  <c r="K30" i="6" s="1"/>
  <c r="G20" i="6"/>
  <c r="K20" i="6" a="1"/>
  <c r="K20" i="6" s="1"/>
  <c r="L20" i="6" s="1" a="1"/>
  <c r="L20" i="6" s="1"/>
  <c r="J20" i="6" s="1"/>
  <c r="G9" i="6"/>
  <c r="K9" i="6" a="1"/>
  <c r="K9" i="6" s="1"/>
  <c r="L9" i="6" s="1" a="1"/>
  <c r="L9" i="6" s="1"/>
  <c r="J9" i="6" s="1"/>
  <c r="P176" i="1" l="1"/>
  <c r="S176" i="1"/>
  <c r="P629" i="1"/>
  <c r="O629" i="1"/>
  <c r="S629" i="1" s="1"/>
  <c r="A628" i="1"/>
  <c r="A397" i="1"/>
  <c r="N628" i="1"/>
  <c r="O628" i="1" s="1"/>
  <c r="S628" i="1" s="1"/>
  <c r="W628" i="1"/>
  <c r="X628" i="1"/>
  <c r="AG628" i="1"/>
  <c r="AG397" i="1"/>
  <c r="A932" i="1"/>
  <c r="N932" i="1"/>
  <c r="P932" i="1" s="1"/>
  <c r="W932" i="1"/>
  <c r="X932" i="1"/>
  <c r="AG932" i="1"/>
  <c r="A396" i="1"/>
  <c r="N396" i="1"/>
  <c r="O396" i="1" s="1"/>
  <c r="S396" i="1" s="1"/>
  <c r="W396" i="1"/>
  <c r="X396" i="1"/>
  <c r="AG396" i="1"/>
  <c r="A627" i="1"/>
  <c r="N627" i="1"/>
  <c r="O627" i="1" s="1"/>
  <c r="S627" i="1" s="1"/>
  <c r="W627" i="1"/>
  <c r="X627" i="1"/>
  <c r="AG627" i="1"/>
  <c r="N867" i="1"/>
  <c r="A866" i="1"/>
  <c r="N866" i="1"/>
  <c r="O866" i="1" s="1"/>
  <c r="S866" i="1"/>
  <c r="W866" i="1"/>
  <c r="X866" i="1"/>
  <c r="A863" i="1"/>
  <c r="N863" i="1"/>
  <c r="O863" i="1" s="1"/>
  <c r="S863" i="1" s="1"/>
  <c r="W863" i="1"/>
  <c r="X863" i="1"/>
  <c r="N861" i="1"/>
  <c r="A860" i="1"/>
  <c r="N860" i="1"/>
  <c r="Q860" i="1" s="1"/>
  <c r="R860" i="1" s="1"/>
  <c r="S860" i="1"/>
  <c r="W860" i="1"/>
  <c r="X860" i="1"/>
  <c r="N566" i="1"/>
  <c r="N560" i="1"/>
  <c r="N588" i="1"/>
  <c r="A587" i="1"/>
  <c r="N587" i="1"/>
  <c r="O587" i="1" s="1"/>
  <c r="S587" i="1" s="1"/>
  <c r="W587" i="1"/>
  <c r="X587" i="1"/>
  <c r="N586" i="1"/>
  <c r="N584" i="1"/>
  <c r="A583" i="1"/>
  <c r="N583" i="1"/>
  <c r="O583" i="1" s="1"/>
  <c r="S583" i="1"/>
  <c r="W583" i="1"/>
  <c r="X583" i="1"/>
  <c r="N580" i="1"/>
  <c r="A579" i="1"/>
  <c r="N579" i="1"/>
  <c r="P579" i="1" s="1"/>
  <c r="S579" i="1"/>
  <c r="W579" i="1"/>
  <c r="X579" i="1"/>
  <c r="A565" i="1"/>
  <c r="N565" i="1"/>
  <c r="P565" i="1" s="1"/>
  <c r="S565" i="1"/>
  <c r="W565" i="1"/>
  <c r="X565" i="1"/>
  <c r="A559" i="1"/>
  <c r="N559" i="1"/>
  <c r="O559" i="1" s="1"/>
  <c r="S559" i="1" s="1"/>
  <c r="W559" i="1"/>
  <c r="X559" i="1"/>
  <c r="A554" i="1"/>
  <c r="N554" i="1"/>
  <c r="O554" i="1" s="1"/>
  <c r="S554" i="1"/>
  <c r="W554" i="1"/>
  <c r="X554" i="1"/>
  <c r="A127" i="1"/>
  <c r="N127" i="1"/>
  <c r="O127" i="1" s="1"/>
  <c r="S127" i="1"/>
  <c r="W127" i="1"/>
  <c r="X127" i="1"/>
  <c r="A118" i="1"/>
  <c r="N118" i="1"/>
  <c r="O118" i="1" s="1"/>
  <c r="S118" i="1"/>
  <c r="W118" i="1"/>
  <c r="X118" i="1"/>
  <c r="N104" i="1"/>
  <c r="P104" i="1" s="1"/>
  <c r="W104" i="1"/>
  <c r="X104" i="1"/>
  <c r="A101" i="1"/>
  <c r="N101" i="1"/>
  <c r="O101" i="1" s="1"/>
  <c r="S101" i="1"/>
  <c r="W101" i="1"/>
  <c r="X101" i="1"/>
  <c r="AG101" i="1"/>
  <c r="Q629" i="1" l="1"/>
  <c r="R629" i="1" s="1"/>
  <c r="Q628" i="1"/>
  <c r="R628" i="1" s="1"/>
  <c r="P628" i="1"/>
  <c r="O932" i="1"/>
  <c r="S932" i="1" s="1"/>
  <c r="P396" i="1"/>
  <c r="Q396" i="1"/>
  <c r="R396" i="1" s="1"/>
  <c r="O860" i="1"/>
  <c r="Q627" i="1"/>
  <c r="R627" i="1" s="1"/>
  <c r="P627" i="1"/>
  <c r="P860" i="1"/>
  <c r="Q866" i="1"/>
  <c r="R866" i="1" s="1"/>
  <c r="P866" i="1"/>
  <c r="P863" i="1"/>
  <c r="Q863" i="1"/>
  <c r="R863" i="1" s="1"/>
  <c r="Q587" i="1"/>
  <c r="R587" i="1" s="1"/>
  <c r="P587" i="1"/>
  <c r="Q583" i="1"/>
  <c r="R583" i="1" s="1"/>
  <c r="P583" i="1"/>
  <c r="O579" i="1"/>
  <c r="Q579" i="1"/>
  <c r="R579" i="1" s="1"/>
  <c r="Q565" i="1"/>
  <c r="R565" i="1" s="1"/>
  <c r="O565" i="1"/>
  <c r="Q559" i="1"/>
  <c r="R559" i="1" s="1"/>
  <c r="P559" i="1"/>
  <c r="Q554" i="1"/>
  <c r="R554" i="1" s="1"/>
  <c r="P554" i="1"/>
  <c r="Q127" i="1"/>
  <c r="R127" i="1" s="1"/>
  <c r="P127" i="1"/>
  <c r="Q118" i="1"/>
  <c r="R118" i="1" s="1"/>
  <c r="P118" i="1"/>
  <c r="O104" i="1"/>
  <c r="S104" i="1" s="1"/>
  <c r="T104" i="1" s="1"/>
  <c r="U104" i="1" s="1"/>
  <c r="V104" i="1" s="1"/>
  <c r="Q101" i="1"/>
  <c r="R101" i="1" s="1"/>
  <c r="P101" i="1"/>
  <c r="Q932" i="1" l="1"/>
  <c r="R932" i="1" s="1"/>
  <c r="Q104" i="1"/>
  <c r="R104" i="1" s="1"/>
  <c r="A174" i="1" l="1"/>
  <c r="N174" i="1"/>
  <c r="O174" i="1" s="1"/>
  <c r="S174" i="1" s="1"/>
  <c r="W174" i="1"/>
  <c r="X174" i="1"/>
  <c r="AG174" i="1"/>
  <c r="A624" i="1"/>
  <c r="N624" i="1"/>
  <c r="O624" i="1" s="1"/>
  <c r="Q624" i="1" s="1"/>
  <c r="R624" i="1" s="1"/>
  <c r="W624" i="1"/>
  <c r="X624" i="1"/>
  <c r="AG624" i="1"/>
  <c r="A931" i="1"/>
  <c r="N931" i="1"/>
  <c r="O931" i="1" s="1"/>
  <c r="W931" i="1"/>
  <c r="X931" i="1"/>
  <c r="AG931" i="1"/>
  <c r="A394" i="1"/>
  <c r="N394" i="1"/>
  <c r="O394" i="1" s="1"/>
  <c r="S394" i="1" s="1"/>
  <c r="W394" i="1"/>
  <c r="X394" i="1"/>
  <c r="AG394" i="1"/>
  <c r="A393" i="1"/>
  <c r="N393" i="1"/>
  <c r="P393" i="1" s="1"/>
  <c r="W393" i="1"/>
  <c r="X393" i="1"/>
  <c r="AG393" i="1"/>
  <c r="A172" i="1"/>
  <c r="N172" i="1"/>
  <c r="O172" i="1" s="1"/>
  <c r="S172" i="1" s="1"/>
  <c r="W172" i="1"/>
  <c r="X172" i="1"/>
  <c r="AG172" i="1"/>
  <c r="G31" i="6"/>
  <c r="K31" i="6" a="1"/>
  <c r="K31" i="6" s="1"/>
  <c r="L31" i="6" s="1" a="1"/>
  <c r="L31" i="6" s="1"/>
  <c r="J31" i="6" s="1"/>
  <c r="G27" i="6"/>
  <c r="K27" i="6" a="1"/>
  <c r="K27" i="6" s="1"/>
  <c r="N925" i="1"/>
  <c r="O925" i="1" s="1"/>
  <c r="S925" i="1" s="1"/>
  <c r="T925" i="1" s="1"/>
  <c r="U925" i="1" s="1"/>
  <c r="V925" i="1" s="1"/>
  <c r="W925" i="1"/>
  <c r="X925" i="1"/>
  <c r="N926" i="1"/>
  <c r="O926" i="1" s="1"/>
  <c r="W926" i="1"/>
  <c r="X926" i="1"/>
  <c r="N928" i="1"/>
  <c r="P928" i="1" s="1"/>
  <c r="W928" i="1"/>
  <c r="X928" i="1"/>
  <c r="A169" i="1"/>
  <c r="A170" i="1"/>
  <c r="A171" i="1"/>
  <c r="N170" i="1"/>
  <c r="O170" i="1" s="1"/>
  <c r="S170" i="1" s="1"/>
  <c r="W170" i="1"/>
  <c r="W171" i="1"/>
  <c r="X170" i="1"/>
  <c r="X171" i="1"/>
  <c r="AG169" i="1"/>
  <c r="AG170" i="1"/>
  <c r="AG171" i="1"/>
  <c r="A168" i="1"/>
  <c r="N168" i="1"/>
  <c r="W168" i="1"/>
  <c r="X168" i="1"/>
  <c r="AG168" i="1"/>
  <c r="A925" i="1"/>
  <c r="A926" i="1"/>
  <c r="A928" i="1"/>
  <c r="AG925" i="1"/>
  <c r="AG926" i="1"/>
  <c r="AG928" i="1"/>
  <c r="A924" i="1"/>
  <c r="N924" i="1"/>
  <c r="W924" i="1"/>
  <c r="X924" i="1"/>
  <c r="AG924" i="1"/>
  <c r="N879" i="1"/>
  <c r="O879" i="1" s="1"/>
  <c r="S879" i="1" s="1"/>
  <c r="T879" i="1" s="1"/>
  <c r="U879" i="1" s="1"/>
  <c r="V879" i="1" s="1"/>
  <c r="W879" i="1"/>
  <c r="X879" i="1"/>
  <c r="N864" i="1"/>
  <c r="O864" i="1" s="1"/>
  <c r="S864" i="1" s="1"/>
  <c r="T864" i="1" s="1"/>
  <c r="U864" i="1" s="1"/>
  <c r="V864" i="1" s="1"/>
  <c r="W864" i="1"/>
  <c r="X864" i="1"/>
  <c r="N857" i="1"/>
  <c r="O857" i="1" s="1"/>
  <c r="W857" i="1"/>
  <c r="X857" i="1"/>
  <c r="N858" i="1"/>
  <c r="P858" i="1" s="1"/>
  <c r="W858" i="1"/>
  <c r="X858" i="1"/>
  <c r="N859" i="1"/>
  <c r="O859" i="1" s="1"/>
  <c r="S859" i="1"/>
  <c r="W859" i="1"/>
  <c r="X859" i="1"/>
  <c r="N856" i="1"/>
  <c r="P856" i="1" s="1"/>
  <c r="W856" i="1"/>
  <c r="X856" i="1"/>
  <c r="A850" i="1"/>
  <c r="A859" i="1"/>
  <c r="A865" i="1"/>
  <c r="A873" i="1"/>
  <c r="A847" i="1"/>
  <c r="A854" i="1"/>
  <c r="A868" i="1"/>
  <c r="A870" i="1"/>
  <c r="A882" i="1"/>
  <c r="N850" i="1"/>
  <c r="P850" i="1" s="1"/>
  <c r="N865" i="1"/>
  <c r="Q865" i="1" s="1"/>
  <c r="R865" i="1" s="1"/>
  <c r="N873" i="1"/>
  <c r="P873" i="1" s="1"/>
  <c r="N847" i="1"/>
  <c r="O847" i="1" s="1"/>
  <c r="N854" i="1"/>
  <c r="P854" i="1" s="1"/>
  <c r="N868" i="1"/>
  <c r="P868" i="1" s="1"/>
  <c r="N870" i="1"/>
  <c r="O870" i="1" s="1"/>
  <c r="N882" i="1"/>
  <c r="O882" i="1" s="1"/>
  <c r="S850" i="1"/>
  <c r="S865" i="1"/>
  <c r="S873" i="1"/>
  <c r="S847" i="1"/>
  <c r="S854" i="1"/>
  <c r="S868" i="1"/>
  <c r="S870" i="1"/>
  <c r="S882" i="1"/>
  <c r="W850" i="1"/>
  <c r="W865" i="1"/>
  <c r="W873" i="1"/>
  <c r="W847" i="1"/>
  <c r="W854" i="1"/>
  <c r="W868" i="1"/>
  <c r="W870" i="1"/>
  <c r="W882" i="1"/>
  <c r="X850" i="1"/>
  <c r="X865" i="1"/>
  <c r="X873" i="1"/>
  <c r="X847" i="1"/>
  <c r="X854" i="1"/>
  <c r="X868" i="1"/>
  <c r="X870" i="1"/>
  <c r="X882" i="1"/>
  <c r="AG850" i="1"/>
  <c r="AG859" i="1"/>
  <c r="AG865" i="1"/>
  <c r="AG873" i="1"/>
  <c r="AG847" i="1"/>
  <c r="AG854" i="1"/>
  <c r="AG868" i="1"/>
  <c r="AG870" i="1"/>
  <c r="AG882" i="1"/>
  <c r="A849" i="1"/>
  <c r="N849" i="1"/>
  <c r="O849" i="1" s="1"/>
  <c r="S849" i="1"/>
  <c r="W849" i="1"/>
  <c r="X849" i="1"/>
  <c r="AG849" i="1"/>
  <c r="N585" i="1"/>
  <c r="O585" i="1" s="1"/>
  <c r="S585" i="1" s="1"/>
  <c r="T585" i="1" s="1"/>
  <c r="U585" i="1" s="1"/>
  <c r="V585" i="1" s="1"/>
  <c r="W585" i="1"/>
  <c r="X585" i="1"/>
  <c r="W581" i="1"/>
  <c r="X581" i="1"/>
  <c r="N571" i="1"/>
  <c r="O571" i="1" s="1"/>
  <c r="W571" i="1"/>
  <c r="X571" i="1"/>
  <c r="N569" i="1"/>
  <c r="O569" i="1" s="1"/>
  <c r="W569" i="1"/>
  <c r="X569" i="1"/>
  <c r="N568" i="1"/>
  <c r="O568" i="1" s="1"/>
  <c r="S568" i="1" s="1"/>
  <c r="T568" i="1" s="1"/>
  <c r="U568" i="1" s="1"/>
  <c r="V568" i="1" s="1"/>
  <c r="W568" i="1"/>
  <c r="X568" i="1"/>
  <c r="N563" i="1"/>
  <c r="P563" i="1" s="1"/>
  <c r="W563" i="1"/>
  <c r="X563" i="1"/>
  <c r="N562" i="1"/>
  <c r="O562" i="1" s="1"/>
  <c r="W562" i="1"/>
  <c r="X562" i="1"/>
  <c r="N558" i="1"/>
  <c r="O558" i="1" s="1"/>
  <c r="S558" i="1" s="1"/>
  <c r="T558" i="1" s="1"/>
  <c r="W558" i="1"/>
  <c r="X558" i="1"/>
  <c r="A582" i="1"/>
  <c r="N582" i="1"/>
  <c r="O582" i="1" s="1"/>
  <c r="S582" i="1"/>
  <c r="W582" i="1"/>
  <c r="X582" i="1"/>
  <c r="AG582" i="1"/>
  <c r="A581" i="1"/>
  <c r="N581" i="1"/>
  <c r="O581" i="1" s="1"/>
  <c r="S581" i="1"/>
  <c r="AG581" i="1"/>
  <c r="A578" i="1"/>
  <c r="N578" i="1"/>
  <c r="P578" i="1" s="1"/>
  <c r="S578" i="1"/>
  <c r="W578" i="1"/>
  <c r="X578" i="1"/>
  <c r="AG578" i="1"/>
  <c r="A564" i="1"/>
  <c r="N564" i="1"/>
  <c r="Q564" i="1" s="1"/>
  <c r="R564" i="1" s="1"/>
  <c r="S564" i="1"/>
  <c r="W564" i="1"/>
  <c r="X564" i="1"/>
  <c r="AG564" i="1"/>
  <c r="A623" i="1"/>
  <c r="N623" i="1"/>
  <c r="O623" i="1" s="1"/>
  <c r="S623" i="1" s="1"/>
  <c r="W623" i="1"/>
  <c r="X623" i="1"/>
  <c r="AG623" i="1"/>
  <c r="A392" i="1"/>
  <c r="A622" i="1"/>
  <c r="N392" i="1"/>
  <c r="O392" i="1" s="1"/>
  <c r="S392" i="1" s="1"/>
  <c r="N622" i="1"/>
  <c r="O622" i="1" s="1"/>
  <c r="S622" i="1" s="1"/>
  <c r="W392" i="1"/>
  <c r="W622" i="1"/>
  <c r="X392" i="1"/>
  <c r="X622" i="1"/>
  <c r="AG392" i="1"/>
  <c r="AG622" i="1"/>
  <c r="A620" i="1"/>
  <c r="N620" i="1"/>
  <c r="O620" i="1" s="1"/>
  <c r="S620" i="1" s="1"/>
  <c r="W620" i="1"/>
  <c r="X620" i="1"/>
  <c r="AG620" i="1"/>
  <c r="A619" i="1"/>
  <c r="N619" i="1"/>
  <c r="O619" i="1" s="1"/>
  <c r="S619" i="1"/>
  <c r="W619" i="1"/>
  <c r="X619" i="1"/>
  <c r="G32" i="6"/>
  <c r="K32" i="6" a="1"/>
  <c r="K32" i="6" s="1"/>
  <c r="A618" i="1"/>
  <c r="N618" i="1"/>
  <c r="O618" i="1" s="1"/>
  <c r="S618" i="1"/>
  <c r="W618" i="1"/>
  <c r="X618" i="1"/>
  <c r="AG618" i="1"/>
  <c r="A923" i="1"/>
  <c r="N923" i="1"/>
  <c r="O923" i="1" s="1"/>
  <c r="S923" i="1" s="1"/>
  <c r="W923" i="1"/>
  <c r="X923" i="1"/>
  <c r="AG923" i="1"/>
  <c r="A167" i="1"/>
  <c r="W167" i="1"/>
  <c r="X167" i="1"/>
  <c r="AG167" i="1"/>
  <c r="A922" i="1"/>
  <c r="N922" i="1"/>
  <c r="O922" i="1" s="1"/>
  <c r="S922" i="1" s="1"/>
  <c r="W922" i="1"/>
  <c r="X922" i="1"/>
  <c r="AG922" i="1"/>
  <c r="A166" i="1"/>
  <c r="W166" i="1"/>
  <c r="X166" i="1"/>
  <c r="AG166" i="1"/>
  <c r="A165" i="1"/>
  <c r="N165" i="1"/>
  <c r="O165" i="1" s="1"/>
  <c r="S165" i="1" s="1"/>
  <c r="W165" i="1"/>
  <c r="X165" i="1"/>
  <c r="AG165" i="1"/>
  <c r="A921" i="1"/>
  <c r="N921" i="1"/>
  <c r="P921" i="1" s="1"/>
  <c r="W921" i="1"/>
  <c r="X921" i="1"/>
  <c r="AG921" i="1"/>
  <c r="A390" i="1"/>
  <c r="N390" i="1"/>
  <c r="O390" i="1" s="1"/>
  <c r="S390" i="1" s="1"/>
  <c r="W390" i="1"/>
  <c r="X390" i="1"/>
  <c r="AG390" i="1"/>
  <c r="A919" i="1"/>
  <c r="N919" i="1"/>
  <c r="O919" i="1" s="1"/>
  <c r="S919" i="1" s="1"/>
  <c r="W919" i="1"/>
  <c r="X919" i="1"/>
  <c r="AG919" i="1"/>
  <c r="A918" i="1"/>
  <c r="AG918" i="1"/>
  <c r="A617" i="1"/>
  <c r="N617" i="1"/>
  <c r="O617" i="1" s="1"/>
  <c r="S617" i="1" s="1"/>
  <c r="W617" i="1"/>
  <c r="X617" i="1"/>
  <c r="AG617" i="1"/>
  <c r="A389" i="1"/>
  <c r="N389" i="1"/>
  <c r="O389" i="1" s="1"/>
  <c r="S389" i="1" s="1"/>
  <c r="W389" i="1"/>
  <c r="X389" i="1"/>
  <c r="AG389" i="1"/>
  <c r="A614" i="1"/>
  <c r="N614" i="1"/>
  <c r="O614" i="1" s="1"/>
  <c r="S614" i="1" s="1"/>
  <c r="W614" i="1"/>
  <c r="X614" i="1"/>
  <c r="AG614" i="1"/>
  <c r="A613" i="1"/>
  <c r="N613" i="1"/>
  <c r="O613" i="1" s="1"/>
  <c r="S613" i="1" s="1"/>
  <c r="W613" i="1"/>
  <c r="X613" i="1"/>
  <c r="AG613" i="1"/>
  <c r="A164" i="1"/>
  <c r="N164" i="1"/>
  <c r="O164" i="1" s="1"/>
  <c r="S164" i="1" s="1"/>
  <c r="W164" i="1"/>
  <c r="X164" i="1"/>
  <c r="AG164" i="1"/>
  <c r="A917" i="1"/>
  <c r="AG917" i="1"/>
  <c r="A916" i="1"/>
  <c r="N916" i="1"/>
  <c r="P916" i="1" s="1"/>
  <c r="S916" i="1"/>
  <c r="W916" i="1"/>
  <c r="X916" i="1"/>
  <c r="AG916" i="1"/>
  <c r="N137" i="1"/>
  <c r="O137" i="1" s="1"/>
  <c r="W137" i="1"/>
  <c r="X137" i="1"/>
  <c r="N119" i="1"/>
  <c r="O119" i="1" s="1"/>
  <c r="S119" i="1" s="1"/>
  <c r="W119" i="1"/>
  <c r="X119" i="1"/>
  <c r="N108" i="1"/>
  <c r="O108" i="1" s="1"/>
  <c r="W108" i="1"/>
  <c r="X108" i="1"/>
  <c r="N107" i="1"/>
  <c r="O107" i="1" s="1"/>
  <c r="W107" i="1"/>
  <c r="X107" i="1"/>
  <c r="N106" i="1"/>
  <c r="O106" i="1" s="1"/>
  <c r="W106" i="1"/>
  <c r="X106" i="1"/>
  <c r="N102" i="1"/>
  <c r="O102" i="1" s="1"/>
  <c r="W102" i="1"/>
  <c r="X102" i="1"/>
  <c r="A133" i="1"/>
  <c r="A135" i="1"/>
  <c r="A123" i="1"/>
  <c r="N133" i="1"/>
  <c r="O133" i="1" s="1"/>
  <c r="N135" i="1"/>
  <c r="O135" i="1" s="1"/>
  <c r="N123" i="1"/>
  <c r="O123" i="1" s="1"/>
  <c r="S133" i="1"/>
  <c r="S135" i="1"/>
  <c r="S123" i="1"/>
  <c r="W133" i="1"/>
  <c r="W135" i="1"/>
  <c r="W123" i="1"/>
  <c r="X133" i="1"/>
  <c r="X135" i="1"/>
  <c r="X123" i="1"/>
  <c r="AG133" i="1"/>
  <c r="AG135" i="1"/>
  <c r="AG123" i="1"/>
  <c r="A131" i="1"/>
  <c r="N131" i="1"/>
  <c r="P131" i="1" s="1"/>
  <c r="S131" i="1"/>
  <c r="W131" i="1"/>
  <c r="X131" i="1"/>
  <c r="AG131" i="1"/>
  <c r="A112" i="1"/>
  <c r="N112" i="1"/>
  <c r="O112" i="1" s="1"/>
  <c r="S112" i="1"/>
  <c r="W112" i="1"/>
  <c r="X112" i="1"/>
  <c r="AG112" i="1"/>
  <c r="A105" i="1"/>
  <c r="N105" i="1"/>
  <c r="P105" i="1" s="1"/>
  <c r="S105" i="1"/>
  <c r="W105" i="1"/>
  <c r="X105" i="1"/>
  <c r="AG105" i="1"/>
  <c r="A128" i="1"/>
  <c r="A124" i="1"/>
  <c r="A98" i="1"/>
  <c r="N128" i="1"/>
  <c r="O128" i="1" s="1"/>
  <c r="N124" i="1"/>
  <c r="O124" i="1" s="1"/>
  <c r="N98" i="1"/>
  <c r="P98" i="1" s="1"/>
  <c r="S128" i="1"/>
  <c r="S124" i="1"/>
  <c r="S98" i="1"/>
  <c r="W128" i="1"/>
  <c r="W124" i="1"/>
  <c r="W98" i="1"/>
  <c r="X128" i="1"/>
  <c r="X124" i="1"/>
  <c r="X98" i="1"/>
  <c r="AG128" i="1"/>
  <c r="AG124" i="1"/>
  <c r="AG98" i="1"/>
  <c r="A125" i="1"/>
  <c r="N125" i="1"/>
  <c r="O125" i="1" s="1"/>
  <c r="S125" i="1"/>
  <c r="W125" i="1"/>
  <c r="X125" i="1"/>
  <c r="AG125" i="1"/>
  <c r="A126" i="1"/>
  <c r="N126" i="1"/>
  <c r="P126" i="1" s="1"/>
  <c r="S126" i="1"/>
  <c r="W126" i="1"/>
  <c r="X126" i="1"/>
  <c r="AG126" i="1"/>
  <c r="A122" i="1"/>
  <c r="N122" i="1"/>
  <c r="O122" i="1" s="1"/>
  <c r="S122" i="1"/>
  <c r="W122" i="1"/>
  <c r="X122" i="1"/>
  <c r="AG122" i="1"/>
  <c r="A117" i="1"/>
  <c r="N117" i="1"/>
  <c r="P117" i="1" s="1"/>
  <c r="S117" i="1"/>
  <c r="W117" i="1"/>
  <c r="X117" i="1"/>
  <c r="AG117" i="1"/>
  <c r="A100" i="1"/>
  <c r="N100" i="1"/>
  <c r="Q100" i="1" s="1"/>
  <c r="R100" i="1" s="1"/>
  <c r="S100" i="1"/>
  <c r="W100" i="1"/>
  <c r="X100" i="1"/>
  <c r="AG100" i="1"/>
  <c r="N96" i="1"/>
  <c r="N555" i="1"/>
  <c r="W555" i="1"/>
  <c r="X555" i="1"/>
  <c r="W556" i="1"/>
  <c r="X556" i="1"/>
  <c r="A553" i="1"/>
  <c r="N553" i="1"/>
  <c r="O553" i="1" s="1"/>
  <c r="S553" i="1"/>
  <c r="W553" i="1"/>
  <c r="X553" i="1"/>
  <c r="AG553" i="1"/>
  <c r="S931" i="1" l="1"/>
  <c r="L30" i="6" a="1"/>
  <c r="L30" i="6" s="1"/>
  <c r="J30" i="6" s="1"/>
  <c r="L32" i="6" a="1"/>
  <c r="L32" i="6" s="1"/>
  <c r="J32" i="6" s="1"/>
  <c r="L27" i="6" a="1"/>
  <c r="L27" i="6" s="1"/>
  <c r="J27" i="6" s="1"/>
  <c r="U558" i="1"/>
  <c r="V558" i="1" s="1"/>
  <c r="T119" i="1"/>
  <c r="U119" i="1" s="1"/>
  <c r="V119" i="1" s="1"/>
  <c r="S624" i="1"/>
  <c r="Q174" i="1"/>
  <c r="R174" i="1" s="1"/>
  <c r="P174" i="1"/>
  <c r="O393" i="1"/>
  <c r="S393" i="1" s="1"/>
  <c r="Q931" i="1"/>
  <c r="R931" i="1" s="1"/>
  <c r="P624" i="1"/>
  <c r="P931" i="1"/>
  <c r="Q394" i="1"/>
  <c r="R394" i="1" s="1"/>
  <c r="P394" i="1"/>
  <c r="Q172" i="1"/>
  <c r="R172" i="1" s="1"/>
  <c r="P172" i="1"/>
  <c r="O928" i="1"/>
  <c r="Q928" i="1" s="1"/>
  <c r="R928" i="1" s="1"/>
  <c r="P170" i="1"/>
  <c r="S926" i="1"/>
  <c r="T926" i="1" s="1"/>
  <c r="Q926" i="1"/>
  <c r="R926" i="1" s="1"/>
  <c r="P926" i="1"/>
  <c r="Q925" i="1"/>
  <c r="R925" i="1" s="1"/>
  <c r="P925" i="1"/>
  <c r="Q170" i="1"/>
  <c r="R170" i="1" s="1"/>
  <c r="P168" i="1"/>
  <c r="O168" i="1"/>
  <c r="S168" i="1" s="1"/>
  <c r="P924" i="1"/>
  <c r="O924" i="1"/>
  <c r="S924" i="1" s="1"/>
  <c r="Q859" i="1"/>
  <c r="R859" i="1" s="1"/>
  <c r="P859" i="1"/>
  <c r="Q879" i="1"/>
  <c r="R879" i="1" s="1"/>
  <c r="P879" i="1"/>
  <c r="P569" i="1"/>
  <c r="Q864" i="1"/>
  <c r="R864" i="1" s="1"/>
  <c r="P864" i="1"/>
  <c r="O856" i="1"/>
  <c r="Q856" i="1" s="1"/>
  <c r="R856" i="1" s="1"/>
  <c r="S857" i="1"/>
  <c r="T857" i="1" s="1"/>
  <c r="U857" i="1" s="1"/>
  <c r="V857" i="1" s="1"/>
  <c r="Q857" i="1"/>
  <c r="R857" i="1" s="1"/>
  <c r="P857" i="1"/>
  <c r="O858" i="1"/>
  <c r="S858" i="1" s="1"/>
  <c r="T858" i="1" s="1"/>
  <c r="U858" i="1" s="1"/>
  <c r="V858" i="1" s="1"/>
  <c r="Q849" i="1"/>
  <c r="R849" i="1" s="1"/>
  <c r="P849" i="1"/>
  <c r="P865" i="1"/>
  <c r="O850" i="1"/>
  <c r="Q850" i="1"/>
  <c r="R850" i="1" s="1"/>
  <c r="O873" i="1"/>
  <c r="O865" i="1"/>
  <c r="Q873" i="1"/>
  <c r="R873" i="1" s="1"/>
  <c r="Q870" i="1"/>
  <c r="R870" i="1" s="1"/>
  <c r="P870" i="1"/>
  <c r="O868" i="1"/>
  <c r="O854" i="1"/>
  <c r="Q882" i="1"/>
  <c r="R882" i="1" s="1"/>
  <c r="P882" i="1"/>
  <c r="Q868" i="1"/>
  <c r="R868" i="1" s="1"/>
  <c r="Q854" i="1"/>
  <c r="R854" i="1" s="1"/>
  <c r="Q847" i="1"/>
  <c r="R847" i="1" s="1"/>
  <c r="P847" i="1"/>
  <c r="P571" i="1"/>
  <c r="O563" i="1"/>
  <c r="Q563" i="1" s="1"/>
  <c r="R563" i="1" s="1"/>
  <c r="P568" i="1"/>
  <c r="Q585" i="1"/>
  <c r="R585" i="1" s="1"/>
  <c r="P585" i="1"/>
  <c r="Q571" i="1"/>
  <c r="R571" i="1" s="1"/>
  <c r="S571" i="1"/>
  <c r="T571" i="1" s="1"/>
  <c r="U571" i="1" s="1"/>
  <c r="V571" i="1" s="1"/>
  <c r="S569" i="1"/>
  <c r="T569" i="1" s="1"/>
  <c r="U569" i="1" s="1"/>
  <c r="V569" i="1" s="1"/>
  <c r="Q569" i="1"/>
  <c r="R569" i="1" s="1"/>
  <c r="Q568" i="1"/>
  <c r="R568" i="1" s="1"/>
  <c r="P562" i="1"/>
  <c r="S562" i="1"/>
  <c r="T562" i="1" s="1"/>
  <c r="U562" i="1" s="1"/>
  <c r="V562" i="1" s="1"/>
  <c r="Q562" i="1"/>
  <c r="R562" i="1" s="1"/>
  <c r="P558" i="1"/>
  <c r="Q558" i="1"/>
  <c r="R558" i="1" s="1"/>
  <c r="P564" i="1"/>
  <c r="P582" i="1"/>
  <c r="Q582" i="1"/>
  <c r="R582" i="1" s="1"/>
  <c r="O564" i="1"/>
  <c r="O578" i="1"/>
  <c r="Q581" i="1"/>
  <c r="R581" i="1" s="1"/>
  <c r="Q578" i="1"/>
  <c r="R578" i="1" s="1"/>
  <c r="P581" i="1"/>
  <c r="Q622" i="1"/>
  <c r="R622" i="1" s="1"/>
  <c r="Q392" i="1"/>
  <c r="R392" i="1" s="1"/>
  <c r="P622" i="1"/>
  <c r="P392" i="1"/>
  <c r="Q623" i="1"/>
  <c r="R623" i="1" s="1"/>
  <c r="P623" i="1"/>
  <c r="Q620" i="1"/>
  <c r="R620" i="1" s="1"/>
  <c r="P620" i="1"/>
  <c r="Q619" i="1"/>
  <c r="R619" i="1" s="1"/>
  <c r="P619" i="1"/>
  <c r="Q618" i="1"/>
  <c r="R618" i="1" s="1"/>
  <c r="P618" i="1"/>
  <c r="Q923" i="1"/>
  <c r="R923" i="1" s="1"/>
  <c r="P923" i="1"/>
  <c r="Q922" i="1"/>
  <c r="R922" i="1" s="1"/>
  <c r="Q165" i="1"/>
  <c r="R165" i="1" s="1"/>
  <c r="O921" i="1"/>
  <c r="S921" i="1" s="1"/>
  <c r="P922" i="1"/>
  <c r="P165" i="1"/>
  <c r="Q390" i="1"/>
  <c r="R390" i="1" s="1"/>
  <c r="Q919" i="1"/>
  <c r="R919" i="1" s="1"/>
  <c r="P390" i="1"/>
  <c r="P919" i="1"/>
  <c r="Q389" i="1"/>
  <c r="R389" i="1" s="1"/>
  <c r="P614" i="1"/>
  <c r="Q614" i="1"/>
  <c r="R614" i="1" s="1"/>
  <c r="Q617" i="1"/>
  <c r="R617" i="1" s="1"/>
  <c r="P617" i="1"/>
  <c r="P613" i="1"/>
  <c r="P389" i="1"/>
  <c r="Q613" i="1"/>
  <c r="R613" i="1" s="1"/>
  <c r="Q916" i="1"/>
  <c r="R916" i="1" s="1"/>
  <c r="P164" i="1"/>
  <c r="Q164" i="1"/>
  <c r="R164" i="1" s="1"/>
  <c r="O916" i="1"/>
  <c r="P137" i="1"/>
  <c r="Q137" i="1"/>
  <c r="R137" i="1" s="1"/>
  <c r="S137" i="1"/>
  <c r="T137" i="1" s="1"/>
  <c r="U137" i="1" s="1"/>
  <c r="V137" i="1" s="1"/>
  <c r="Q119" i="1"/>
  <c r="R119" i="1" s="1"/>
  <c r="P119" i="1"/>
  <c r="O105" i="1"/>
  <c r="P108" i="1"/>
  <c r="Q108" i="1"/>
  <c r="R108" i="1" s="1"/>
  <c r="S108" i="1"/>
  <c r="T108" i="1" s="1"/>
  <c r="U108" i="1" s="1"/>
  <c r="V108" i="1" s="1"/>
  <c r="Q105" i="1"/>
  <c r="R105" i="1" s="1"/>
  <c r="S107" i="1"/>
  <c r="T107" i="1" s="1"/>
  <c r="U107" i="1" s="1"/>
  <c r="V107" i="1" s="1"/>
  <c r="Q107" i="1"/>
  <c r="R107" i="1" s="1"/>
  <c r="P107" i="1"/>
  <c r="P106" i="1"/>
  <c r="Q106" i="1"/>
  <c r="R106" i="1" s="1"/>
  <c r="S106" i="1"/>
  <c r="T106" i="1" s="1"/>
  <c r="U106" i="1" s="1"/>
  <c r="V106" i="1" s="1"/>
  <c r="P100" i="1"/>
  <c r="O131" i="1"/>
  <c r="P102" i="1"/>
  <c r="Q102" i="1"/>
  <c r="R102" i="1" s="1"/>
  <c r="S102" i="1"/>
  <c r="T102" i="1" s="1"/>
  <c r="U102" i="1" s="1"/>
  <c r="V102" i="1" s="1"/>
  <c r="O126" i="1"/>
  <c r="Q123" i="1"/>
  <c r="R123" i="1" s="1"/>
  <c r="O100" i="1"/>
  <c r="Q126" i="1"/>
  <c r="R126" i="1" s="1"/>
  <c r="Q98" i="1"/>
  <c r="R98" i="1" s="1"/>
  <c r="Q124" i="1"/>
  <c r="R124" i="1" s="1"/>
  <c r="Q128" i="1"/>
  <c r="R128" i="1" s="1"/>
  <c r="P128" i="1"/>
  <c r="O98" i="1"/>
  <c r="Q135" i="1"/>
  <c r="R135" i="1" s="1"/>
  <c r="P124" i="1"/>
  <c r="P123" i="1"/>
  <c r="P135" i="1"/>
  <c r="Q125" i="1"/>
  <c r="R125" i="1" s="1"/>
  <c r="P125" i="1"/>
  <c r="P133" i="1"/>
  <c r="Q133" i="1"/>
  <c r="R133" i="1" s="1"/>
  <c r="Q122" i="1"/>
  <c r="R122" i="1" s="1"/>
  <c r="Q131" i="1"/>
  <c r="R131" i="1" s="1"/>
  <c r="P122" i="1"/>
  <c r="O117" i="1"/>
  <c r="Q112" i="1"/>
  <c r="R112" i="1" s="1"/>
  <c r="P112" i="1"/>
  <c r="Q117" i="1"/>
  <c r="R117" i="1" s="1"/>
  <c r="Q553" i="1"/>
  <c r="R553" i="1" s="1"/>
  <c r="P553" i="1"/>
  <c r="U926" i="1" l="1"/>
  <c r="V926" i="1" s="1"/>
  <c r="Q393" i="1"/>
  <c r="R393" i="1" s="1"/>
  <c r="S928" i="1"/>
  <c r="T928" i="1" s="1"/>
  <c r="T927" i="1" s="1"/>
  <c r="U927" i="1" s="1"/>
  <c r="V927" i="1" s="1"/>
  <c r="Q924" i="1"/>
  <c r="R924" i="1" s="1"/>
  <c r="Q168" i="1"/>
  <c r="R168" i="1" s="1"/>
  <c r="S856" i="1"/>
  <c r="T856" i="1" s="1"/>
  <c r="U856" i="1" s="1"/>
  <c r="V856" i="1" s="1"/>
  <c r="Q858" i="1"/>
  <c r="R858" i="1" s="1"/>
  <c r="S563" i="1"/>
  <c r="T563" i="1" s="1"/>
  <c r="U563" i="1" s="1"/>
  <c r="V563" i="1" s="1"/>
  <c r="Q921" i="1"/>
  <c r="R921" i="1" s="1"/>
  <c r="O144" i="1"/>
  <c r="S144" i="1"/>
  <c r="W144" i="1"/>
  <c r="X144" i="1"/>
  <c r="N884" i="1"/>
  <c r="W884" i="1"/>
  <c r="X884" i="1"/>
  <c r="N145" i="1"/>
  <c r="O145" i="1" s="1"/>
  <c r="S145" i="1" s="1"/>
  <c r="T145" i="1" s="1"/>
  <c r="U145" i="1" s="1"/>
  <c r="V145" i="1" s="1"/>
  <c r="W145" i="1"/>
  <c r="X145" i="1"/>
  <c r="N142" i="1"/>
  <c r="O142" i="1" s="1"/>
  <c r="Q142" i="1" s="1"/>
  <c r="R142" i="1" s="1"/>
  <c r="S142" i="1"/>
  <c r="T142" i="1" s="1"/>
  <c r="U142" i="1" s="1"/>
  <c r="V142" i="1" s="1"/>
  <c r="W142" i="1"/>
  <c r="X142" i="1"/>
  <c r="O588" i="1"/>
  <c r="S588" i="1" s="1"/>
  <c r="W588" i="1"/>
  <c r="X588" i="1"/>
  <c r="N589" i="1"/>
  <c r="O589" i="1" s="1"/>
  <c r="S589" i="1" s="1"/>
  <c r="T589" i="1" s="1"/>
  <c r="U589" i="1" s="1"/>
  <c r="V589" i="1" s="1"/>
  <c r="W589" i="1"/>
  <c r="X589" i="1"/>
  <c r="W143" i="1"/>
  <c r="X143" i="1"/>
  <c r="A144" i="1"/>
  <c r="AG144" i="1"/>
  <c r="U928" i="1" l="1"/>
  <c r="V928" i="1" s="1"/>
  <c r="T144" i="1"/>
  <c r="U144" i="1" s="1"/>
  <c r="V144" i="1" s="1"/>
  <c r="T588" i="1"/>
  <c r="U588" i="1" s="1"/>
  <c r="V588" i="1" s="1"/>
  <c r="Q144" i="1"/>
  <c r="R144" i="1" s="1"/>
  <c r="P144" i="1"/>
  <c r="P142" i="1"/>
  <c r="P884" i="1"/>
  <c r="O884" i="1"/>
  <c r="S884" i="1" s="1"/>
  <c r="T884" i="1" s="1"/>
  <c r="U884" i="1" s="1"/>
  <c r="V884" i="1" s="1"/>
  <c r="Q145" i="1"/>
  <c r="R145" i="1" s="1"/>
  <c r="P145" i="1"/>
  <c r="P588" i="1"/>
  <c r="Q588" i="1"/>
  <c r="R588" i="1" s="1"/>
  <c r="Q589" i="1"/>
  <c r="R589" i="1" s="1"/>
  <c r="P589" i="1"/>
  <c r="N130" i="1"/>
  <c r="A612" i="1"/>
  <c r="N612" i="1"/>
  <c r="P612" i="1" s="1"/>
  <c r="W612" i="1"/>
  <c r="X612" i="1"/>
  <c r="AG612" i="1"/>
  <c r="A914" i="1"/>
  <c r="N914" i="1"/>
  <c r="O914" i="1" s="1"/>
  <c r="S914" i="1" s="1"/>
  <c r="W914" i="1"/>
  <c r="X914" i="1"/>
  <c r="AG914" i="1"/>
  <c r="A611" i="1"/>
  <c r="A163" i="1"/>
  <c r="N611" i="1"/>
  <c r="N163" i="1"/>
  <c r="W611" i="1"/>
  <c r="W163" i="1"/>
  <c r="X611" i="1"/>
  <c r="X163" i="1"/>
  <c r="AG611" i="1"/>
  <c r="AG163" i="1"/>
  <c r="A610" i="1"/>
  <c r="N610" i="1"/>
  <c r="O610" i="1" s="1"/>
  <c r="S610" i="1" s="1"/>
  <c r="W610" i="1"/>
  <c r="X610" i="1"/>
  <c r="AG610" i="1"/>
  <c r="A913" i="1"/>
  <c r="N913" i="1"/>
  <c r="O913" i="1" s="1"/>
  <c r="S913" i="1" s="1"/>
  <c r="W913" i="1"/>
  <c r="X913" i="1"/>
  <c r="AG913" i="1"/>
  <c r="N159" i="1"/>
  <c r="O159" i="1" s="1"/>
  <c r="Q159" i="1" s="1"/>
  <c r="R159" i="1" s="1"/>
  <c r="W159" i="1"/>
  <c r="X159" i="1"/>
  <c r="N901" i="1"/>
  <c r="O901" i="1" s="1"/>
  <c r="S901" i="1" s="1"/>
  <c r="T901" i="1" s="1"/>
  <c r="U901" i="1" s="1"/>
  <c r="V901" i="1" s="1"/>
  <c r="W901" i="1"/>
  <c r="X901" i="1"/>
  <c r="A911" i="1"/>
  <c r="A162" i="1"/>
  <c r="N911" i="1"/>
  <c r="P911" i="1" s="1"/>
  <c r="W911" i="1"/>
  <c r="X911" i="1"/>
  <c r="AG911" i="1"/>
  <c r="AG162" i="1"/>
  <c r="A161" i="1"/>
  <c r="N161" i="1"/>
  <c r="O161" i="1" s="1"/>
  <c r="S161" i="1" s="1"/>
  <c r="W161" i="1"/>
  <c r="X161" i="1"/>
  <c r="AG161" i="1"/>
  <c r="A608" i="1"/>
  <c r="N608" i="1"/>
  <c r="O608" i="1" s="1"/>
  <c r="S608" i="1" s="1"/>
  <c r="W608" i="1"/>
  <c r="X608" i="1"/>
  <c r="AG608" i="1"/>
  <c r="A160" i="1"/>
  <c r="N160" i="1"/>
  <c r="P160" i="1" s="1"/>
  <c r="W160" i="1"/>
  <c r="X160" i="1"/>
  <c r="AG160" i="1"/>
  <c r="A910" i="1"/>
  <c r="N910" i="1"/>
  <c r="O910" i="1" s="1"/>
  <c r="S910" i="1" s="1"/>
  <c r="W910" i="1"/>
  <c r="X910" i="1"/>
  <c r="AG910" i="1"/>
  <c r="A909" i="1"/>
  <c r="N909" i="1"/>
  <c r="W909" i="1"/>
  <c r="X909" i="1"/>
  <c r="AG909" i="1"/>
  <c r="A606" i="1"/>
  <c r="N606" i="1"/>
  <c r="O606" i="1" s="1"/>
  <c r="S606" i="1" s="1"/>
  <c r="W606" i="1"/>
  <c r="X606" i="1"/>
  <c r="AG606" i="1"/>
  <c r="A604" i="1"/>
  <c r="N604" i="1"/>
  <c r="O604" i="1" s="1"/>
  <c r="S604" i="1" s="1"/>
  <c r="W604" i="1"/>
  <c r="X604" i="1"/>
  <c r="AG604" i="1"/>
  <c r="A603" i="1"/>
  <c r="N603" i="1"/>
  <c r="P603" i="1" s="1"/>
  <c r="W603" i="1"/>
  <c r="X603" i="1"/>
  <c r="AG603" i="1"/>
  <c r="A908" i="1"/>
  <c r="N908" i="1"/>
  <c r="O908" i="1" s="1"/>
  <c r="S908" i="1" s="1"/>
  <c r="W908" i="1"/>
  <c r="X908" i="1"/>
  <c r="AG908" i="1"/>
  <c r="A907" i="1"/>
  <c r="A602" i="1"/>
  <c r="N907" i="1"/>
  <c r="P907" i="1" s="1"/>
  <c r="N602" i="1"/>
  <c r="P602" i="1" s="1"/>
  <c r="W907" i="1"/>
  <c r="W602" i="1"/>
  <c r="X907" i="1"/>
  <c r="X602" i="1"/>
  <c r="AG907" i="1"/>
  <c r="AG602" i="1"/>
  <c r="A159" i="1"/>
  <c r="A906" i="1"/>
  <c r="N906" i="1"/>
  <c r="O906" i="1" s="1"/>
  <c r="S906" i="1" s="1"/>
  <c r="W906" i="1"/>
  <c r="X906" i="1"/>
  <c r="AG159" i="1"/>
  <c r="AG906" i="1"/>
  <c r="A601" i="1"/>
  <c r="N601" i="1"/>
  <c r="O601" i="1" s="1"/>
  <c r="S601" i="1" s="1"/>
  <c r="W601" i="1"/>
  <c r="X601" i="1"/>
  <c r="AG601" i="1"/>
  <c r="A158" i="1"/>
  <c r="N158" i="1"/>
  <c r="O158" i="1" s="1"/>
  <c r="S158" i="1" s="1"/>
  <c r="W158" i="1"/>
  <c r="X158" i="1"/>
  <c r="AG158" i="1"/>
  <c r="A905" i="1"/>
  <c r="N905" i="1"/>
  <c r="O905" i="1" s="1"/>
  <c r="S905" i="1" s="1"/>
  <c r="W905" i="1"/>
  <c r="X905" i="1"/>
  <c r="AG905" i="1"/>
  <c r="A600" i="1"/>
  <c r="N600" i="1"/>
  <c r="O600" i="1" s="1"/>
  <c r="S600" i="1" s="1"/>
  <c r="W600" i="1"/>
  <c r="X600" i="1"/>
  <c r="AG600" i="1"/>
  <c r="A157" i="1"/>
  <c r="N157" i="1"/>
  <c r="O157" i="1" s="1"/>
  <c r="S157" i="1" s="1"/>
  <c r="W157" i="1"/>
  <c r="X157" i="1"/>
  <c r="AG157" i="1"/>
  <c r="A599" i="1"/>
  <c r="N599" i="1"/>
  <c r="O599" i="1" s="1"/>
  <c r="S599" i="1" s="1"/>
  <c r="W599" i="1"/>
  <c r="X599" i="1"/>
  <c r="AG599" i="1"/>
  <c r="A903" i="1"/>
  <c r="N903" i="1"/>
  <c r="O903" i="1" s="1"/>
  <c r="S903" i="1" s="1"/>
  <c r="W903" i="1"/>
  <c r="X903" i="1"/>
  <c r="AG903" i="1"/>
  <c r="A901" i="1"/>
  <c r="AG901" i="1"/>
  <c r="G28" i="6"/>
  <c r="K28" i="6" a="1"/>
  <c r="K28" i="6" s="1"/>
  <c r="G29" i="6"/>
  <c r="K29" i="6" a="1"/>
  <c r="K29" i="6" s="1"/>
  <c r="Q884" i="1" l="1"/>
  <c r="R884" i="1" s="1"/>
  <c r="L28" i="6" a="1"/>
  <c r="L28" i="6" s="1"/>
  <c r="J28" i="6" s="1"/>
  <c r="P914" i="1"/>
  <c r="O612" i="1"/>
  <c r="S612" i="1" s="1"/>
  <c r="Q914" i="1"/>
  <c r="R914" i="1" s="1"/>
  <c r="O611" i="1"/>
  <c r="S611" i="1" s="1"/>
  <c r="P611" i="1"/>
  <c r="P163" i="1"/>
  <c r="O163" i="1"/>
  <c r="S163" i="1" s="1"/>
  <c r="Q610" i="1"/>
  <c r="R610" i="1" s="1"/>
  <c r="P610" i="1"/>
  <c r="Q913" i="1"/>
  <c r="R913" i="1" s="1"/>
  <c r="P913" i="1"/>
  <c r="P159" i="1"/>
  <c r="S159" i="1"/>
  <c r="T159" i="1" s="1"/>
  <c r="U159" i="1" s="1"/>
  <c r="V159" i="1" s="1"/>
  <c r="P901" i="1"/>
  <c r="Q901" i="1"/>
  <c r="R901" i="1" s="1"/>
  <c r="O603" i="1"/>
  <c r="S603" i="1" s="1"/>
  <c r="O911" i="1"/>
  <c r="S911" i="1" s="1"/>
  <c r="Q161" i="1"/>
  <c r="R161" i="1" s="1"/>
  <c r="P161" i="1"/>
  <c r="Q608" i="1"/>
  <c r="R608" i="1" s="1"/>
  <c r="P608" i="1"/>
  <c r="O160" i="1"/>
  <c r="S160" i="1" s="1"/>
  <c r="P157" i="1"/>
  <c r="Q606" i="1"/>
  <c r="R606" i="1" s="1"/>
  <c r="P909" i="1"/>
  <c r="O909" i="1"/>
  <c r="S909" i="1" s="1"/>
  <c r="Q910" i="1"/>
  <c r="R910" i="1" s="1"/>
  <c r="P910" i="1"/>
  <c r="P606" i="1"/>
  <c r="Q906" i="1"/>
  <c r="R906" i="1" s="1"/>
  <c r="Q604" i="1"/>
  <c r="R604" i="1" s="1"/>
  <c r="P906" i="1"/>
  <c r="O602" i="1"/>
  <c r="S602" i="1" s="1"/>
  <c r="P604" i="1"/>
  <c r="O907" i="1"/>
  <c r="S907" i="1" s="1"/>
  <c r="Q908" i="1"/>
  <c r="R908" i="1" s="1"/>
  <c r="P908" i="1"/>
  <c r="Q601" i="1"/>
  <c r="R601" i="1" s="1"/>
  <c r="P601" i="1"/>
  <c r="Q158" i="1"/>
  <c r="R158" i="1" s="1"/>
  <c r="P158" i="1"/>
  <c r="Q157" i="1"/>
  <c r="R157" i="1" s="1"/>
  <c r="Q905" i="1"/>
  <c r="R905" i="1" s="1"/>
  <c r="Q600" i="1"/>
  <c r="R600" i="1" s="1"/>
  <c r="P905" i="1"/>
  <c r="P600" i="1"/>
  <c r="Q599" i="1"/>
  <c r="R599" i="1" s="1"/>
  <c r="P599" i="1"/>
  <c r="Q903" i="1"/>
  <c r="R903" i="1" s="1"/>
  <c r="P903" i="1"/>
  <c r="A598" i="1"/>
  <c r="N598" i="1"/>
  <c r="O598" i="1" s="1"/>
  <c r="S598" i="1" s="1"/>
  <c r="W598" i="1"/>
  <c r="X598" i="1"/>
  <c r="AG598" i="1"/>
  <c r="A156" i="1"/>
  <c r="N156" i="1"/>
  <c r="P156" i="1" s="1"/>
  <c r="W156" i="1"/>
  <c r="X156" i="1"/>
  <c r="AG156" i="1"/>
  <c r="A899" i="1"/>
  <c r="N899" i="1"/>
  <c r="O899" i="1" s="1"/>
  <c r="S899" i="1" s="1"/>
  <c r="W899" i="1"/>
  <c r="X899" i="1"/>
  <c r="AG899" i="1"/>
  <c r="A897" i="1"/>
  <c r="N897" i="1"/>
  <c r="O897" i="1" s="1"/>
  <c r="S897" i="1" s="1"/>
  <c r="W897" i="1"/>
  <c r="X897" i="1"/>
  <c r="AG897" i="1"/>
  <c r="A155" i="1"/>
  <c r="W155" i="1"/>
  <c r="X155" i="1"/>
  <c r="AG155" i="1"/>
  <c r="A595" i="1"/>
  <c r="N595" i="1"/>
  <c r="O595" i="1" s="1"/>
  <c r="S595" i="1" s="1"/>
  <c r="W595" i="1"/>
  <c r="X595" i="1"/>
  <c r="AG595" i="1"/>
  <c r="A594" i="1"/>
  <c r="N594" i="1"/>
  <c r="O594" i="1" s="1"/>
  <c r="S594" i="1" s="1"/>
  <c r="W594" i="1"/>
  <c r="X594" i="1"/>
  <c r="AG594" i="1"/>
  <c r="A893" i="1"/>
  <c r="N893" i="1"/>
  <c r="P893" i="1" s="1"/>
  <c r="W893" i="1"/>
  <c r="X893" i="1"/>
  <c r="AG893" i="1"/>
  <c r="A154" i="1"/>
  <c r="N154" i="1"/>
  <c r="O154" i="1" s="1"/>
  <c r="S154" i="1" s="1"/>
  <c r="W154" i="1"/>
  <c r="X154" i="1"/>
  <c r="AG154" i="1"/>
  <c r="N785" i="1"/>
  <c r="AG784" i="1"/>
  <c r="A784" i="1"/>
  <c r="N784" i="1"/>
  <c r="O784" i="1" s="1"/>
  <c r="Q784" i="1" s="1"/>
  <c r="R784" i="1" s="1"/>
  <c r="W784" i="1"/>
  <c r="X784" i="1"/>
  <c r="S767" i="1"/>
  <c r="N767" i="1"/>
  <c r="W767" i="1"/>
  <c r="X767" i="1"/>
  <c r="W4" i="1"/>
  <c r="W723" i="1"/>
  <c r="W724" i="1"/>
  <c r="W725" i="1"/>
  <c r="W270" i="1"/>
  <c r="W271" i="1"/>
  <c r="W5" i="1"/>
  <c r="W6" i="1"/>
  <c r="W726" i="1"/>
  <c r="W7" i="1"/>
  <c r="W272" i="1"/>
  <c r="W273" i="1"/>
  <c r="W274" i="1"/>
  <c r="W275" i="1"/>
  <c r="W727" i="1"/>
  <c r="W728" i="1"/>
  <c r="W276" i="1"/>
  <c r="W8" i="1"/>
  <c r="W9" i="1"/>
  <c r="W277" i="1"/>
  <c r="W10" i="1"/>
  <c r="W729" i="1"/>
  <c r="W730" i="1"/>
  <c r="W731" i="1"/>
  <c r="W11" i="1"/>
  <c r="W278" i="1"/>
  <c r="W279" i="1"/>
  <c r="W12" i="1"/>
  <c r="W13" i="1"/>
  <c r="W14" i="1"/>
  <c r="W280" i="1"/>
  <c r="W463" i="1"/>
  <c r="W15" i="1"/>
  <c r="W16" i="1"/>
  <c r="W732" i="1"/>
  <c r="W733" i="1"/>
  <c r="W464" i="1"/>
  <c r="W465" i="1"/>
  <c r="W466" i="1"/>
  <c r="W467" i="1"/>
  <c r="W468" i="1"/>
  <c r="W734" i="1"/>
  <c r="W281" i="1"/>
  <c r="W469" i="1"/>
  <c r="W470" i="1"/>
  <c r="W471" i="1"/>
  <c r="W472" i="1"/>
  <c r="W473" i="1"/>
  <c r="W474" i="1"/>
  <c r="W475" i="1"/>
  <c r="W17" i="1"/>
  <c r="W18" i="1"/>
  <c r="W282" i="1"/>
  <c r="W19" i="1"/>
  <c r="W735" i="1"/>
  <c r="W736" i="1"/>
  <c r="W737" i="1"/>
  <c r="W738" i="1"/>
  <c r="W20" i="1"/>
  <c r="W21" i="1"/>
  <c r="W283" i="1"/>
  <c r="W476" i="1"/>
  <c r="W477" i="1"/>
  <c r="W22" i="1"/>
  <c r="W23" i="1"/>
  <c r="W739" i="1"/>
  <c r="W24" i="1"/>
  <c r="W25" i="1"/>
  <c r="W284" i="1"/>
  <c r="W26" i="1"/>
  <c r="W27" i="1"/>
  <c r="W285" i="1"/>
  <c r="W28" i="1"/>
  <c r="W29" i="1"/>
  <c r="W740" i="1"/>
  <c r="W741" i="1"/>
  <c r="W30" i="1"/>
  <c r="W31" i="1"/>
  <c r="W32" i="1"/>
  <c r="W33" i="1"/>
  <c r="W34" i="1"/>
  <c r="W35" i="1"/>
  <c r="W742" i="1"/>
  <c r="W743" i="1"/>
  <c r="W744" i="1"/>
  <c r="W286" i="1"/>
  <c r="W745" i="1"/>
  <c r="W746" i="1"/>
  <c r="W478" i="1"/>
  <c r="W479" i="1"/>
  <c r="W287" i="1"/>
  <c r="W288" i="1"/>
  <c r="W289" i="1"/>
  <c r="W290" i="1"/>
  <c r="W291" i="1"/>
  <c r="W292" i="1"/>
  <c r="W747" i="1"/>
  <c r="W748" i="1"/>
  <c r="W749" i="1"/>
  <c r="W293" i="1"/>
  <c r="W294" i="1"/>
  <c r="W295" i="1"/>
  <c r="W480" i="1"/>
  <c r="W481" i="1"/>
  <c r="W482" i="1"/>
  <c r="W296" i="1"/>
  <c r="W483" i="1"/>
  <c r="W750" i="1"/>
  <c r="W751" i="1"/>
  <c r="W752" i="1"/>
  <c r="W485" i="1"/>
  <c r="W484" i="1"/>
  <c r="W486" i="1"/>
  <c r="W487" i="1"/>
  <c r="W297" i="1"/>
  <c r="W488" i="1"/>
  <c r="W298" i="1"/>
  <c r="W753" i="1"/>
  <c r="W36" i="1"/>
  <c r="W489" i="1"/>
  <c r="W754" i="1"/>
  <c r="W755" i="1"/>
  <c r="W299" i="1"/>
  <c r="W300" i="1"/>
  <c r="W756" i="1"/>
  <c r="W757" i="1"/>
  <c r="W758" i="1"/>
  <c r="W759" i="1"/>
  <c r="W760" i="1"/>
  <c r="W761" i="1"/>
  <c r="W762" i="1"/>
  <c r="W301" i="1"/>
  <c r="W37" i="1"/>
  <c r="W38" i="1"/>
  <c r="W302" i="1"/>
  <c r="W303" i="1"/>
  <c r="W40" i="1"/>
  <c r="W763" i="1"/>
  <c r="W764" i="1"/>
  <c r="W765" i="1"/>
  <c r="W766" i="1"/>
  <c r="W490" i="1"/>
  <c r="W491" i="1"/>
  <c r="W41" i="1"/>
  <c r="W768" i="1"/>
  <c r="W769" i="1"/>
  <c r="W770" i="1"/>
  <c r="W771" i="1"/>
  <c r="W304" i="1"/>
  <c r="W772" i="1"/>
  <c r="W773" i="1"/>
  <c r="W774" i="1"/>
  <c r="W492" i="1"/>
  <c r="W305" i="1"/>
  <c r="W306" i="1"/>
  <c r="W775" i="1"/>
  <c r="W776" i="1"/>
  <c r="W777" i="1"/>
  <c r="W778" i="1"/>
  <c r="W493" i="1"/>
  <c r="W494" i="1"/>
  <c r="W495" i="1"/>
  <c r="W496" i="1"/>
  <c r="W497" i="1"/>
  <c r="W42" i="1"/>
  <c r="W43" i="1"/>
  <c r="W44" i="1"/>
  <c r="W779" i="1"/>
  <c r="W780" i="1"/>
  <c r="W781" i="1"/>
  <c r="W782" i="1"/>
  <c r="W45" i="1"/>
  <c r="W307" i="1"/>
  <c r="W308" i="1"/>
  <c r="W498" i="1"/>
  <c r="W499" i="1"/>
  <c r="W783" i="1"/>
  <c r="W500" i="1"/>
  <c r="W501" i="1"/>
  <c r="W785" i="1"/>
  <c r="W309" i="1"/>
  <c r="W310" i="1"/>
  <c r="W311" i="1"/>
  <c r="W312" i="1"/>
  <c r="W313" i="1"/>
  <c r="W314" i="1"/>
  <c r="W315" i="1"/>
  <c r="W316" i="1"/>
  <c r="W317" i="1"/>
  <c r="W318" i="1"/>
  <c r="W786" i="1"/>
  <c r="W787" i="1"/>
  <c r="W788" i="1"/>
  <c r="W789" i="1"/>
  <c r="W790" i="1"/>
  <c r="W791" i="1"/>
  <c r="W792" i="1"/>
  <c r="W793" i="1"/>
  <c r="W794" i="1"/>
  <c r="W795" i="1"/>
  <c r="W46" i="1"/>
  <c r="W47" i="1"/>
  <c r="W502" i="1"/>
  <c r="W503" i="1"/>
  <c r="W48" i="1"/>
  <c r="W504" i="1"/>
  <c r="W505" i="1"/>
  <c r="W506" i="1"/>
  <c r="W507" i="1"/>
  <c r="W508" i="1"/>
  <c r="W319" i="1"/>
  <c r="W509" i="1"/>
  <c r="W510" i="1"/>
  <c r="W511" i="1"/>
  <c r="W796" i="1"/>
  <c r="W797" i="1"/>
  <c r="W320" i="1"/>
  <c r="W321" i="1"/>
  <c r="W49" i="1"/>
  <c r="W798" i="1"/>
  <c r="W512" i="1"/>
  <c r="W513" i="1"/>
  <c r="W514" i="1"/>
  <c r="W322" i="1"/>
  <c r="W50" i="1"/>
  <c r="W515" i="1"/>
  <c r="W51" i="1"/>
  <c r="W52" i="1"/>
  <c r="W53" i="1"/>
  <c r="W54" i="1"/>
  <c r="W55" i="1"/>
  <c r="W56" i="1"/>
  <c r="W57" i="1"/>
  <c r="W516" i="1"/>
  <c r="W517" i="1"/>
  <c r="W518" i="1"/>
  <c r="W323" i="1"/>
  <c r="W58" i="1"/>
  <c r="W59" i="1"/>
  <c r="W324" i="1"/>
  <c r="W60" i="1"/>
  <c r="W61" i="1"/>
  <c r="W519" i="1"/>
  <c r="W799" i="1"/>
  <c r="W800" i="1"/>
  <c r="W325" i="1"/>
  <c r="W326" i="1"/>
  <c r="W327" i="1"/>
  <c r="W328" i="1"/>
  <c r="W329" i="1"/>
  <c r="W330" i="1"/>
  <c r="W331" i="1"/>
  <c r="W801" i="1"/>
  <c r="W802" i="1"/>
  <c r="W62" i="1"/>
  <c r="W520" i="1"/>
  <c r="W521" i="1"/>
  <c r="W522" i="1"/>
  <c r="W523" i="1"/>
  <c r="W803" i="1"/>
  <c r="W524" i="1"/>
  <c r="W804" i="1"/>
  <c r="W63" i="1"/>
  <c r="W64" i="1"/>
  <c r="W525" i="1"/>
  <c r="W332" i="1"/>
  <c r="W526" i="1"/>
  <c r="W805" i="1"/>
  <c r="W806" i="1"/>
  <c r="W333" i="1"/>
  <c r="W65" i="1"/>
  <c r="W66" i="1"/>
  <c r="W67" i="1"/>
  <c r="W807" i="1"/>
  <c r="W808" i="1"/>
  <c r="W68" i="1"/>
  <c r="W527" i="1"/>
  <c r="W528" i="1"/>
  <c r="W529" i="1"/>
  <c r="W334" i="1"/>
  <c r="W530" i="1"/>
  <c r="W531" i="1"/>
  <c r="W532" i="1"/>
  <c r="W809" i="1"/>
  <c r="W533" i="1"/>
  <c r="W534" i="1"/>
  <c r="W69" i="1"/>
  <c r="W70" i="1"/>
  <c r="W71" i="1"/>
  <c r="W810" i="1"/>
  <c r="W811" i="1"/>
  <c r="W72" i="1"/>
  <c r="W812" i="1"/>
  <c r="W73" i="1"/>
  <c r="W74" i="1"/>
  <c r="W335" i="1"/>
  <c r="W535" i="1"/>
  <c r="W536" i="1"/>
  <c r="W75" i="1"/>
  <c r="W336" i="1"/>
  <c r="W337" i="1"/>
  <c r="W813" i="1"/>
  <c r="W338" i="1"/>
  <c r="W76" i="1"/>
  <c r="W77" i="1"/>
  <c r="W78" i="1"/>
  <c r="W814" i="1"/>
  <c r="W79" i="1"/>
  <c r="W815" i="1"/>
  <c r="W339" i="1"/>
  <c r="W340" i="1"/>
  <c r="W341" i="1"/>
  <c r="W342" i="1"/>
  <c r="W343" i="1"/>
  <c r="W344" i="1"/>
  <c r="W345" i="1"/>
  <c r="W816" i="1"/>
  <c r="W346" i="1"/>
  <c r="W537" i="1"/>
  <c r="W80" i="1"/>
  <c r="W538" i="1"/>
  <c r="W539" i="1"/>
  <c r="W347" i="1"/>
  <c r="W540" i="1"/>
  <c r="W348" i="1"/>
  <c r="W349" i="1"/>
  <c r="W350" i="1"/>
  <c r="W351" i="1"/>
  <c r="W81" i="1"/>
  <c r="W352" i="1"/>
  <c r="W541" i="1"/>
  <c r="W353" i="1"/>
  <c r="W354" i="1"/>
  <c r="W817" i="1"/>
  <c r="W355" i="1"/>
  <c r="W356" i="1"/>
  <c r="W818" i="1"/>
  <c r="W819" i="1"/>
  <c r="W82" i="1"/>
  <c r="W820" i="1"/>
  <c r="W821" i="1"/>
  <c r="W357" i="1"/>
  <c r="W822" i="1"/>
  <c r="W823" i="1"/>
  <c r="W83" i="1"/>
  <c r="W542" i="1"/>
  <c r="W543" i="1"/>
  <c r="W544" i="1"/>
  <c r="W545" i="1"/>
  <c r="W824" i="1"/>
  <c r="W546" i="1"/>
  <c r="W825" i="1"/>
  <c r="W826" i="1"/>
  <c r="W547" i="1"/>
  <c r="W827" i="1"/>
  <c r="W358" i="1"/>
  <c r="W828" i="1"/>
  <c r="W84" i="1"/>
  <c r="W829" i="1"/>
  <c r="W830" i="1"/>
  <c r="W548" i="1"/>
  <c r="W831" i="1"/>
  <c r="W832" i="1"/>
  <c r="W359" i="1"/>
  <c r="W360" i="1"/>
  <c r="W361" i="1"/>
  <c r="W833" i="1"/>
  <c r="W362" i="1"/>
  <c r="W363" i="1"/>
  <c r="W85" i="1"/>
  <c r="W364" i="1"/>
  <c r="W834" i="1"/>
  <c r="W835" i="1"/>
  <c r="W549" i="1"/>
  <c r="W365" i="1"/>
  <c r="W366" i="1"/>
  <c r="W86" i="1"/>
  <c r="W550" i="1"/>
  <c r="W87" i="1"/>
  <c r="W836" i="1"/>
  <c r="W367" i="1"/>
  <c r="W368" i="1"/>
  <c r="W837" i="1"/>
  <c r="W369" i="1"/>
  <c r="W370" i="1"/>
  <c r="W371" i="1"/>
  <c r="W372" i="1"/>
  <c r="W373" i="1"/>
  <c r="W838" i="1"/>
  <c r="W88" i="1"/>
  <c r="W551" i="1"/>
  <c r="W839" i="1"/>
  <c r="W89" i="1"/>
  <c r="W840" i="1"/>
  <c r="W841" i="1"/>
  <c r="W842" i="1"/>
  <c r="W843" i="1"/>
  <c r="W844" i="1"/>
  <c r="W90" i="1"/>
  <c r="W91" i="1"/>
  <c r="W92" i="1"/>
  <c r="W93" i="1"/>
  <c r="W94" i="1"/>
  <c r="W95" i="1"/>
  <c r="W374" i="1"/>
  <c r="W845" i="1"/>
  <c r="W552" i="1"/>
  <c r="W375" i="1"/>
  <c r="W96" i="1"/>
  <c r="W846" i="1"/>
  <c r="W97" i="1"/>
  <c r="W99" i="1"/>
  <c r="W557" i="1"/>
  <c r="W560" i="1"/>
  <c r="W848" i="1"/>
  <c r="W103" i="1"/>
  <c r="W851" i="1"/>
  <c r="W561" i="1"/>
  <c r="W852" i="1"/>
  <c r="W853" i="1"/>
  <c r="W855" i="1"/>
  <c r="W861" i="1"/>
  <c r="W566" i="1"/>
  <c r="W567" i="1"/>
  <c r="W862" i="1"/>
  <c r="W570" i="1"/>
  <c r="W109" i="1"/>
  <c r="W110" i="1"/>
  <c r="W867" i="1"/>
  <c r="W111" i="1"/>
  <c r="W869" i="1"/>
  <c r="W871" i="1"/>
  <c r="W572" i="1"/>
  <c r="W113" i="1"/>
  <c r="W114" i="1"/>
  <c r="W115" i="1"/>
  <c r="W116" i="1"/>
  <c r="W573" i="1"/>
  <c r="W872" i="1"/>
  <c r="W120" i="1"/>
  <c r="W121" i="1"/>
  <c r="W574" i="1"/>
  <c r="W874" i="1"/>
  <c r="W575" i="1"/>
  <c r="W875" i="1"/>
  <c r="W129" i="1"/>
  <c r="W376" i="1"/>
  <c r="W130" i="1"/>
  <c r="W576" i="1"/>
  <c r="W132" i="1"/>
  <c r="W876" i="1"/>
  <c r="W877" i="1"/>
  <c r="W878" i="1"/>
  <c r="W880" i="1"/>
  <c r="W134" i="1"/>
  <c r="W136" i="1"/>
  <c r="W577" i="1"/>
  <c r="W138" i="1"/>
  <c r="W881" i="1"/>
  <c r="W883" i="1"/>
  <c r="W580" i="1"/>
  <c r="W584" i="1"/>
  <c r="W139" i="1"/>
  <c r="W140" i="1"/>
  <c r="W146" i="1"/>
  <c r="W147" i="1"/>
  <c r="W148" i="1"/>
  <c r="W149" i="1"/>
  <c r="W150" i="1"/>
  <c r="W151" i="1"/>
  <c r="W152" i="1"/>
  <c r="W377" i="1"/>
  <c r="W379" i="1"/>
  <c r="W586" i="1"/>
  <c r="W590" i="1"/>
  <c r="W591" i="1"/>
  <c r="W592" i="1"/>
  <c r="W885" i="1"/>
  <c r="W887" i="1"/>
  <c r="W888" i="1"/>
  <c r="W889" i="1"/>
  <c r="W890" i="1"/>
  <c r="W891" i="1"/>
  <c r="W892" i="1"/>
  <c r="X4" i="1"/>
  <c r="X723" i="1"/>
  <c r="X724" i="1"/>
  <c r="X725" i="1"/>
  <c r="X270" i="1"/>
  <c r="X271" i="1"/>
  <c r="X5" i="1"/>
  <c r="X6" i="1"/>
  <c r="X726" i="1"/>
  <c r="X7" i="1"/>
  <c r="X272" i="1"/>
  <c r="X273" i="1"/>
  <c r="X274" i="1"/>
  <c r="X275" i="1"/>
  <c r="X727" i="1"/>
  <c r="X728" i="1"/>
  <c r="X276" i="1"/>
  <c r="X8" i="1"/>
  <c r="X9" i="1"/>
  <c r="X277" i="1"/>
  <c r="X10" i="1"/>
  <c r="X729" i="1"/>
  <c r="X730" i="1"/>
  <c r="X731" i="1"/>
  <c r="X11" i="1"/>
  <c r="X278" i="1"/>
  <c r="X279" i="1"/>
  <c r="X12" i="1"/>
  <c r="X13" i="1"/>
  <c r="X14" i="1"/>
  <c r="X280" i="1"/>
  <c r="X463" i="1"/>
  <c r="X15" i="1"/>
  <c r="X16" i="1"/>
  <c r="X732" i="1"/>
  <c r="X733" i="1"/>
  <c r="X464" i="1"/>
  <c r="X465" i="1"/>
  <c r="X466" i="1"/>
  <c r="X467" i="1"/>
  <c r="X468" i="1"/>
  <c r="X734" i="1"/>
  <c r="X281" i="1"/>
  <c r="X469" i="1"/>
  <c r="X470" i="1"/>
  <c r="X471" i="1"/>
  <c r="X472" i="1"/>
  <c r="X473" i="1"/>
  <c r="X474" i="1"/>
  <c r="X475" i="1"/>
  <c r="X17" i="1"/>
  <c r="X18" i="1"/>
  <c r="X282" i="1"/>
  <c r="X19" i="1"/>
  <c r="X735" i="1"/>
  <c r="X736" i="1"/>
  <c r="X737" i="1"/>
  <c r="X738" i="1"/>
  <c r="X20" i="1"/>
  <c r="X21" i="1"/>
  <c r="X283" i="1"/>
  <c r="X476" i="1"/>
  <c r="X477" i="1"/>
  <c r="X22" i="1"/>
  <c r="X23" i="1"/>
  <c r="X739" i="1"/>
  <c r="X24" i="1"/>
  <c r="X25" i="1"/>
  <c r="X284" i="1"/>
  <c r="X26" i="1"/>
  <c r="X27" i="1"/>
  <c r="X285" i="1"/>
  <c r="X28" i="1"/>
  <c r="X29" i="1"/>
  <c r="X740" i="1"/>
  <c r="X741" i="1"/>
  <c r="X30" i="1"/>
  <c r="X31" i="1"/>
  <c r="X32" i="1"/>
  <c r="X33" i="1"/>
  <c r="X34" i="1"/>
  <c r="X35" i="1"/>
  <c r="X742" i="1"/>
  <c r="X743" i="1"/>
  <c r="X744" i="1"/>
  <c r="X286" i="1"/>
  <c r="X745" i="1"/>
  <c r="X746" i="1"/>
  <c r="X478" i="1"/>
  <c r="X479" i="1"/>
  <c r="X287" i="1"/>
  <c r="X288" i="1"/>
  <c r="X289" i="1"/>
  <c r="X290" i="1"/>
  <c r="X291" i="1"/>
  <c r="X292" i="1"/>
  <c r="X747" i="1"/>
  <c r="X748" i="1"/>
  <c r="X749" i="1"/>
  <c r="X293" i="1"/>
  <c r="X294" i="1"/>
  <c r="X295" i="1"/>
  <c r="X480" i="1"/>
  <c r="X481" i="1"/>
  <c r="X482" i="1"/>
  <c r="X296" i="1"/>
  <c r="X483" i="1"/>
  <c r="X750" i="1"/>
  <c r="X751" i="1"/>
  <c r="X752" i="1"/>
  <c r="X485" i="1"/>
  <c r="X484" i="1"/>
  <c r="X486" i="1"/>
  <c r="X487" i="1"/>
  <c r="X297" i="1"/>
  <c r="X488" i="1"/>
  <c r="X298" i="1"/>
  <c r="X753" i="1"/>
  <c r="X36" i="1"/>
  <c r="X489" i="1"/>
  <c r="X754" i="1"/>
  <c r="X755" i="1"/>
  <c r="X299" i="1"/>
  <c r="X300" i="1"/>
  <c r="X756" i="1"/>
  <c r="X757" i="1"/>
  <c r="X758" i="1"/>
  <c r="X759" i="1"/>
  <c r="X760" i="1"/>
  <c r="X761" i="1"/>
  <c r="X762" i="1"/>
  <c r="X301" i="1"/>
  <c r="X37" i="1"/>
  <c r="X38" i="1"/>
  <c r="X302" i="1"/>
  <c r="X303" i="1"/>
  <c r="X40" i="1"/>
  <c r="X763" i="1"/>
  <c r="X764" i="1"/>
  <c r="X765" i="1"/>
  <c r="X766" i="1"/>
  <c r="X490" i="1"/>
  <c r="X491" i="1"/>
  <c r="X41" i="1"/>
  <c r="X768" i="1"/>
  <c r="X769" i="1"/>
  <c r="X770" i="1"/>
  <c r="X771" i="1"/>
  <c r="X304" i="1"/>
  <c r="X772" i="1"/>
  <c r="X773" i="1"/>
  <c r="X774" i="1"/>
  <c r="X492" i="1"/>
  <c r="X305" i="1"/>
  <c r="X306" i="1"/>
  <c r="X775" i="1"/>
  <c r="X776" i="1"/>
  <c r="X777" i="1"/>
  <c r="X778" i="1"/>
  <c r="X493" i="1"/>
  <c r="X494" i="1"/>
  <c r="X495" i="1"/>
  <c r="X496" i="1"/>
  <c r="X497" i="1"/>
  <c r="X42" i="1"/>
  <c r="X43" i="1"/>
  <c r="X44" i="1"/>
  <c r="X779" i="1"/>
  <c r="X780" i="1"/>
  <c r="X781" i="1"/>
  <c r="X782" i="1"/>
  <c r="X45" i="1"/>
  <c r="X307" i="1"/>
  <c r="X308" i="1"/>
  <c r="X498" i="1"/>
  <c r="X499" i="1"/>
  <c r="X783" i="1"/>
  <c r="X500" i="1"/>
  <c r="X501" i="1"/>
  <c r="X785" i="1"/>
  <c r="X309" i="1"/>
  <c r="X310" i="1"/>
  <c r="X311" i="1"/>
  <c r="X312" i="1"/>
  <c r="X313" i="1"/>
  <c r="X314" i="1"/>
  <c r="X315" i="1"/>
  <c r="X316" i="1"/>
  <c r="X317" i="1"/>
  <c r="X318" i="1"/>
  <c r="X786" i="1"/>
  <c r="X787" i="1"/>
  <c r="X788" i="1"/>
  <c r="X789" i="1"/>
  <c r="X790" i="1"/>
  <c r="X791" i="1"/>
  <c r="X792" i="1"/>
  <c r="X793" i="1"/>
  <c r="X794" i="1"/>
  <c r="X795" i="1"/>
  <c r="X46" i="1"/>
  <c r="X47" i="1"/>
  <c r="X502" i="1"/>
  <c r="X503" i="1"/>
  <c r="X48" i="1"/>
  <c r="X504" i="1"/>
  <c r="X505" i="1"/>
  <c r="X506" i="1"/>
  <c r="X507" i="1"/>
  <c r="X508" i="1"/>
  <c r="X319" i="1"/>
  <c r="X509" i="1"/>
  <c r="X510" i="1"/>
  <c r="X511" i="1"/>
  <c r="X796" i="1"/>
  <c r="X797" i="1"/>
  <c r="X320" i="1"/>
  <c r="X321" i="1"/>
  <c r="X49" i="1"/>
  <c r="X798" i="1"/>
  <c r="X512" i="1"/>
  <c r="X513" i="1"/>
  <c r="X514" i="1"/>
  <c r="X322" i="1"/>
  <c r="X50" i="1"/>
  <c r="X515" i="1"/>
  <c r="X51" i="1"/>
  <c r="X52" i="1"/>
  <c r="X53" i="1"/>
  <c r="X54" i="1"/>
  <c r="X55" i="1"/>
  <c r="X56" i="1"/>
  <c r="X57" i="1"/>
  <c r="X516" i="1"/>
  <c r="X517" i="1"/>
  <c r="X518" i="1"/>
  <c r="X323" i="1"/>
  <c r="X58" i="1"/>
  <c r="X59" i="1"/>
  <c r="X324" i="1"/>
  <c r="X60" i="1"/>
  <c r="X61" i="1"/>
  <c r="X519" i="1"/>
  <c r="X799" i="1"/>
  <c r="X800" i="1"/>
  <c r="X325" i="1"/>
  <c r="X326" i="1"/>
  <c r="X327" i="1"/>
  <c r="X328" i="1"/>
  <c r="X329" i="1"/>
  <c r="X330" i="1"/>
  <c r="X331" i="1"/>
  <c r="X801" i="1"/>
  <c r="X802" i="1"/>
  <c r="X62" i="1"/>
  <c r="X520" i="1"/>
  <c r="X521" i="1"/>
  <c r="X522" i="1"/>
  <c r="X523" i="1"/>
  <c r="X803" i="1"/>
  <c r="X524" i="1"/>
  <c r="X804" i="1"/>
  <c r="X63" i="1"/>
  <c r="X64" i="1"/>
  <c r="X525" i="1"/>
  <c r="X332" i="1"/>
  <c r="X526" i="1"/>
  <c r="X805" i="1"/>
  <c r="X806" i="1"/>
  <c r="X333" i="1"/>
  <c r="X65" i="1"/>
  <c r="X66" i="1"/>
  <c r="X67" i="1"/>
  <c r="X807" i="1"/>
  <c r="X808" i="1"/>
  <c r="X68" i="1"/>
  <c r="X527" i="1"/>
  <c r="X528" i="1"/>
  <c r="X529" i="1"/>
  <c r="X334" i="1"/>
  <c r="X530" i="1"/>
  <c r="X531" i="1"/>
  <c r="X532" i="1"/>
  <c r="X809" i="1"/>
  <c r="X533" i="1"/>
  <c r="X534" i="1"/>
  <c r="X69" i="1"/>
  <c r="X70" i="1"/>
  <c r="X71" i="1"/>
  <c r="X810" i="1"/>
  <c r="X811" i="1"/>
  <c r="X72" i="1"/>
  <c r="X812" i="1"/>
  <c r="X73" i="1"/>
  <c r="X74" i="1"/>
  <c r="X335" i="1"/>
  <c r="X535" i="1"/>
  <c r="X536" i="1"/>
  <c r="X75" i="1"/>
  <c r="X336" i="1"/>
  <c r="X337" i="1"/>
  <c r="X813" i="1"/>
  <c r="X338" i="1"/>
  <c r="X76" i="1"/>
  <c r="X77" i="1"/>
  <c r="X78" i="1"/>
  <c r="X814" i="1"/>
  <c r="X79" i="1"/>
  <c r="X815" i="1"/>
  <c r="X339" i="1"/>
  <c r="X340" i="1"/>
  <c r="X341" i="1"/>
  <c r="X342" i="1"/>
  <c r="X343" i="1"/>
  <c r="X344" i="1"/>
  <c r="X345" i="1"/>
  <c r="X816" i="1"/>
  <c r="X346" i="1"/>
  <c r="X537" i="1"/>
  <c r="X80" i="1"/>
  <c r="X538" i="1"/>
  <c r="X539" i="1"/>
  <c r="X347" i="1"/>
  <c r="X540" i="1"/>
  <c r="X348" i="1"/>
  <c r="X349" i="1"/>
  <c r="X350" i="1"/>
  <c r="X351" i="1"/>
  <c r="X81" i="1"/>
  <c r="X352" i="1"/>
  <c r="X541" i="1"/>
  <c r="X353" i="1"/>
  <c r="X354" i="1"/>
  <c r="X817" i="1"/>
  <c r="X355" i="1"/>
  <c r="X356" i="1"/>
  <c r="X818" i="1"/>
  <c r="X819" i="1"/>
  <c r="X82" i="1"/>
  <c r="X820" i="1"/>
  <c r="X821" i="1"/>
  <c r="X357" i="1"/>
  <c r="X822" i="1"/>
  <c r="X823" i="1"/>
  <c r="X83" i="1"/>
  <c r="X542" i="1"/>
  <c r="X543" i="1"/>
  <c r="X544" i="1"/>
  <c r="X545" i="1"/>
  <c r="X824" i="1"/>
  <c r="X546" i="1"/>
  <c r="X825" i="1"/>
  <c r="X826" i="1"/>
  <c r="X547" i="1"/>
  <c r="X827" i="1"/>
  <c r="X358" i="1"/>
  <c r="X828" i="1"/>
  <c r="X84" i="1"/>
  <c r="X829" i="1"/>
  <c r="X830" i="1"/>
  <c r="X548" i="1"/>
  <c r="X831" i="1"/>
  <c r="X832" i="1"/>
  <c r="X359" i="1"/>
  <c r="X360" i="1"/>
  <c r="X361" i="1"/>
  <c r="X833" i="1"/>
  <c r="X362" i="1"/>
  <c r="X363" i="1"/>
  <c r="X85" i="1"/>
  <c r="X364" i="1"/>
  <c r="X834" i="1"/>
  <c r="X835" i="1"/>
  <c r="X549" i="1"/>
  <c r="X365" i="1"/>
  <c r="X366" i="1"/>
  <c r="X86" i="1"/>
  <c r="X550" i="1"/>
  <c r="X87" i="1"/>
  <c r="X836" i="1"/>
  <c r="X367" i="1"/>
  <c r="X368" i="1"/>
  <c r="X837" i="1"/>
  <c r="X369" i="1"/>
  <c r="X370" i="1"/>
  <c r="X371" i="1"/>
  <c r="X372" i="1"/>
  <c r="X373" i="1"/>
  <c r="X838" i="1"/>
  <c r="X88" i="1"/>
  <c r="X551" i="1"/>
  <c r="X839" i="1"/>
  <c r="X89" i="1"/>
  <c r="X840" i="1"/>
  <c r="X841" i="1"/>
  <c r="X842" i="1"/>
  <c r="X843" i="1"/>
  <c r="X844" i="1"/>
  <c r="X90" i="1"/>
  <c r="X91" i="1"/>
  <c r="X92" i="1"/>
  <c r="X93" i="1"/>
  <c r="X94" i="1"/>
  <c r="X95" i="1"/>
  <c r="X374" i="1"/>
  <c r="X845" i="1"/>
  <c r="X552" i="1"/>
  <c r="X375" i="1"/>
  <c r="X96" i="1"/>
  <c r="X846" i="1"/>
  <c r="X97" i="1"/>
  <c r="X99" i="1"/>
  <c r="X557" i="1"/>
  <c r="X560" i="1"/>
  <c r="X848" i="1"/>
  <c r="X103" i="1"/>
  <c r="X851" i="1"/>
  <c r="X561" i="1"/>
  <c r="X852" i="1"/>
  <c r="X853" i="1"/>
  <c r="X855" i="1"/>
  <c r="X861" i="1"/>
  <c r="X566" i="1"/>
  <c r="X567" i="1"/>
  <c r="X862" i="1"/>
  <c r="X570" i="1"/>
  <c r="X109" i="1"/>
  <c r="X110" i="1"/>
  <c r="X867" i="1"/>
  <c r="X111" i="1"/>
  <c r="X869" i="1"/>
  <c r="X871" i="1"/>
  <c r="X572" i="1"/>
  <c r="X113" i="1"/>
  <c r="X114" i="1"/>
  <c r="X115" i="1"/>
  <c r="X116" i="1"/>
  <c r="X573" i="1"/>
  <c r="X872" i="1"/>
  <c r="X120" i="1"/>
  <c r="X121" i="1"/>
  <c r="X574" i="1"/>
  <c r="X874" i="1"/>
  <c r="X575" i="1"/>
  <c r="X875" i="1"/>
  <c r="X129" i="1"/>
  <c r="X376" i="1"/>
  <c r="X130" i="1"/>
  <c r="X576" i="1"/>
  <c r="X132" i="1"/>
  <c r="X876" i="1"/>
  <c r="X877" i="1"/>
  <c r="X878" i="1"/>
  <c r="X880" i="1"/>
  <c r="X134" i="1"/>
  <c r="X136" i="1"/>
  <c r="X577" i="1"/>
  <c r="X138" i="1"/>
  <c r="X881" i="1"/>
  <c r="X883" i="1"/>
  <c r="X580" i="1"/>
  <c r="X584" i="1"/>
  <c r="X139" i="1"/>
  <c r="X140" i="1"/>
  <c r="X146" i="1"/>
  <c r="X147" i="1"/>
  <c r="X148" i="1"/>
  <c r="X149" i="1"/>
  <c r="X150" i="1"/>
  <c r="X151" i="1"/>
  <c r="X152" i="1"/>
  <c r="X377" i="1"/>
  <c r="X379" i="1"/>
  <c r="X586" i="1"/>
  <c r="X590" i="1"/>
  <c r="X591" i="1"/>
  <c r="X592" i="1"/>
  <c r="X885" i="1"/>
  <c r="X887" i="1"/>
  <c r="X888" i="1"/>
  <c r="X889" i="1"/>
  <c r="X890" i="1"/>
  <c r="X891" i="1"/>
  <c r="X892" i="1"/>
  <c r="AG766" i="1"/>
  <c r="A766" i="1"/>
  <c r="N766" i="1"/>
  <c r="O766" i="1" s="1"/>
  <c r="S766" i="1"/>
  <c r="S802" i="1"/>
  <c r="N802" i="1"/>
  <c r="AG801" i="1"/>
  <c r="N801" i="1"/>
  <c r="A801" i="1"/>
  <c r="S789" i="1"/>
  <c r="N789" i="1"/>
  <c r="P789" i="1" s="1"/>
  <c r="AG788" i="1"/>
  <c r="A788" i="1"/>
  <c r="N788" i="1"/>
  <c r="O788" i="1" s="1"/>
  <c r="S788" i="1"/>
  <c r="S795" i="1"/>
  <c r="N795" i="1"/>
  <c r="O795" i="1" s="1"/>
  <c r="S790" i="1"/>
  <c r="N790" i="1"/>
  <c r="AG794" i="1"/>
  <c r="AG793" i="1"/>
  <c r="AG792" i="1"/>
  <c r="AG791" i="1"/>
  <c r="AG790" i="1"/>
  <c r="AG789" i="1"/>
  <c r="AG787" i="1"/>
  <c r="A794" i="1"/>
  <c r="N794" i="1"/>
  <c r="O794" i="1" s="1"/>
  <c r="S794" i="1" s="1"/>
  <c r="A793" i="1"/>
  <c r="N793" i="1"/>
  <c r="O793" i="1" s="1"/>
  <c r="S793" i="1" s="1"/>
  <c r="A792" i="1"/>
  <c r="N792" i="1"/>
  <c r="P792" i="1" s="1"/>
  <c r="A791" i="1"/>
  <c r="N791" i="1"/>
  <c r="O791" i="1" s="1"/>
  <c r="S791" i="1" s="1"/>
  <c r="A789" i="1"/>
  <c r="A790" i="1"/>
  <c r="A787" i="1"/>
  <c r="N787" i="1"/>
  <c r="P787" i="1" s="1"/>
  <c r="S782" i="1"/>
  <c r="N782" i="1"/>
  <c r="P782" i="1" s="1"/>
  <c r="AG781" i="1"/>
  <c r="AG780" i="1"/>
  <c r="A781" i="1"/>
  <c r="N781" i="1"/>
  <c r="O781" i="1" s="1"/>
  <c r="S781" i="1" s="1"/>
  <c r="A780" i="1"/>
  <c r="N780" i="1"/>
  <c r="P780" i="1" s="1"/>
  <c r="S778" i="1"/>
  <c r="N778" i="1"/>
  <c r="AG777" i="1"/>
  <c r="A777" i="1"/>
  <c r="N777" i="1"/>
  <c r="O777" i="1" s="1"/>
  <c r="S777" i="1"/>
  <c r="AG776" i="1"/>
  <c r="A776" i="1"/>
  <c r="N776" i="1"/>
  <c r="O776" i="1" s="1"/>
  <c r="S776" i="1" s="1"/>
  <c r="N773" i="1"/>
  <c r="P773" i="1" s="1"/>
  <c r="AG772" i="1"/>
  <c r="A772" i="1"/>
  <c r="N772" i="1"/>
  <c r="P772" i="1" s="1"/>
  <c r="S765" i="1"/>
  <c r="N765" i="1"/>
  <c r="AG764" i="1"/>
  <c r="A764" i="1"/>
  <c r="N764" i="1"/>
  <c r="O764" i="1" s="1"/>
  <c r="Q764" i="1" s="1"/>
  <c r="R764" i="1" s="1"/>
  <c r="S764" i="1"/>
  <c r="AG765" i="1"/>
  <c r="AG763" i="1"/>
  <c r="A765" i="1"/>
  <c r="A763" i="1"/>
  <c r="N763" i="1"/>
  <c r="O763" i="1" s="1"/>
  <c r="S763" i="1" s="1"/>
  <c r="N761" i="1"/>
  <c r="P761" i="1" s="1"/>
  <c r="AG760" i="1"/>
  <c r="AG759" i="1"/>
  <c r="A760" i="1"/>
  <c r="N760" i="1"/>
  <c r="O760" i="1" s="1"/>
  <c r="S760" i="1"/>
  <c r="A759" i="1"/>
  <c r="N759" i="1"/>
  <c r="O759" i="1" s="1"/>
  <c r="S759" i="1" s="1"/>
  <c r="N521" i="1"/>
  <c r="AG520" i="1"/>
  <c r="A520" i="1"/>
  <c r="N520" i="1"/>
  <c r="O520" i="1" s="1"/>
  <c r="S520" i="1" s="1"/>
  <c r="S518" i="1"/>
  <c r="N518" i="1"/>
  <c r="AG517" i="1"/>
  <c r="A517" i="1"/>
  <c r="N517" i="1"/>
  <c r="O517" i="1" s="1"/>
  <c r="S517" i="1" s="1"/>
  <c r="N514" i="1"/>
  <c r="P514" i="1" s="1"/>
  <c r="AG513" i="1"/>
  <c r="A513" i="1"/>
  <c r="N513" i="1"/>
  <c r="P513" i="1" s="1"/>
  <c r="N511" i="1"/>
  <c r="N510" i="1"/>
  <c r="N509" i="1"/>
  <c r="P509" i="1" s="1"/>
  <c r="AG510" i="1"/>
  <c r="AG509" i="1"/>
  <c r="A510" i="1"/>
  <c r="A509" i="1"/>
  <c r="S508" i="1"/>
  <c r="T508" i="1" s="1"/>
  <c r="U508" i="1" s="1"/>
  <c r="V508" i="1" s="1"/>
  <c r="N508" i="1"/>
  <c r="O508" i="1" s="1"/>
  <c r="AG507" i="1"/>
  <c r="A507" i="1"/>
  <c r="N507" i="1"/>
  <c r="O507" i="1" s="1"/>
  <c r="S507" i="1" s="1"/>
  <c r="N503" i="1"/>
  <c r="P503" i="1" s="1"/>
  <c r="AG502" i="1"/>
  <c r="A502" i="1"/>
  <c r="N502" i="1"/>
  <c r="O502" i="1" s="1"/>
  <c r="Q502" i="1" s="1"/>
  <c r="R502" i="1" s="1"/>
  <c r="N501" i="1"/>
  <c r="AG500" i="1"/>
  <c r="A500" i="1"/>
  <c r="N500" i="1"/>
  <c r="P500" i="1" s="1"/>
  <c r="S497" i="1"/>
  <c r="N497" i="1"/>
  <c r="Q497" i="1" s="1"/>
  <c r="R497" i="1" s="1"/>
  <c r="AG496" i="1"/>
  <c r="A496" i="1"/>
  <c r="N496" i="1"/>
  <c r="O496" i="1" s="1"/>
  <c r="S496" i="1" s="1"/>
  <c r="N495" i="1"/>
  <c r="AG494" i="1"/>
  <c r="A494" i="1"/>
  <c r="N494" i="1"/>
  <c r="O494" i="1" s="1"/>
  <c r="S494" i="1" s="1"/>
  <c r="S331" i="1"/>
  <c r="N331" i="1"/>
  <c r="O331" i="1" s="1"/>
  <c r="AG330" i="1"/>
  <c r="A330" i="1"/>
  <c r="N330" i="1"/>
  <c r="P330" i="1" s="1"/>
  <c r="S330" i="1"/>
  <c r="AG329" i="1"/>
  <c r="AG328" i="1"/>
  <c r="AG327" i="1"/>
  <c r="AG326" i="1"/>
  <c r="AG325" i="1"/>
  <c r="A329" i="1"/>
  <c r="N329" i="1"/>
  <c r="O329" i="1" s="1"/>
  <c r="S329" i="1" s="1"/>
  <c r="A328" i="1"/>
  <c r="N328" i="1"/>
  <c r="O328" i="1" s="1"/>
  <c r="S328" i="1" s="1"/>
  <c r="A327" i="1"/>
  <c r="N327" i="1"/>
  <c r="O327" i="1" s="1"/>
  <c r="S327" i="1"/>
  <c r="A326" i="1"/>
  <c r="N326" i="1"/>
  <c r="O326" i="1" s="1"/>
  <c r="S326" i="1" s="1"/>
  <c r="A325" i="1"/>
  <c r="N325" i="1"/>
  <c r="O325" i="1" s="1"/>
  <c r="S325" i="1" s="1"/>
  <c r="S321" i="1"/>
  <c r="N321" i="1"/>
  <c r="P321" i="1" s="1"/>
  <c r="AG320" i="1"/>
  <c r="A320" i="1"/>
  <c r="N320" i="1"/>
  <c r="P320" i="1" s="1"/>
  <c r="S318" i="1"/>
  <c r="N318" i="1"/>
  <c r="S317" i="1"/>
  <c r="N317" i="1"/>
  <c r="S316" i="1"/>
  <c r="N316" i="1"/>
  <c r="S315" i="1"/>
  <c r="N315" i="1"/>
  <c r="O315" i="1" s="1"/>
  <c r="S314" i="1"/>
  <c r="N314" i="1"/>
  <c r="S313" i="1"/>
  <c r="N313" i="1"/>
  <c r="S312" i="1"/>
  <c r="N312" i="1"/>
  <c r="S311" i="1"/>
  <c r="N311" i="1"/>
  <c r="AG310" i="1"/>
  <c r="A310" i="1"/>
  <c r="N310" i="1"/>
  <c r="O310" i="1" s="1"/>
  <c r="S310" i="1"/>
  <c r="AG317" i="1"/>
  <c r="AG316" i="1"/>
  <c r="AG315" i="1"/>
  <c r="AG314" i="1"/>
  <c r="AG313" i="1"/>
  <c r="AG312" i="1"/>
  <c r="AG311" i="1"/>
  <c r="AG309" i="1"/>
  <c r="A309" i="1"/>
  <c r="A311" i="1"/>
  <c r="A312" i="1"/>
  <c r="N309" i="1"/>
  <c r="A317" i="1"/>
  <c r="A316" i="1"/>
  <c r="A315" i="1"/>
  <c r="A314" i="1"/>
  <c r="A313" i="1"/>
  <c r="S308" i="1"/>
  <c r="N308" i="1"/>
  <c r="O308" i="1" s="1"/>
  <c r="Q308" i="1" s="1"/>
  <c r="R308" i="1" s="1"/>
  <c r="AG307" i="1"/>
  <c r="A307" i="1"/>
  <c r="N307" i="1"/>
  <c r="P307" i="1" s="1"/>
  <c r="S67" i="1"/>
  <c r="N67" i="1"/>
  <c r="AG66" i="1"/>
  <c r="A66" i="1"/>
  <c r="N66" i="1"/>
  <c r="O66" i="1" s="1"/>
  <c r="Q66" i="1" s="1"/>
  <c r="R66" i="1" s="1"/>
  <c r="S66" i="1"/>
  <c r="S64" i="1"/>
  <c r="N64" i="1"/>
  <c r="AG63" i="1"/>
  <c r="A63" i="1"/>
  <c r="N63" i="1"/>
  <c r="O63" i="1" s="1"/>
  <c r="S63" i="1" s="1"/>
  <c r="S59" i="1"/>
  <c r="N59" i="1"/>
  <c r="O59" i="1" s="1"/>
  <c r="AG58" i="1"/>
  <c r="A58" i="1"/>
  <c r="N58" i="1"/>
  <c r="O58" i="1" s="1"/>
  <c r="S54" i="1"/>
  <c r="T54" i="1" s="1"/>
  <c r="U54" i="1" s="1"/>
  <c r="V54" i="1" s="1"/>
  <c r="N54" i="1"/>
  <c r="AG53" i="1"/>
  <c r="A53" i="1"/>
  <c r="N53" i="1"/>
  <c r="O53" i="1" s="1"/>
  <c r="S53" i="1"/>
  <c r="N52" i="1"/>
  <c r="AG51" i="1"/>
  <c r="A51" i="1"/>
  <c r="N51" i="1"/>
  <c r="O51" i="1" s="1"/>
  <c r="Q51" i="1" s="1"/>
  <c r="R51" i="1" s="1"/>
  <c r="S47" i="1"/>
  <c r="N47" i="1"/>
  <c r="AG46" i="1"/>
  <c r="A46" i="1"/>
  <c r="N46" i="1"/>
  <c r="O46" i="1" s="1"/>
  <c r="S46" i="1" s="1"/>
  <c r="N43" i="1"/>
  <c r="AG42" i="1"/>
  <c r="A42" i="1"/>
  <c r="N42" i="1"/>
  <c r="O42" i="1" s="1"/>
  <c r="AG38" i="1"/>
  <c r="A38" i="1"/>
  <c r="N38" i="1"/>
  <c r="P38" i="1" s="1"/>
  <c r="S757" i="1"/>
  <c r="N757" i="1"/>
  <c r="P757" i="1" s="1"/>
  <c r="AG756" i="1"/>
  <c r="A756" i="1"/>
  <c r="N756" i="1"/>
  <c r="O756" i="1" s="1"/>
  <c r="S756" i="1" s="1"/>
  <c r="N752" i="1"/>
  <c r="AG751" i="1"/>
  <c r="A751" i="1"/>
  <c r="N751" i="1"/>
  <c r="O751" i="1" s="1"/>
  <c r="S751" i="1" s="1"/>
  <c r="S748" i="1"/>
  <c r="N748" i="1"/>
  <c r="Q748" i="1" s="1"/>
  <c r="R748" i="1" s="1"/>
  <c r="AG747" i="1"/>
  <c r="A747" i="1"/>
  <c r="N747" i="1"/>
  <c r="O747" i="1" s="1"/>
  <c r="N746" i="1"/>
  <c r="P746" i="1" s="1"/>
  <c r="AG745" i="1"/>
  <c r="A745" i="1"/>
  <c r="N745" i="1"/>
  <c r="P745" i="1" s="1"/>
  <c r="N736" i="1"/>
  <c r="O736" i="1" s="1"/>
  <c r="S736" i="1" s="1"/>
  <c r="N737" i="1"/>
  <c r="P737" i="1" s="1"/>
  <c r="N738" i="1"/>
  <c r="O738" i="1" s="1"/>
  <c r="AG737" i="1"/>
  <c r="AG735" i="1"/>
  <c r="A737" i="1"/>
  <c r="A735" i="1"/>
  <c r="N735" i="1"/>
  <c r="O735" i="1" s="1"/>
  <c r="S735" i="1" s="1"/>
  <c r="N733" i="1"/>
  <c r="N732" i="1"/>
  <c r="O732" i="1" s="1"/>
  <c r="S732" i="1" s="1"/>
  <c r="T732" i="1" s="1"/>
  <c r="U732" i="1" s="1"/>
  <c r="V732" i="1" s="1"/>
  <c r="N731" i="1"/>
  <c r="P731" i="1" s="1"/>
  <c r="AG732" i="1"/>
  <c r="AG730" i="1"/>
  <c r="A732" i="1"/>
  <c r="A730" i="1"/>
  <c r="N730" i="1"/>
  <c r="O730" i="1" s="1"/>
  <c r="S730" i="1" s="1"/>
  <c r="N487" i="1"/>
  <c r="O487" i="1" s="1"/>
  <c r="S487" i="1" s="1"/>
  <c r="AG486" i="1"/>
  <c r="A486" i="1"/>
  <c r="N486" i="1"/>
  <c r="O486" i="1" s="1"/>
  <c r="S486" i="1" s="1"/>
  <c r="N484" i="1"/>
  <c r="O484" i="1" s="1"/>
  <c r="AG485" i="1"/>
  <c r="A485" i="1"/>
  <c r="N485" i="1"/>
  <c r="O485" i="1" s="1"/>
  <c r="S485" i="1" s="1"/>
  <c r="N481" i="1"/>
  <c r="O481" i="1" s="1"/>
  <c r="S481" i="1" s="1"/>
  <c r="AG480" i="1"/>
  <c r="A480" i="1"/>
  <c r="N480" i="1"/>
  <c r="O480" i="1" s="1"/>
  <c r="S480" i="1" s="1"/>
  <c r="N479" i="1"/>
  <c r="O479" i="1" s="1"/>
  <c r="S479" i="1" s="1"/>
  <c r="AG478" i="1"/>
  <c r="A478" i="1"/>
  <c r="N478" i="1"/>
  <c r="O478" i="1" s="1"/>
  <c r="S478" i="1" s="1"/>
  <c r="N477" i="1"/>
  <c r="P477" i="1" s="1"/>
  <c r="AG476" i="1"/>
  <c r="A476" i="1"/>
  <c r="N476" i="1"/>
  <c r="O476" i="1" s="1"/>
  <c r="S476" i="1" s="1"/>
  <c r="N470" i="1"/>
  <c r="O470" i="1" s="1"/>
  <c r="S470" i="1"/>
  <c r="T470" i="1" s="1"/>
  <c r="U470" i="1" s="1"/>
  <c r="V470" i="1" s="1"/>
  <c r="N471" i="1"/>
  <c r="O471" i="1" s="1"/>
  <c r="S471" i="1" s="1"/>
  <c r="T471" i="1" s="1"/>
  <c r="U471" i="1" s="1"/>
  <c r="V471" i="1" s="1"/>
  <c r="N472" i="1"/>
  <c r="O472" i="1" s="1"/>
  <c r="S472" i="1"/>
  <c r="T472" i="1" s="1"/>
  <c r="U472" i="1" s="1"/>
  <c r="V472" i="1" s="1"/>
  <c r="N473" i="1"/>
  <c r="N474" i="1"/>
  <c r="P474" i="1" s="1"/>
  <c r="S474" i="1"/>
  <c r="T474" i="1" s="1"/>
  <c r="U474" i="1" s="1"/>
  <c r="V474" i="1" s="1"/>
  <c r="N475" i="1"/>
  <c r="O475" i="1" s="1"/>
  <c r="S475" i="1" s="1"/>
  <c r="T475" i="1" s="1"/>
  <c r="U475" i="1" s="1"/>
  <c r="V475" i="1" s="1"/>
  <c r="AG469" i="1"/>
  <c r="AG471" i="1"/>
  <c r="AG473" i="1"/>
  <c r="A473" i="1"/>
  <c r="A471" i="1"/>
  <c r="A469" i="1"/>
  <c r="N469" i="1"/>
  <c r="O469" i="1" s="1"/>
  <c r="Q469" i="1" s="1"/>
  <c r="R469" i="1" s="1"/>
  <c r="AG474" i="1"/>
  <c r="AG472" i="1"/>
  <c r="AG470" i="1"/>
  <c r="A470" i="1"/>
  <c r="A472" i="1"/>
  <c r="A474" i="1"/>
  <c r="N468" i="1"/>
  <c r="O468" i="1" s="1"/>
  <c r="S468" i="1" s="1"/>
  <c r="T468" i="1" s="1"/>
  <c r="U468" i="1" s="1"/>
  <c r="V468" i="1" s="1"/>
  <c r="AG467" i="1"/>
  <c r="A467" i="1"/>
  <c r="N467" i="1"/>
  <c r="O467" i="1" s="1"/>
  <c r="N288" i="1"/>
  <c r="O288" i="1" s="1"/>
  <c r="Q288" i="1" s="1"/>
  <c r="R288" i="1" s="1"/>
  <c r="S288" i="1"/>
  <c r="T288" i="1" s="1"/>
  <c r="U288" i="1" s="1"/>
  <c r="V288" i="1" s="1"/>
  <c r="AG287" i="1"/>
  <c r="A287" i="1"/>
  <c r="N287" i="1"/>
  <c r="O287" i="1" s="1"/>
  <c r="S287" i="1"/>
  <c r="N27" i="1"/>
  <c r="O27" i="1" s="1"/>
  <c r="S27" i="1"/>
  <c r="T27" i="1" s="1"/>
  <c r="U27" i="1" s="1"/>
  <c r="V27" i="1" s="1"/>
  <c r="AG26" i="1"/>
  <c r="A26" i="1"/>
  <c r="N26" i="1"/>
  <c r="P26" i="1" s="1"/>
  <c r="S26" i="1"/>
  <c r="N31" i="1"/>
  <c r="O31" i="1" s="1"/>
  <c r="S31" i="1"/>
  <c r="N32" i="1"/>
  <c r="O32" i="1" s="1"/>
  <c r="N33" i="1"/>
  <c r="O33" i="1" s="1"/>
  <c r="N34" i="1"/>
  <c r="Q34" i="1" s="1"/>
  <c r="R34" i="1" s="1"/>
  <c r="S34" i="1"/>
  <c r="AG33" i="1"/>
  <c r="AG30" i="1"/>
  <c r="A33" i="1"/>
  <c r="A30" i="1"/>
  <c r="N30" i="1"/>
  <c r="P30" i="1" s="1"/>
  <c r="N23" i="1"/>
  <c r="O23" i="1" s="1"/>
  <c r="S23" i="1"/>
  <c r="AG22" i="1"/>
  <c r="A22" i="1"/>
  <c r="N22" i="1"/>
  <c r="P22" i="1" s="1"/>
  <c r="N21" i="1"/>
  <c r="P21" i="1" s="1"/>
  <c r="S21" i="1"/>
  <c r="AG20" i="1"/>
  <c r="A20" i="1"/>
  <c r="N20" i="1"/>
  <c r="O20" i="1" s="1"/>
  <c r="S20" i="1"/>
  <c r="N18" i="1"/>
  <c r="N17" i="1"/>
  <c r="P17" i="1" s="1"/>
  <c r="N16" i="1"/>
  <c r="N15" i="1"/>
  <c r="N14" i="1"/>
  <c r="P14" i="1" s="1"/>
  <c r="AG17" i="1"/>
  <c r="AG15" i="1"/>
  <c r="AG13" i="1"/>
  <c r="A17" i="1"/>
  <c r="A15" i="1"/>
  <c r="A13" i="1"/>
  <c r="N13" i="1"/>
  <c r="O13" i="1" s="1"/>
  <c r="S13" i="1" s="1"/>
  <c r="N9" i="1"/>
  <c r="O9" i="1" s="1"/>
  <c r="S9" i="1"/>
  <c r="AG8" i="1"/>
  <c r="A8" i="1"/>
  <c r="N8" i="1"/>
  <c r="O8" i="1" s="1"/>
  <c r="S8" i="1" s="1"/>
  <c r="N6" i="1"/>
  <c r="O6" i="1" s="1"/>
  <c r="S6" i="1"/>
  <c r="AG5" i="1"/>
  <c r="A5" i="1"/>
  <c r="N5" i="1"/>
  <c r="P5" i="1" s="1"/>
  <c r="A152" i="1"/>
  <c r="N152" i="1"/>
  <c r="O152" i="1" s="1"/>
  <c r="S152" i="1" s="1"/>
  <c r="AG152" i="1"/>
  <c r="A592" i="1"/>
  <c r="N592" i="1"/>
  <c r="O592" i="1" s="1"/>
  <c r="S592" i="1" s="1"/>
  <c r="AG592" i="1"/>
  <c r="G24" i="6"/>
  <c r="K24" i="6" a="1"/>
  <c r="K24" i="6" s="1"/>
  <c r="A151" i="1"/>
  <c r="A892" i="1"/>
  <c r="N151" i="1"/>
  <c r="O151" i="1" s="1"/>
  <c r="N892" i="1"/>
  <c r="O892" i="1" s="1"/>
  <c r="AG151" i="1"/>
  <c r="AG892" i="1"/>
  <c r="Q612" i="1" l="1"/>
  <c r="R612" i="1" s="1"/>
  <c r="Q611" i="1"/>
  <c r="R611" i="1" s="1"/>
  <c r="Q163" i="1"/>
  <c r="R163" i="1" s="1"/>
  <c r="Q603" i="1"/>
  <c r="R603" i="1" s="1"/>
  <c r="Q911" i="1"/>
  <c r="R911" i="1" s="1"/>
  <c r="Q907" i="1"/>
  <c r="R907" i="1" s="1"/>
  <c r="Q160" i="1"/>
  <c r="R160" i="1" s="1"/>
  <c r="Q602" i="1"/>
  <c r="R602" i="1" s="1"/>
  <c r="Q909" i="1"/>
  <c r="R909" i="1" s="1"/>
  <c r="Q598" i="1"/>
  <c r="R598" i="1" s="1"/>
  <c r="P598" i="1"/>
  <c r="O156" i="1"/>
  <c r="Q899" i="1"/>
  <c r="R899" i="1" s="1"/>
  <c r="P899" i="1"/>
  <c r="Q897" i="1"/>
  <c r="R897" i="1" s="1"/>
  <c r="P897" i="1"/>
  <c r="Q595" i="1"/>
  <c r="R595" i="1" s="1"/>
  <c r="O893" i="1"/>
  <c r="S893" i="1" s="1"/>
  <c r="P595" i="1"/>
  <c r="Q594" i="1"/>
  <c r="R594" i="1" s="1"/>
  <c r="P594" i="1"/>
  <c r="Q154" i="1"/>
  <c r="R154" i="1" s="1"/>
  <c r="P154" i="1"/>
  <c r="Q766" i="1"/>
  <c r="R766" i="1" s="1"/>
  <c r="P766" i="1"/>
  <c r="S784" i="1"/>
  <c r="O785" i="1"/>
  <c r="S785" i="1" s="1"/>
  <c r="P785" i="1"/>
  <c r="P784" i="1"/>
  <c r="O767" i="1"/>
  <c r="Q767" i="1" s="1"/>
  <c r="R767" i="1" s="1"/>
  <c r="P767" i="1"/>
  <c r="O787" i="1"/>
  <c r="S787" i="1" s="1"/>
  <c r="O802" i="1"/>
  <c r="Q802" i="1" s="1"/>
  <c r="R802" i="1" s="1"/>
  <c r="P802" i="1"/>
  <c r="O801" i="1"/>
  <c r="S801" i="1" s="1"/>
  <c r="P801" i="1"/>
  <c r="Q788" i="1"/>
  <c r="R788" i="1" s="1"/>
  <c r="P788" i="1"/>
  <c r="Q794" i="1"/>
  <c r="R794" i="1" s="1"/>
  <c r="P794" i="1"/>
  <c r="O789" i="1"/>
  <c r="Q789" i="1" s="1"/>
  <c r="R789" i="1" s="1"/>
  <c r="P795" i="1"/>
  <c r="Q795" i="1"/>
  <c r="R795" i="1" s="1"/>
  <c r="O790" i="1"/>
  <c r="Q790" i="1" s="1"/>
  <c r="R790" i="1" s="1"/>
  <c r="P790" i="1"/>
  <c r="Q793" i="1"/>
  <c r="R793" i="1" s="1"/>
  <c r="Q791" i="1"/>
  <c r="R791" i="1" s="1"/>
  <c r="O792" i="1"/>
  <c r="S792" i="1" s="1"/>
  <c r="P793" i="1"/>
  <c r="P781" i="1"/>
  <c r="P791" i="1"/>
  <c r="Q781" i="1"/>
  <c r="R781" i="1" s="1"/>
  <c r="O782" i="1"/>
  <c r="Q782" i="1" s="1"/>
  <c r="R782" i="1" s="1"/>
  <c r="O780" i="1"/>
  <c r="S780" i="1" s="1"/>
  <c r="Q776" i="1"/>
  <c r="R776" i="1" s="1"/>
  <c r="O778" i="1"/>
  <c r="Q778" i="1" s="1"/>
  <c r="R778" i="1" s="1"/>
  <c r="P778" i="1"/>
  <c r="Q777" i="1"/>
  <c r="R777" i="1" s="1"/>
  <c r="P777" i="1"/>
  <c r="P776" i="1"/>
  <c r="O772" i="1"/>
  <c r="S772" i="1" s="1"/>
  <c r="Q763" i="1"/>
  <c r="R763" i="1" s="1"/>
  <c r="P763" i="1"/>
  <c r="P764" i="1"/>
  <c r="P520" i="1"/>
  <c r="O773" i="1"/>
  <c r="S773" i="1" s="1"/>
  <c r="T773" i="1" s="1"/>
  <c r="U773" i="1" s="1"/>
  <c r="V773" i="1" s="1"/>
  <c r="O765" i="1"/>
  <c r="Q765" i="1" s="1"/>
  <c r="R765" i="1" s="1"/>
  <c r="P765" i="1"/>
  <c r="Q517" i="1"/>
  <c r="R517" i="1" s="1"/>
  <c r="O761" i="1"/>
  <c r="S761" i="1" s="1"/>
  <c r="Q760" i="1"/>
  <c r="R760" i="1" s="1"/>
  <c r="P760" i="1"/>
  <c r="Q759" i="1"/>
  <c r="R759" i="1" s="1"/>
  <c r="Q520" i="1"/>
  <c r="R520" i="1" s="1"/>
  <c r="P517" i="1"/>
  <c r="P759" i="1"/>
  <c r="O521" i="1"/>
  <c r="S521" i="1" s="1"/>
  <c r="P521" i="1"/>
  <c r="O518" i="1"/>
  <c r="Q518" i="1" s="1"/>
  <c r="R518" i="1" s="1"/>
  <c r="P518" i="1"/>
  <c r="P494" i="1"/>
  <c r="O513" i="1"/>
  <c r="S513" i="1" s="1"/>
  <c r="O514" i="1"/>
  <c r="S514" i="1" s="1"/>
  <c r="P510" i="1"/>
  <c r="O509" i="1"/>
  <c r="S509" i="1" s="1"/>
  <c r="T509" i="1" s="1"/>
  <c r="U509" i="1" s="1"/>
  <c r="V509" i="1" s="1"/>
  <c r="O511" i="1"/>
  <c r="S511" i="1" s="1"/>
  <c r="T511" i="1" s="1"/>
  <c r="U511" i="1" s="1"/>
  <c r="V511" i="1" s="1"/>
  <c r="P511" i="1"/>
  <c r="O510" i="1"/>
  <c r="S510" i="1" s="1"/>
  <c r="T510" i="1" s="1"/>
  <c r="U510" i="1" s="1"/>
  <c r="V510" i="1" s="1"/>
  <c r="O330" i="1"/>
  <c r="S502" i="1"/>
  <c r="P508" i="1"/>
  <c r="Q508" i="1"/>
  <c r="R508" i="1" s="1"/>
  <c r="Q507" i="1"/>
  <c r="R507" i="1" s="1"/>
  <c r="P507" i="1"/>
  <c r="O500" i="1"/>
  <c r="O503" i="1"/>
  <c r="S503" i="1" s="1"/>
  <c r="P502" i="1"/>
  <c r="Q494" i="1"/>
  <c r="R494" i="1" s="1"/>
  <c r="Q330" i="1"/>
  <c r="R330" i="1" s="1"/>
  <c r="O501" i="1"/>
  <c r="S501" i="1" s="1"/>
  <c r="P501" i="1"/>
  <c r="Q496" i="1"/>
  <c r="R496" i="1" s="1"/>
  <c r="P496" i="1"/>
  <c r="O497" i="1"/>
  <c r="P497" i="1"/>
  <c r="O495" i="1"/>
  <c r="S495" i="1" s="1"/>
  <c r="P495" i="1"/>
  <c r="P310" i="1"/>
  <c r="P331" i="1"/>
  <c r="Q331" i="1"/>
  <c r="R331" i="1" s="1"/>
  <c r="P329" i="1"/>
  <c r="Q329" i="1"/>
  <c r="R329" i="1" s="1"/>
  <c r="P328" i="1"/>
  <c r="Q328" i="1"/>
  <c r="R328" i="1" s="1"/>
  <c r="Q310" i="1"/>
  <c r="R310" i="1" s="1"/>
  <c r="Q327" i="1"/>
  <c r="R327" i="1" s="1"/>
  <c r="O320" i="1"/>
  <c r="S320" i="1" s="1"/>
  <c r="P327" i="1"/>
  <c r="Q326" i="1"/>
  <c r="R326" i="1" s="1"/>
  <c r="P326" i="1"/>
  <c r="Q325" i="1"/>
  <c r="R325" i="1" s="1"/>
  <c r="P325" i="1"/>
  <c r="O321" i="1"/>
  <c r="Q321" i="1" s="1"/>
  <c r="R321" i="1" s="1"/>
  <c r="O313" i="1"/>
  <c r="Q313" i="1" s="1"/>
  <c r="R313" i="1" s="1"/>
  <c r="P313" i="1"/>
  <c r="P316" i="1"/>
  <c r="O312" i="1"/>
  <c r="Q312" i="1" s="1"/>
  <c r="R312" i="1" s="1"/>
  <c r="O318" i="1"/>
  <c r="Q318" i="1" s="1"/>
  <c r="R318" i="1" s="1"/>
  <c r="P312" i="1"/>
  <c r="P315" i="1"/>
  <c r="P318" i="1"/>
  <c r="Q315" i="1"/>
  <c r="R315" i="1" s="1"/>
  <c r="P311" i="1"/>
  <c r="P314" i="1"/>
  <c r="P317" i="1"/>
  <c r="O316" i="1"/>
  <c r="Q316" i="1" s="1"/>
  <c r="R316" i="1" s="1"/>
  <c r="O311" i="1"/>
  <c r="Q311" i="1" s="1"/>
  <c r="R311" i="1" s="1"/>
  <c r="O314" i="1"/>
  <c r="Q314" i="1" s="1"/>
  <c r="R314" i="1" s="1"/>
  <c r="O317" i="1"/>
  <c r="Q317" i="1" s="1"/>
  <c r="R317" i="1" s="1"/>
  <c r="P309" i="1"/>
  <c r="O309" i="1"/>
  <c r="S309" i="1" s="1"/>
  <c r="O307" i="1"/>
  <c r="P308" i="1"/>
  <c r="O67" i="1"/>
  <c r="Q67" i="1" s="1"/>
  <c r="R67" i="1" s="1"/>
  <c r="P67" i="1"/>
  <c r="P66" i="1"/>
  <c r="O64" i="1"/>
  <c r="Q64" i="1" s="1"/>
  <c r="R64" i="1" s="1"/>
  <c r="P64" i="1"/>
  <c r="Q63" i="1"/>
  <c r="R63" i="1" s="1"/>
  <c r="P63" i="1"/>
  <c r="P59" i="1"/>
  <c r="Q59" i="1"/>
  <c r="R59" i="1" s="1"/>
  <c r="Q58" i="1"/>
  <c r="R58" i="1" s="1"/>
  <c r="S58" i="1"/>
  <c r="P58" i="1"/>
  <c r="Q53" i="1"/>
  <c r="R53" i="1" s="1"/>
  <c r="P53" i="1"/>
  <c r="O54" i="1"/>
  <c r="Q54" i="1" s="1"/>
  <c r="R54" i="1" s="1"/>
  <c r="P54" i="1"/>
  <c r="S51" i="1"/>
  <c r="O52" i="1"/>
  <c r="S52" i="1" s="1"/>
  <c r="P52" i="1"/>
  <c r="P51" i="1"/>
  <c r="Q42" i="1"/>
  <c r="R42" i="1" s="1"/>
  <c r="S42" i="1"/>
  <c r="P42" i="1"/>
  <c r="O47" i="1"/>
  <c r="Q47" i="1" s="1"/>
  <c r="R47" i="1" s="1"/>
  <c r="P47" i="1"/>
  <c r="Q46" i="1"/>
  <c r="R46" i="1" s="1"/>
  <c r="P46" i="1"/>
  <c r="O43" i="1"/>
  <c r="S43" i="1" s="1"/>
  <c r="P43" i="1"/>
  <c r="O38" i="1"/>
  <c r="S38" i="1" s="1"/>
  <c r="Q751" i="1"/>
  <c r="R751" i="1" s="1"/>
  <c r="O757" i="1"/>
  <c r="Q757" i="1" s="1"/>
  <c r="R757" i="1" s="1"/>
  <c r="Q756" i="1"/>
  <c r="R756" i="1" s="1"/>
  <c r="P756" i="1"/>
  <c r="Q752" i="1"/>
  <c r="R752" i="1" s="1"/>
  <c r="O752" i="1"/>
  <c r="S752" i="1" s="1"/>
  <c r="P752" i="1"/>
  <c r="P751" i="1"/>
  <c r="O745" i="1"/>
  <c r="Q745" i="1" s="1"/>
  <c r="R745" i="1" s="1"/>
  <c r="O748" i="1"/>
  <c r="P748" i="1"/>
  <c r="Q747" i="1"/>
  <c r="R747" i="1" s="1"/>
  <c r="S747" i="1"/>
  <c r="P747" i="1"/>
  <c r="O737" i="1"/>
  <c r="S737" i="1" s="1"/>
  <c r="T737" i="1" s="1"/>
  <c r="U737" i="1" s="1"/>
  <c r="V737" i="1" s="1"/>
  <c r="O746" i="1"/>
  <c r="Q746" i="1" s="1"/>
  <c r="R746" i="1" s="1"/>
  <c r="S746" i="1"/>
  <c r="P738" i="1"/>
  <c r="S738" i="1"/>
  <c r="Q738" i="1"/>
  <c r="R738" i="1" s="1"/>
  <c r="Q736" i="1"/>
  <c r="R736" i="1" s="1"/>
  <c r="P736" i="1"/>
  <c r="Q735" i="1"/>
  <c r="R735" i="1" s="1"/>
  <c r="P735" i="1"/>
  <c r="P733" i="1"/>
  <c r="P732" i="1"/>
  <c r="Q732" i="1"/>
  <c r="R732" i="1" s="1"/>
  <c r="O733" i="1"/>
  <c r="S733" i="1" s="1"/>
  <c r="O731" i="1"/>
  <c r="S731" i="1" s="1"/>
  <c r="Q730" i="1"/>
  <c r="R730" i="1" s="1"/>
  <c r="P469" i="1"/>
  <c r="P730" i="1"/>
  <c r="Q487" i="1"/>
  <c r="R487" i="1" s="1"/>
  <c r="P487" i="1"/>
  <c r="Q486" i="1"/>
  <c r="R486" i="1" s="1"/>
  <c r="P486" i="1"/>
  <c r="S484" i="1"/>
  <c r="Q484" i="1"/>
  <c r="R484" i="1" s="1"/>
  <c r="P484" i="1"/>
  <c r="Q485" i="1"/>
  <c r="R485" i="1" s="1"/>
  <c r="Q478" i="1"/>
  <c r="R478" i="1" s="1"/>
  <c r="P485" i="1"/>
  <c r="P478" i="1"/>
  <c r="S469" i="1"/>
  <c r="P481" i="1"/>
  <c r="Q481" i="1"/>
  <c r="R481" i="1" s="1"/>
  <c r="Q480" i="1"/>
  <c r="R480" i="1" s="1"/>
  <c r="P480" i="1"/>
  <c r="Q479" i="1"/>
  <c r="R479" i="1" s="1"/>
  <c r="P479" i="1"/>
  <c r="Q472" i="1"/>
  <c r="R472" i="1" s="1"/>
  <c r="P472" i="1"/>
  <c r="O477" i="1"/>
  <c r="S477" i="1" s="1"/>
  <c r="Q476" i="1"/>
  <c r="R476" i="1" s="1"/>
  <c r="P476" i="1"/>
  <c r="P473" i="1"/>
  <c r="O473" i="1"/>
  <c r="S473" i="1" s="1"/>
  <c r="T473" i="1" s="1"/>
  <c r="U473" i="1" s="1"/>
  <c r="V473" i="1" s="1"/>
  <c r="O474" i="1"/>
  <c r="Q474" i="1" s="1"/>
  <c r="R474" i="1" s="1"/>
  <c r="P471" i="1"/>
  <c r="Q471" i="1"/>
  <c r="R471" i="1" s="1"/>
  <c r="P470" i="1"/>
  <c r="Q470" i="1"/>
  <c r="R470" i="1" s="1"/>
  <c r="Q475" i="1"/>
  <c r="R475" i="1" s="1"/>
  <c r="P475" i="1"/>
  <c r="Q287" i="1"/>
  <c r="R287" i="1" s="1"/>
  <c r="Q467" i="1"/>
  <c r="R467" i="1" s="1"/>
  <c r="S467" i="1"/>
  <c r="O30" i="1"/>
  <c r="S30" i="1" s="1"/>
  <c r="P467" i="1"/>
  <c r="P33" i="1"/>
  <c r="Q468" i="1"/>
  <c r="R468" i="1" s="1"/>
  <c r="P468" i="1"/>
  <c r="P34" i="1"/>
  <c r="O34" i="1"/>
  <c r="O26" i="1"/>
  <c r="Q26" i="1" s="1"/>
  <c r="R26" i="1" s="1"/>
  <c r="P287" i="1"/>
  <c r="P288" i="1"/>
  <c r="S32" i="1"/>
  <c r="T32" i="1" s="1"/>
  <c r="U32" i="1" s="1"/>
  <c r="V32" i="1" s="1"/>
  <c r="Q32" i="1"/>
  <c r="R32" i="1" s="1"/>
  <c r="P32" i="1"/>
  <c r="Q27" i="1"/>
  <c r="R27" i="1" s="1"/>
  <c r="P27" i="1"/>
  <c r="Q31" i="1"/>
  <c r="R31" i="1" s="1"/>
  <c r="P31" i="1"/>
  <c r="O21" i="1"/>
  <c r="Q21" i="1" s="1"/>
  <c r="R21" i="1" s="1"/>
  <c r="Q33" i="1"/>
  <c r="R33" i="1" s="1"/>
  <c r="S33" i="1"/>
  <c r="T33" i="1" s="1"/>
  <c r="U33" i="1" s="1"/>
  <c r="V33" i="1" s="1"/>
  <c r="P20" i="1"/>
  <c r="O22" i="1"/>
  <c r="O5" i="1"/>
  <c r="Q5" i="1" s="1"/>
  <c r="R5" i="1" s="1"/>
  <c r="Q23" i="1"/>
  <c r="R23" i="1" s="1"/>
  <c r="P23" i="1"/>
  <c r="O17" i="1"/>
  <c r="S17" i="1" s="1"/>
  <c r="T17" i="1" s="1"/>
  <c r="U17" i="1" s="1"/>
  <c r="V17" i="1" s="1"/>
  <c r="Q20" i="1"/>
  <c r="R20" i="1" s="1"/>
  <c r="O14" i="1"/>
  <c r="Q14" i="1" s="1"/>
  <c r="R14" i="1" s="1"/>
  <c r="O18" i="1"/>
  <c r="S18" i="1" s="1"/>
  <c r="P18" i="1"/>
  <c r="O15" i="1"/>
  <c r="S15" i="1" s="1"/>
  <c r="T15" i="1" s="1"/>
  <c r="U15" i="1" s="1"/>
  <c r="V15" i="1" s="1"/>
  <c r="P15" i="1"/>
  <c r="O16" i="1"/>
  <c r="S16" i="1" s="1"/>
  <c r="P16" i="1"/>
  <c r="S14" i="1"/>
  <c r="Q13" i="1"/>
  <c r="R13" i="1" s="1"/>
  <c r="P13" i="1"/>
  <c r="Q8" i="1"/>
  <c r="R8" i="1" s="1"/>
  <c r="Q9" i="1"/>
  <c r="R9" i="1" s="1"/>
  <c r="P9" i="1"/>
  <c r="P8" i="1"/>
  <c r="Q6" i="1"/>
  <c r="R6" i="1" s="1"/>
  <c r="P6" i="1"/>
  <c r="P592" i="1"/>
  <c r="Q592" i="1"/>
  <c r="R592" i="1" s="1"/>
  <c r="Q152" i="1"/>
  <c r="R152" i="1" s="1"/>
  <c r="P152" i="1"/>
  <c r="P892" i="1"/>
  <c r="P151" i="1"/>
  <c r="S892" i="1"/>
  <c r="Q892" i="1"/>
  <c r="R892" i="1" s="1"/>
  <c r="Q151" i="1"/>
  <c r="R151" i="1" s="1"/>
  <c r="S151" i="1"/>
  <c r="O586" i="1"/>
  <c r="S586" i="1" s="1"/>
  <c r="A891" i="1"/>
  <c r="A150" i="1"/>
  <c r="N891" i="1"/>
  <c r="O891" i="1" s="1"/>
  <c r="N150" i="1"/>
  <c r="O150" i="1" s="1"/>
  <c r="AG891" i="1"/>
  <c r="AG150" i="1"/>
  <c r="A890" i="1"/>
  <c r="N890" i="1"/>
  <c r="P890" i="1" s="1"/>
  <c r="AG890" i="1"/>
  <c r="A591" i="1"/>
  <c r="N591" i="1"/>
  <c r="O591" i="1" s="1"/>
  <c r="S591" i="1" s="1"/>
  <c r="AG591" i="1"/>
  <c r="A586" i="1"/>
  <c r="T586" i="1" l="1"/>
  <c r="S156" i="1"/>
  <c r="L29" i="6" a="1"/>
  <c r="L29" i="6" s="1"/>
  <c r="J29" i="6" s="1"/>
  <c r="L24" i="6" a="1"/>
  <c r="L24" i="6" s="1"/>
  <c r="J24" i="6" s="1"/>
  <c r="Q156" i="1"/>
  <c r="R156" i="1" s="1"/>
  <c r="Q893" i="1"/>
  <c r="R893" i="1" s="1"/>
  <c r="Q785" i="1"/>
  <c r="R785" i="1" s="1"/>
  <c r="Q787" i="1"/>
  <c r="R787" i="1" s="1"/>
  <c r="Q761" i="1"/>
  <c r="R761" i="1" s="1"/>
  <c r="Q801" i="1"/>
  <c r="R801" i="1" s="1"/>
  <c r="Q792" i="1"/>
  <c r="R792" i="1" s="1"/>
  <c r="Q780" i="1"/>
  <c r="R780" i="1" s="1"/>
  <c r="Q772" i="1"/>
  <c r="R772" i="1" s="1"/>
  <c r="Q773" i="1"/>
  <c r="R773" i="1" s="1"/>
  <c r="Q521" i="1"/>
  <c r="R521" i="1" s="1"/>
  <c r="Q513" i="1"/>
  <c r="R513" i="1" s="1"/>
  <c r="Q514" i="1"/>
  <c r="R514" i="1" s="1"/>
  <c r="Q509" i="1"/>
  <c r="R509" i="1" s="1"/>
  <c r="Q511" i="1"/>
  <c r="R511" i="1" s="1"/>
  <c r="Q510" i="1"/>
  <c r="R510" i="1" s="1"/>
  <c r="Q500" i="1"/>
  <c r="R500" i="1" s="1"/>
  <c r="S500" i="1"/>
  <c r="Q503" i="1"/>
  <c r="R503" i="1" s="1"/>
  <c r="Q501" i="1"/>
  <c r="R501" i="1" s="1"/>
  <c r="Q495" i="1"/>
  <c r="R495" i="1" s="1"/>
  <c r="Q320" i="1"/>
  <c r="R320" i="1" s="1"/>
  <c r="Q309" i="1"/>
  <c r="R309" i="1" s="1"/>
  <c r="Q307" i="1"/>
  <c r="R307" i="1" s="1"/>
  <c r="S307" i="1"/>
  <c r="Q43" i="1"/>
  <c r="R43" i="1" s="1"/>
  <c r="Q52" i="1"/>
  <c r="R52" i="1" s="1"/>
  <c r="Q38" i="1"/>
  <c r="R38" i="1" s="1"/>
  <c r="S745" i="1"/>
  <c r="Q737" i="1"/>
  <c r="R737" i="1" s="1"/>
  <c r="Q733" i="1"/>
  <c r="R733" i="1" s="1"/>
  <c r="Q731" i="1"/>
  <c r="R731" i="1" s="1"/>
  <c r="Q477" i="1"/>
  <c r="R477" i="1" s="1"/>
  <c r="Q473" i="1"/>
  <c r="R473" i="1" s="1"/>
  <c r="Q30" i="1"/>
  <c r="R30" i="1" s="1"/>
  <c r="S5" i="1"/>
  <c r="S22" i="1"/>
  <c r="Q22" i="1"/>
  <c r="R22" i="1" s="1"/>
  <c r="T18" i="1"/>
  <c r="U18" i="1" s="1"/>
  <c r="V18" i="1" s="1"/>
  <c r="Q17" i="1"/>
  <c r="R17" i="1" s="1"/>
  <c r="Q18" i="1"/>
  <c r="R18" i="1" s="1"/>
  <c r="Q16" i="1"/>
  <c r="R16" i="1" s="1"/>
  <c r="Q15" i="1"/>
  <c r="R15" i="1" s="1"/>
  <c r="Q586" i="1"/>
  <c r="R586" i="1" s="1"/>
  <c r="P586" i="1"/>
  <c r="P150" i="1"/>
  <c r="P891" i="1"/>
  <c r="O890" i="1"/>
  <c r="Q890" i="1" s="1"/>
  <c r="R890" i="1" s="1"/>
  <c r="Q150" i="1"/>
  <c r="R150" i="1" s="1"/>
  <c r="S150" i="1"/>
  <c r="Q891" i="1"/>
  <c r="R891" i="1" s="1"/>
  <c r="S891" i="1"/>
  <c r="Q591" i="1"/>
  <c r="R591" i="1" s="1"/>
  <c r="P591" i="1"/>
  <c r="U586" i="1" l="1"/>
  <c r="V586" i="1" s="1"/>
  <c r="S890" i="1"/>
  <c r="AG377" i="1" l="1"/>
  <c r="A377" i="1"/>
  <c r="N377" i="1"/>
  <c r="P377" i="1" s="1"/>
  <c r="N577" i="1"/>
  <c r="P577" i="1" s="1"/>
  <c r="A149" i="1"/>
  <c r="N149" i="1"/>
  <c r="O149" i="1" s="1"/>
  <c r="S149" i="1" s="1"/>
  <c r="AG149" i="1"/>
  <c r="O377" i="1" l="1"/>
  <c r="S377" i="1" s="1"/>
  <c r="O577" i="1"/>
  <c r="S577" i="1" s="1"/>
  <c r="T577" i="1" s="1"/>
  <c r="U577" i="1" s="1"/>
  <c r="V577" i="1" s="1"/>
  <c r="Q149" i="1"/>
  <c r="R149" i="1" s="1"/>
  <c r="P149" i="1"/>
  <c r="Q377" i="1" l="1"/>
  <c r="R377" i="1" s="1"/>
  <c r="Q577" i="1"/>
  <c r="R577" i="1" s="1"/>
  <c r="A148" i="1"/>
  <c r="A889" i="1"/>
  <c r="N889" i="1"/>
  <c r="O889" i="1" s="1"/>
  <c r="S889" i="1" s="1"/>
  <c r="AG148" i="1"/>
  <c r="AG889" i="1"/>
  <c r="A888" i="1"/>
  <c r="N888" i="1"/>
  <c r="O888" i="1" s="1"/>
  <c r="S888" i="1" s="1"/>
  <c r="AG888" i="1"/>
  <c r="A887" i="1"/>
  <c r="N887" i="1"/>
  <c r="P887" i="1" s="1"/>
  <c r="AG887" i="1"/>
  <c r="N379" i="1"/>
  <c r="O379" i="1" s="1"/>
  <c r="S379" i="1" s="1"/>
  <c r="T379" i="1" s="1"/>
  <c r="U379" i="1" s="1"/>
  <c r="V379" i="1" s="1"/>
  <c r="N376" i="1"/>
  <c r="N375" i="1"/>
  <c r="N374" i="1"/>
  <c r="S373" i="1"/>
  <c r="T373" i="1" s="1"/>
  <c r="U373" i="1" s="1"/>
  <c r="V373" i="1" s="1"/>
  <c r="N373" i="1"/>
  <c r="P373" i="1" s="1"/>
  <c r="S372" i="1"/>
  <c r="T372" i="1" s="1"/>
  <c r="U372" i="1" s="1"/>
  <c r="V372" i="1" s="1"/>
  <c r="N372" i="1"/>
  <c r="O372" i="1" s="1"/>
  <c r="Q372" i="1" s="1"/>
  <c r="R372" i="1" s="1"/>
  <c r="O887" i="1" l="1"/>
  <c r="S887" i="1" s="1"/>
  <c r="P889" i="1"/>
  <c r="Q889" i="1"/>
  <c r="R889" i="1" s="1"/>
  <c r="Q888" i="1"/>
  <c r="R888" i="1" s="1"/>
  <c r="P888" i="1"/>
  <c r="P372" i="1"/>
  <c r="Q379" i="1"/>
  <c r="R379" i="1" s="1"/>
  <c r="P379" i="1"/>
  <c r="O376" i="1"/>
  <c r="S376" i="1" s="1"/>
  <c r="T376" i="1" s="1"/>
  <c r="P376" i="1"/>
  <c r="O375" i="1"/>
  <c r="S375" i="1" s="1"/>
  <c r="T375" i="1" s="1"/>
  <c r="P375" i="1"/>
  <c r="P374" i="1"/>
  <c r="O374" i="1"/>
  <c r="S374" i="1" s="1"/>
  <c r="T374" i="1" s="1"/>
  <c r="O373" i="1"/>
  <c r="Q373" i="1" s="1"/>
  <c r="R373" i="1" s="1"/>
  <c r="U376" i="1" l="1"/>
  <c r="V376" i="1" s="1"/>
  <c r="U375" i="1"/>
  <c r="V375" i="1" s="1"/>
  <c r="U374" i="1"/>
  <c r="V374" i="1" s="1"/>
  <c r="Q887" i="1"/>
  <c r="R887" i="1" s="1"/>
  <c r="Q376" i="1"/>
  <c r="R376" i="1" s="1"/>
  <c r="Q375" i="1"/>
  <c r="R375" i="1" s="1"/>
  <c r="Q374" i="1"/>
  <c r="R374" i="1" s="1"/>
  <c r="G26" i="6" l="1"/>
  <c r="G25" i="6"/>
  <c r="A885" i="1"/>
  <c r="N885" i="1"/>
  <c r="O885" i="1" s="1"/>
  <c r="S885" i="1" s="1"/>
  <c r="AG885" i="1"/>
  <c r="A590" i="1"/>
  <c r="AG590" i="1"/>
  <c r="A884" i="1"/>
  <c r="AG884" i="1"/>
  <c r="A146" i="1"/>
  <c r="A147" i="1"/>
  <c r="N146" i="1"/>
  <c r="N147" i="1"/>
  <c r="O147" i="1" s="1"/>
  <c r="S147" i="1" s="1"/>
  <c r="AG146" i="1"/>
  <c r="AG147" i="1"/>
  <c r="A145" i="1"/>
  <c r="AG145" i="1"/>
  <c r="A589" i="1"/>
  <c r="AG589" i="1"/>
  <c r="A143" i="1"/>
  <c r="AG143" i="1"/>
  <c r="A142" i="1"/>
  <c r="AG142" i="1"/>
  <c r="A140" i="1"/>
  <c r="N140" i="1"/>
  <c r="O140" i="1" s="1"/>
  <c r="S140" i="1"/>
  <c r="AG140" i="1"/>
  <c r="A139" i="1"/>
  <c r="N139" i="1"/>
  <c r="O139" i="1" s="1"/>
  <c r="S139" i="1"/>
  <c r="AG139" i="1"/>
  <c r="A379" i="1"/>
  <c r="AG379" i="1"/>
  <c r="A588" i="1"/>
  <c r="AG588" i="1"/>
  <c r="N883" i="1"/>
  <c r="O883" i="1" s="1"/>
  <c r="O580" i="1"/>
  <c r="S580" i="1" s="1"/>
  <c r="T580" i="1" s="1"/>
  <c r="P584" i="1"/>
  <c r="S584" i="1"/>
  <c r="A584" i="1"/>
  <c r="A585" i="1"/>
  <c r="AG584" i="1"/>
  <c r="AG585" i="1"/>
  <c r="A580" i="1"/>
  <c r="AG580" i="1"/>
  <c r="A883" i="1"/>
  <c r="AG883" i="1"/>
  <c r="A881" i="1"/>
  <c r="N881" i="1"/>
  <c r="O881" i="1" s="1"/>
  <c r="S881" i="1" s="1"/>
  <c r="AG881" i="1"/>
  <c r="A138" i="1"/>
  <c r="N138" i="1"/>
  <c r="P138" i="1" s="1"/>
  <c r="AG138" i="1"/>
  <c r="A577" i="1"/>
  <c r="AG577" i="1"/>
  <c r="G23" i="6"/>
  <c r="A137" i="1"/>
  <c r="AG137" i="1"/>
  <c r="A134" i="1"/>
  <c r="A136" i="1"/>
  <c r="N134" i="1"/>
  <c r="O134" i="1" s="1"/>
  <c r="S134" i="1" s="1"/>
  <c r="N136" i="1"/>
  <c r="O136" i="1" s="1"/>
  <c r="S136" i="1" s="1"/>
  <c r="AG134" i="1"/>
  <c r="AG136" i="1"/>
  <c r="A880" i="1"/>
  <c r="N880" i="1"/>
  <c r="O880" i="1" s="1"/>
  <c r="S880" i="1" s="1"/>
  <c r="AG880" i="1"/>
  <c r="A879" i="1"/>
  <c r="AG879" i="1"/>
  <c r="A876" i="1"/>
  <c r="A877" i="1"/>
  <c r="A878" i="1"/>
  <c r="N876" i="1"/>
  <c r="O876" i="1" s="1"/>
  <c r="N877" i="1"/>
  <c r="P877" i="1" s="1"/>
  <c r="N878" i="1"/>
  <c r="S876" i="1"/>
  <c r="S878" i="1"/>
  <c r="AG876" i="1"/>
  <c r="AG877" i="1"/>
  <c r="AG878" i="1"/>
  <c r="A132" i="1"/>
  <c r="N132" i="1"/>
  <c r="O132" i="1" s="1"/>
  <c r="S132" i="1" s="1"/>
  <c r="AG132" i="1"/>
  <c r="A576" i="1"/>
  <c r="N576" i="1"/>
  <c r="O576" i="1" s="1"/>
  <c r="S576" i="1" s="1"/>
  <c r="AG576" i="1"/>
  <c r="A130" i="1"/>
  <c r="O130" i="1"/>
  <c r="S130" i="1" s="1"/>
  <c r="AG130" i="1"/>
  <c r="A376" i="1"/>
  <c r="AG376" i="1"/>
  <c r="T584" i="1" l="1"/>
  <c r="U584" i="1" s="1"/>
  <c r="V584" i="1" s="1"/>
  <c r="U580" i="1"/>
  <c r="V580" i="1" s="1"/>
  <c r="O146" i="1"/>
  <c r="S146" i="1" s="1"/>
  <c r="P146" i="1"/>
  <c r="Q885" i="1"/>
  <c r="R885" i="1" s="1"/>
  <c r="P885" i="1"/>
  <c r="Q139" i="1"/>
  <c r="R139" i="1" s="1"/>
  <c r="Q147" i="1"/>
  <c r="R147" i="1" s="1"/>
  <c r="P147" i="1"/>
  <c r="Q140" i="1"/>
  <c r="R140" i="1" s="1"/>
  <c r="P139" i="1"/>
  <c r="P140" i="1"/>
  <c r="O584" i="1"/>
  <c r="Q584" i="1" s="1"/>
  <c r="R584" i="1" s="1"/>
  <c r="P580" i="1"/>
  <c r="Q883" i="1"/>
  <c r="R883" i="1" s="1"/>
  <c r="S883" i="1"/>
  <c r="T883" i="1" s="1"/>
  <c r="U883" i="1" s="1"/>
  <c r="V883" i="1" s="1"/>
  <c r="P883" i="1"/>
  <c r="Q580" i="1"/>
  <c r="R580" i="1" s="1"/>
  <c r="P881" i="1"/>
  <c r="Q881" i="1"/>
  <c r="R881" i="1" s="1"/>
  <c r="O138" i="1"/>
  <c r="S138" i="1" s="1"/>
  <c r="P136" i="1"/>
  <c r="Q134" i="1"/>
  <c r="R134" i="1" s="1"/>
  <c r="P132" i="1"/>
  <c r="P134" i="1"/>
  <c r="Q136" i="1"/>
  <c r="R136" i="1" s="1"/>
  <c r="Q880" i="1"/>
  <c r="R880" i="1" s="1"/>
  <c r="P880" i="1"/>
  <c r="Q876" i="1"/>
  <c r="R876" i="1" s="1"/>
  <c r="P878" i="1"/>
  <c r="P876" i="1"/>
  <c r="O878" i="1"/>
  <c r="Q878" i="1" s="1"/>
  <c r="R878" i="1" s="1"/>
  <c r="O877" i="1"/>
  <c r="S877" i="1" s="1"/>
  <c r="Q132" i="1"/>
  <c r="R132" i="1" s="1"/>
  <c r="Q576" i="1"/>
  <c r="R576" i="1" s="1"/>
  <c r="P576" i="1"/>
  <c r="Q130" i="1"/>
  <c r="R130" i="1" s="1"/>
  <c r="P130" i="1"/>
  <c r="N816" i="1"/>
  <c r="O816" i="1" s="1"/>
  <c r="S816" i="1"/>
  <c r="A815" i="1"/>
  <c r="N815" i="1"/>
  <c r="O815" i="1" s="1"/>
  <c r="S815" i="1" s="1"/>
  <c r="AG815" i="1"/>
  <c r="N811" i="1"/>
  <c r="O811" i="1" s="1"/>
  <c r="S811" i="1"/>
  <c r="AG810" i="1"/>
  <c r="A810" i="1"/>
  <c r="N810" i="1"/>
  <c r="O810" i="1" s="1"/>
  <c r="S810" i="1"/>
  <c r="N819" i="1"/>
  <c r="O819" i="1" s="1"/>
  <c r="Q819" i="1" s="1"/>
  <c r="R819" i="1" s="1"/>
  <c r="S819" i="1"/>
  <c r="AG818" i="1"/>
  <c r="AG817" i="1"/>
  <c r="AG816" i="1"/>
  <c r="AG814" i="1"/>
  <c r="AG813" i="1"/>
  <c r="AG812" i="1"/>
  <c r="AG811" i="1"/>
  <c r="AG809" i="1"/>
  <c r="A809" i="1"/>
  <c r="A811" i="1"/>
  <c r="A812" i="1"/>
  <c r="A813" i="1"/>
  <c r="A814" i="1"/>
  <c r="A816" i="1"/>
  <c r="A817" i="1"/>
  <c r="A818" i="1"/>
  <c r="N809" i="1"/>
  <c r="P809" i="1" s="1"/>
  <c r="N812" i="1"/>
  <c r="O812" i="1" s="1"/>
  <c r="S812" i="1" s="1"/>
  <c r="N813" i="1"/>
  <c r="P813" i="1" s="1"/>
  <c r="N814" i="1"/>
  <c r="O814" i="1" s="1"/>
  <c r="N817" i="1"/>
  <c r="N818" i="1"/>
  <c r="N837" i="1"/>
  <c r="P837" i="1" s="1"/>
  <c r="N841" i="1"/>
  <c r="O841" i="1" s="1"/>
  <c r="AG840" i="1"/>
  <c r="AG839" i="1"/>
  <c r="AG838" i="1"/>
  <c r="AG837" i="1"/>
  <c r="AG836" i="1"/>
  <c r="AG835" i="1"/>
  <c r="AG834" i="1"/>
  <c r="A840" i="1"/>
  <c r="N840" i="1"/>
  <c r="O840" i="1" s="1"/>
  <c r="S840" i="1" s="1"/>
  <c r="A834" i="1"/>
  <c r="A835" i="1"/>
  <c r="A836" i="1"/>
  <c r="N834" i="1"/>
  <c r="N835" i="1"/>
  <c r="P835" i="1" s="1"/>
  <c r="N836" i="1"/>
  <c r="P836" i="1" s="1"/>
  <c r="A839" i="1"/>
  <c r="N839" i="1"/>
  <c r="O839" i="1" s="1"/>
  <c r="S839" i="1" s="1"/>
  <c r="A838" i="1"/>
  <c r="N838" i="1"/>
  <c r="A837" i="1"/>
  <c r="N833" i="1"/>
  <c r="O833" i="1" s="1"/>
  <c r="S833" i="1" s="1"/>
  <c r="AG832" i="1"/>
  <c r="A832" i="1"/>
  <c r="N832" i="1"/>
  <c r="P832" i="1" s="1"/>
  <c r="N828" i="1"/>
  <c r="O828" i="1" s="1"/>
  <c r="AG827" i="1"/>
  <c r="AG826" i="1"/>
  <c r="AG825" i="1"/>
  <c r="A827" i="1"/>
  <c r="N827" i="1"/>
  <c r="O827" i="1" s="1"/>
  <c r="S827" i="1" s="1"/>
  <c r="A826" i="1"/>
  <c r="N826" i="1"/>
  <c r="O826" i="1" s="1"/>
  <c r="Q826" i="1" s="1"/>
  <c r="R826" i="1" s="1"/>
  <c r="A825" i="1"/>
  <c r="N825" i="1"/>
  <c r="O825" i="1" s="1"/>
  <c r="S825" i="1" s="1"/>
  <c r="N532" i="1"/>
  <c r="O532" i="1" s="1"/>
  <c r="AG531" i="1"/>
  <c r="A531" i="1"/>
  <c r="N531" i="1"/>
  <c r="O531" i="1" s="1"/>
  <c r="S531" i="1" s="1"/>
  <c r="N528" i="1"/>
  <c r="P528" i="1" s="1"/>
  <c r="S528" i="1"/>
  <c r="AG527" i="1"/>
  <c r="A527" i="1"/>
  <c r="N527" i="1"/>
  <c r="O527" i="1" s="1"/>
  <c r="Q527" i="1" s="1"/>
  <c r="R527" i="1" s="1"/>
  <c r="S527" i="1"/>
  <c r="N544" i="1"/>
  <c r="O544" i="1" s="1"/>
  <c r="S544" i="1" s="1"/>
  <c r="AG543" i="1"/>
  <c r="AG542" i="1"/>
  <c r="A543" i="1"/>
  <c r="N543" i="1"/>
  <c r="P543" i="1" s="1"/>
  <c r="A542" i="1"/>
  <c r="N542" i="1"/>
  <c r="O542" i="1" s="1"/>
  <c r="S542" i="1" s="1"/>
  <c r="N369" i="1"/>
  <c r="O369" i="1" s="1"/>
  <c r="S369" i="1"/>
  <c r="N370" i="1"/>
  <c r="O370" i="1" s="1"/>
  <c r="S370" i="1"/>
  <c r="AG369" i="1"/>
  <c r="A369" i="1"/>
  <c r="N368" i="1"/>
  <c r="O368" i="1" s="1"/>
  <c r="S368" i="1" s="1"/>
  <c r="AG368" i="1"/>
  <c r="AG367" i="1"/>
  <c r="A368" i="1"/>
  <c r="A367" i="1"/>
  <c r="N367" i="1"/>
  <c r="O367" i="1" s="1"/>
  <c r="S367" i="1" s="1"/>
  <c r="N361" i="1"/>
  <c r="O361" i="1" s="1"/>
  <c r="S361" i="1" s="1"/>
  <c r="AG360" i="1"/>
  <c r="A360" i="1"/>
  <c r="N360" i="1"/>
  <c r="O360" i="1" s="1"/>
  <c r="S360" i="1" s="1"/>
  <c r="N90" i="1"/>
  <c r="P90" i="1" s="1"/>
  <c r="S90" i="1"/>
  <c r="T90" i="1" s="1"/>
  <c r="U90" i="1" s="1"/>
  <c r="V90" i="1" s="1"/>
  <c r="N91" i="1"/>
  <c r="O91" i="1" s="1"/>
  <c r="S91" i="1" s="1"/>
  <c r="T91" i="1" s="1"/>
  <c r="U91" i="1" s="1"/>
  <c r="V91" i="1" s="1"/>
  <c r="N92" i="1"/>
  <c r="P92" i="1" s="1"/>
  <c r="N93" i="1"/>
  <c r="P93" i="1" s="1"/>
  <c r="AG92" i="1"/>
  <c r="A92" i="1"/>
  <c r="Q146" i="1" l="1"/>
  <c r="R146" i="1" s="1"/>
  <c r="Q138" i="1"/>
  <c r="R138" i="1" s="1"/>
  <c r="Q877" i="1"/>
  <c r="R877" i="1" s="1"/>
  <c r="Q816" i="1"/>
  <c r="R816" i="1" s="1"/>
  <c r="P816" i="1"/>
  <c r="Q815" i="1"/>
  <c r="R815" i="1" s="1"/>
  <c r="P815" i="1"/>
  <c r="Q811" i="1"/>
  <c r="R811" i="1" s="1"/>
  <c r="P811" i="1"/>
  <c r="Q810" i="1"/>
  <c r="R810" i="1" s="1"/>
  <c r="P810" i="1"/>
  <c r="P819" i="1"/>
  <c r="S814" i="1"/>
  <c r="Q814" i="1"/>
  <c r="R814" i="1" s="1"/>
  <c r="P814" i="1"/>
  <c r="O818" i="1"/>
  <c r="S818" i="1" s="1"/>
  <c r="Q812" i="1"/>
  <c r="R812" i="1" s="1"/>
  <c r="O817" i="1"/>
  <c r="S817" i="1" s="1"/>
  <c r="P818" i="1"/>
  <c r="P817" i="1"/>
  <c r="O813" i="1"/>
  <c r="P812" i="1"/>
  <c r="O809" i="1"/>
  <c r="S809" i="1" s="1"/>
  <c r="P840" i="1"/>
  <c r="P841" i="1"/>
  <c r="O837" i="1"/>
  <c r="S837" i="1" s="1"/>
  <c r="Q841" i="1"/>
  <c r="R841" i="1" s="1"/>
  <c r="S841" i="1"/>
  <c r="Q840" i="1"/>
  <c r="R840" i="1" s="1"/>
  <c r="O836" i="1"/>
  <c r="S836" i="1" s="1"/>
  <c r="P839" i="1"/>
  <c r="O834" i="1"/>
  <c r="S834" i="1" s="1"/>
  <c r="P834" i="1"/>
  <c r="Q839" i="1"/>
  <c r="R839" i="1" s="1"/>
  <c r="O835" i="1"/>
  <c r="S835" i="1" s="1"/>
  <c r="P838" i="1"/>
  <c r="O838" i="1"/>
  <c r="S838" i="1" s="1"/>
  <c r="P833" i="1"/>
  <c r="Q833" i="1"/>
  <c r="R833" i="1" s="1"/>
  <c r="O832" i="1"/>
  <c r="Q827" i="1"/>
  <c r="R827" i="1" s="1"/>
  <c r="P827" i="1"/>
  <c r="Q828" i="1"/>
  <c r="R828" i="1" s="1"/>
  <c r="S828" i="1"/>
  <c r="P828" i="1"/>
  <c r="S826" i="1"/>
  <c r="P826" i="1"/>
  <c r="Q825" i="1"/>
  <c r="R825" i="1" s="1"/>
  <c r="P825" i="1"/>
  <c r="P532" i="1"/>
  <c r="Q532" i="1"/>
  <c r="R532" i="1" s="1"/>
  <c r="S532" i="1"/>
  <c r="Q531" i="1"/>
  <c r="R531" i="1" s="1"/>
  <c r="P531" i="1"/>
  <c r="O528" i="1"/>
  <c r="Q528" i="1"/>
  <c r="R528" i="1" s="1"/>
  <c r="P527" i="1"/>
  <c r="Q544" i="1"/>
  <c r="R544" i="1" s="1"/>
  <c r="P544" i="1"/>
  <c r="O543" i="1"/>
  <c r="S543" i="1" s="1"/>
  <c r="P542" i="1"/>
  <c r="Q542" i="1"/>
  <c r="R542" i="1" s="1"/>
  <c r="Q370" i="1"/>
  <c r="R370" i="1" s="1"/>
  <c r="P370" i="1"/>
  <c r="Q369" i="1"/>
  <c r="R369" i="1" s="1"/>
  <c r="P369" i="1"/>
  <c r="P368" i="1"/>
  <c r="Q368" i="1"/>
  <c r="R368" i="1" s="1"/>
  <c r="Q367" i="1"/>
  <c r="R367" i="1" s="1"/>
  <c r="P367" i="1"/>
  <c r="Q361" i="1"/>
  <c r="R361" i="1" s="1"/>
  <c r="P361" i="1"/>
  <c r="Q360" i="1"/>
  <c r="R360" i="1" s="1"/>
  <c r="P360" i="1"/>
  <c r="O92" i="1"/>
  <c r="S92" i="1" s="1"/>
  <c r="T92" i="1" s="1"/>
  <c r="U92" i="1" s="1"/>
  <c r="V92" i="1" s="1"/>
  <c r="O90" i="1"/>
  <c r="Q90" i="1" s="1"/>
  <c r="R90" i="1" s="1"/>
  <c r="Q91" i="1"/>
  <c r="R91" i="1" s="1"/>
  <c r="O93" i="1"/>
  <c r="S93" i="1" s="1"/>
  <c r="T93" i="1" s="1"/>
  <c r="U93" i="1" s="1"/>
  <c r="V93" i="1" s="1"/>
  <c r="P91" i="1"/>
  <c r="Q817" i="1" l="1"/>
  <c r="R817" i="1" s="1"/>
  <c r="Q818" i="1"/>
  <c r="R818" i="1" s="1"/>
  <c r="S813" i="1"/>
  <c r="Q813" i="1"/>
  <c r="R813" i="1" s="1"/>
  <c r="Q809" i="1"/>
  <c r="R809" i="1" s="1"/>
  <c r="Q837" i="1"/>
  <c r="R837" i="1" s="1"/>
  <c r="Q836" i="1"/>
  <c r="R836" i="1" s="1"/>
  <c r="Q835" i="1"/>
  <c r="R835" i="1" s="1"/>
  <c r="Q838" i="1"/>
  <c r="R838" i="1" s="1"/>
  <c r="Q834" i="1"/>
  <c r="R834" i="1" s="1"/>
  <c r="Q832" i="1"/>
  <c r="R832" i="1" s="1"/>
  <c r="S832" i="1"/>
  <c r="Q543" i="1"/>
  <c r="R543" i="1" s="1"/>
  <c r="Q92" i="1"/>
  <c r="R92" i="1" s="1"/>
  <c r="Q93" i="1"/>
  <c r="R93" i="1" s="1"/>
  <c r="T139" i="1" l="1"/>
  <c r="U139" i="1" s="1"/>
  <c r="V139" i="1" s="1"/>
  <c r="N529" i="1"/>
  <c r="O529" i="1" s="1"/>
  <c r="N482" i="1"/>
  <c r="O482" i="1" s="1"/>
  <c r="N723" i="1"/>
  <c r="P723" i="1" s="1"/>
  <c r="A89" i="1"/>
  <c r="N89" i="1"/>
  <c r="O89" i="1" s="1"/>
  <c r="S89" i="1" s="1"/>
  <c r="AG89" i="1"/>
  <c r="G22" i="6"/>
  <c r="A875" i="1"/>
  <c r="A129" i="1"/>
  <c r="N875" i="1"/>
  <c r="O875" i="1" s="1"/>
  <c r="S875" i="1" s="1"/>
  <c r="N129" i="1"/>
  <c r="O129" i="1" s="1"/>
  <c r="S129" i="1"/>
  <c r="AG875" i="1"/>
  <c r="AG129" i="1"/>
  <c r="T140" i="1" l="1"/>
  <c r="P529" i="1"/>
  <c r="Q529" i="1"/>
  <c r="R529" i="1" s="1"/>
  <c r="S529" i="1"/>
  <c r="T529" i="1" s="1"/>
  <c r="U529" i="1" s="1"/>
  <c r="V529" i="1" s="1"/>
  <c r="S482" i="1"/>
  <c r="T482" i="1" s="1"/>
  <c r="U482" i="1" s="1"/>
  <c r="V482" i="1" s="1"/>
  <c r="Q482" i="1"/>
  <c r="R482" i="1" s="1"/>
  <c r="P482" i="1"/>
  <c r="O723" i="1"/>
  <c r="Q723" i="1" s="1"/>
  <c r="R723" i="1" s="1"/>
  <c r="Q89" i="1"/>
  <c r="R89" i="1" s="1"/>
  <c r="P89" i="1"/>
  <c r="P875" i="1"/>
  <c r="Q129" i="1"/>
  <c r="R129" i="1" s="1"/>
  <c r="P129" i="1"/>
  <c r="Q875" i="1"/>
  <c r="R875" i="1" s="1"/>
  <c r="A113" i="1"/>
  <c r="A114" i="1"/>
  <c r="A115" i="1"/>
  <c r="A116" i="1"/>
  <c r="A573" i="1"/>
  <c r="A119" i="1"/>
  <c r="A872" i="1"/>
  <c r="A120" i="1"/>
  <c r="A121" i="1"/>
  <c r="A574" i="1"/>
  <c r="A874" i="1"/>
  <c r="A575" i="1"/>
  <c r="N113" i="1"/>
  <c r="P113" i="1" s="1"/>
  <c r="N114" i="1"/>
  <c r="P114" i="1" s="1"/>
  <c r="N115" i="1"/>
  <c r="O115" i="1" s="1"/>
  <c r="N116" i="1"/>
  <c r="N573" i="1"/>
  <c r="O573" i="1" s="1"/>
  <c r="S573" i="1" s="1"/>
  <c r="N872" i="1"/>
  <c r="O872" i="1" s="1"/>
  <c r="S872" i="1" s="1"/>
  <c r="N120" i="1"/>
  <c r="O120" i="1" s="1"/>
  <c r="S120" i="1" s="1"/>
  <c r="N121" i="1"/>
  <c r="N574" i="1"/>
  <c r="O574" i="1" s="1"/>
  <c r="S574" i="1" s="1"/>
  <c r="N874" i="1"/>
  <c r="O874" i="1" s="1"/>
  <c r="S874" i="1" s="1"/>
  <c r="N575" i="1"/>
  <c r="O575" i="1" s="1"/>
  <c r="S575" i="1" s="1"/>
  <c r="S115" i="1"/>
  <c r="AG113" i="1"/>
  <c r="AG114" i="1"/>
  <c r="AG115" i="1"/>
  <c r="AG116" i="1"/>
  <c r="AG573" i="1"/>
  <c r="AG119" i="1"/>
  <c r="AG872" i="1"/>
  <c r="AG120" i="1"/>
  <c r="AG121" i="1"/>
  <c r="AG574" i="1"/>
  <c r="AG874" i="1"/>
  <c r="AG575" i="1"/>
  <c r="A871" i="1"/>
  <c r="A572" i="1"/>
  <c r="N871" i="1"/>
  <c r="O871" i="1" s="1"/>
  <c r="Q871" i="1" s="1"/>
  <c r="R871" i="1" s="1"/>
  <c r="N572" i="1"/>
  <c r="O572" i="1" s="1"/>
  <c r="S572" i="1" s="1"/>
  <c r="AG871" i="1"/>
  <c r="AG572" i="1"/>
  <c r="AG557" i="1"/>
  <c r="A557" i="1"/>
  <c r="N557" i="1"/>
  <c r="O557" i="1" s="1"/>
  <c r="G21" i="6"/>
  <c r="A570" i="1"/>
  <c r="A109" i="1"/>
  <c r="A110" i="1"/>
  <c r="A867" i="1"/>
  <c r="A111" i="1"/>
  <c r="A869" i="1"/>
  <c r="A571" i="1"/>
  <c r="N570" i="1"/>
  <c r="O570" i="1" s="1"/>
  <c r="S570" i="1" s="1"/>
  <c r="N109" i="1"/>
  <c r="O109" i="1" s="1"/>
  <c r="N110" i="1"/>
  <c r="P867" i="1"/>
  <c r="N111" i="1"/>
  <c r="P111" i="1" s="1"/>
  <c r="N869" i="1"/>
  <c r="P869" i="1" s="1"/>
  <c r="S109" i="1"/>
  <c r="AG570" i="1"/>
  <c r="AG109" i="1"/>
  <c r="AG110" i="1"/>
  <c r="AG867" i="1"/>
  <c r="AG111" i="1"/>
  <c r="AG869" i="1"/>
  <c r="AG571" i="1"/>
  <c r="A568" i="1"/>
  <c r="A569" i="1"/>
  <c r="A862" i="1"/>
  <c r="A864" i="1"/>
  <c r="N862" i="1"/>
  <c r="P862" i="1" s="1"/>
  <c r="AG568" i="1"/>
  <c r="AG569" i="1"/>
  <c r="AG862" i="1"/>
  <c r="AG864" i="1"/>
  <c r="A106" i="1"/>
  <c r="A107" i="1"/>
  <c r="A108" i="1"/>
  <c r="A561" i="1"/>
  <c r="A852" i="1"/>
  <c r="A853" i="1"/>
  <c r="A855" i="1"/>
  <c r="A856" i="1"/>
  <c r="A857" i="1"/>
  <c r="A562" i="1"/>
  <c r="A858" i="1"/>
  <c r="A563" i="1"/>
  <c r="A861" i="1"/>
  <c r="A566" i="1"/>
  <c r="A567" i="1"/>
  <c r="N561" i="1"/>
  <c r="P561" i="1" s="1"/>
  <c r="N852" i="1"/>
  <c r="O852" i="1" s="1"/>
  <c r="N853" i="1"/>
  <c r="O853" i="1" s="1"/>
  <c r="S853" i="1" s="1"/>
  <c r="N855" i="1"/>
  <c r="O855" i="1" s="1"/>
  <c r="S855" i="1" s="1"/>
  <c r="P861" i="1"/>
  <c r="N567" i="1"/>
  <c r="P567" i="1" s="1"/>
  <c r="S852" i="1"/>
  <c r="AG106" i="1"/>
  <c r="AG107" i="1"/>
  <c r="AG108" i="1"/>
  <c r="AG561" i="1"/>
  <c r="AG852" i="1"/>
  <c r="AG853" i="1"/>
  <c r="AG855" i="1"/>
  <c r="AG856" i="1"/>
  <c r="AG857" i="1"/>
  <c r="AG562" i="1"/>
  <c r="AG858" i="1"/>
  <c r="AG563" i="1"/>
  <c r="AG861" i="1"/>
  <c r="AG566" i="1"/>
  <c r="AG567" i="1"/>
  <c r="N556" i="1"/>
  <c r="O556" i="1" s="1"/>
  <c r="S556" i="1" s="1"/>
  <c r="T556" i="1" s="1"/>
  <c r="U556" i="1" s="1"/>
  <c r="V556" i="1" s="1"/>
  <c r="AG555" i="1"/>
  <c r="A555" i="1"/>
  <c r="O555" i="1"/>
  <c r="Q555" i="1" s="1"/>
  <c r="R555" i="1" s="1"/>
  <c r="S555" i="1"/>
  <c r="G19" i="6"/>
  <c r="A851" i="1"/>
  <c r="A104" i="1"/>
  <c r="N851" i="1"/>
  <c r="O851" i="1" s="1"/>
  <c r="S851" i="1" s="1"/>
  <c r="AG851" i="1"/>
  <c r="AG104" i="1"/>
  <c r="N95" i="1"/>
  <c r="O95" i="1" s="1"/>
  <c r="S95" i="1" s="1"/>
  <c r="T95" i="1" s="1"/>
  <c r="U95" i="1" s="1"/>
  <c r="V95" i="1" s="1"/>
  <c r="N103" i="1"/>
  <c r="P103" i="1" s="1"/>
  <c r="A103" i="1"/>
  <c r="AG103" i="1"/>
  <c r="T555" i="1" l="1"/>
  <c r="U140" i="1"/>
  <c r="V140" i="1" s="1"/>
  <c r="S723" i="1"/>
  <c r="T723" i="1" s="1"/>
  <c r="U723" i="1" s="1"/>
  <c r="V723" i="1" s="1"/>
  <c r="P115" i="1"/>
  <c r="O113" i="1"/>
  <c r="Q113" i="1" s="1"/>
  <c r="R113" i="1" s="1"/>
  <c r="O114" i="1"/>
  <c r="S114" i="1" s="1"/>
  <c r="Q120" i="1"/>
  <c r="R120" i="1" s="1"/>
  <c r="Q872" i="1"/>
  <c r="R872" i="1" s="1"/>
  <c r="Q115" i="1"/>
  <c r="R115" i="1" s="1"/>
  <c r="P573" i="1"/>
  <c r="P116" i="1"/>
  <c r="O116" i="1"/>
  <c r="S116" i="1" s="1"/>
  <c r="Q573" i="1"/>
  <c r="R573" i="1" s="1"/>
  <c r="P575" i="1"/>
  <c r="P121" i="1"/>
  <c r="Q575" i="1"/>
  <c r="R575" i="1" s="1"/>
  <c r="P120" i="1"/>
  <c r="O121" i="1"/>
  <c r="S121" i="1" s="1"/>
  <c r="P872" i="1"/>
  <c r="P572" i="1"/>
  <c r="P871" i="1"/>
  <c r="Q874" i="1"/>
  <c r="R874" i="1" s="1"/>
  <c r="P874" i="1"/>
  <c r="Q574" i="1"/>
  <c r="R574" i="1" s="1"/>
  <c r="P574" i="1"/>
  <c r="S871" i="1"/>
  <c r="Q572" i="1"/>
  <c r="R572" i="1" s="1"/>
  <c r="P557" i="1"/>
  <c r="O566" i="1"/>
  <c r="S566" i="1" s="1"/>
  <c r="P566" i="1"/>
  <c r="S557" i="1"/>
  <c r="T557" i="1" s="1"/>
  <c r="U557" i="1" s="1"/>
  <c r="V557" i="1" s="1"/>
  <c r="Q557" i="1"/>
  <c r="R557" i="1" s="1"/>
  <c r="P109" i="1"/>
  <c r="P570" i="1"/>
  <c r="P110" i="1"/>
  <c r="O869" i="1"/>
  <c r="S869" i="1" s="1"/>
  <c r="Q109" i="1"/>
  <c r="R109" i="1" s="1"/>
  <c r="O867" i="1"/>
  <c r="S867" i="1" s="1"/>
  <c r="T867" i="1" s="1"/>
  <c r="Q570" i="1"/>
  <c r="R570" i="1" s="1"/>
  <c r="O110" i="1"/>
  <c r="S110" i="1" s="1"/>
  <c r="O111" i="1"/>
  <c r="S111" i="1" s="1"/>
  <c r="O862" i="1"/>
  <c r="S862" i="1" s="1"/>
  <c r="Q852" i="1"/>
  <c r="R852" i="1" s="1"/>
  <c r="O561" i="1"/>
  <c r="S561" i="1" s="1"/>
  <c r="O861" i="1"/>
  <c r="Q853" i="1"/>
  <c r="R853" i="1" s="1"/>
  <c r="Q855" i="1"/>
  <c r="R855" i="1" s="1"/>
  <c r="O567" i="1"/>
  <c r="P855" i="1"/>
  <c r="P853" i="1"/>
  <c r="P852" i="1"/>
  <c r="P556" i="1"/>
  <c r="Q556" i="1"/>
  <c r="R556" i="1" s="1"/>
  <c r="P555" i="1"/>
  <c r="Q851" i="1"/>
  <c r="R851" i="1" s="1"/>
  <c r="P851" i="1"/>
  <c r="Q95" i="1"/>
  <c r="R95" i="1" s="1"/>
  <c r="P95" i="1"/>
  <c r="O103" i="1"/>
  <c r="S103" i="1" s="1"/>
  <c r="T103" i="1" s="1"/>
  <c r="U103" i="1" s="1"/>
  <c r="V103" i="1" s="1"/>
  <c r="N831" i="1"/>
  <c r="O831" i="1" s="1"/>
  <c r="S831" i="1" s="1"/>
  <c r="T831" i="1" s="1"/>
  <c r="U831" i="1" s="1"/>
  <c r="V831" i="1" s="1"/>
  <c r="AG830" i="1"/>
  <c r="A830" i="1"/>
  <c r="N830" i="1"/>
  <c r="O830" i="1" s="1"/>
  <c r="S830" i="1" s="1"/>
  <c r="N549" i="1"/>
  <c r="O549" i="1" s="1"/>
  <c r="S549" i="1" s="1"/>
  <c r="T549" i="1" s="1"/>
  <c r="U549" i="1" s="1"/>
  <c r="V549" i="1" s="1"/>
  <c r="AG9" i="1"/>
  <c r="AG10" i="1"/>
  <c r="AG11" i="1"/>
  <c r="AG12" i="1"/>
  <c r="AG14" i="1"/>
  <c r="AG16" i="1"/>
  <c r="AG18" i="1"/>
  <c r="AG19" i="1"/>
  <c r="AG21" i="1"/>
  <c r="AG23" i="1"/>
  <c r="AG24" i="1"/>
  <c r="AG25" i="1"/>
  <c r="AG27" i="1"/>
  <c r="AG28" i="1"/>
  <c r="AG29" i="1"/>
  <c r="AG31" i="1"/>
  <c r="AG32" i="1"/>
  <c r="AG34" i="1"/>
  <c r="AG35" i="1"/>
  <c r="AG36" i="1"/>
  <c r="AG37" i="1"/>
  <c r="AG40" i="1"/>
  <c r="AG41" i="1"/>
  <c r="AG43" i="1"/>
  <c r="AG44" i="1"/>
  <c r="AG45" i="1"/>
  <c r="AG47" i="1"/>
  <c r="AG48" i="1"/>
  <c r="AG49" i="1"/>
  <c r="AG50" i="1"/>
  <c r="AG52" i="1"/>
  <c r="AG54" i="1"/>
  <c r="AG55" i="1"/>
  <c r="AG56" i="1"/>
  <c r="AG57" i="1"/>
  <c r="AG60" i="1"/>
  <c r="AG61" i="1"/>
  <c r="AG62" i="1"/>
  <c r="AG64" i="1"/>
  <c r="AG65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8" i="1"/>
  <c r="AG318" i="1"/>
  <c r="AG319" i="1"/>
  <c r="AG321" i="1"/>
  <c r="AG322" i="1"/>
  <c r="AG323" i="1"/>
  <c r="AG324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1" i="1"/>
  <c r="AG362" i="1"/>
  <c r="AG363" i="1"/>
  <c r="AG364" i="1"/>
  <c r="AG365" i="1"/>
  <c r="AG366" i="1"/>
  <c r="AG370" i="1"/>
  <c r="AG371" i="1"/>
  <c r="AG372" i="1"/>
  <c r="AG373" i="1"/>
  <c r="AG463" i="1"/>
  <c r="AG464" i="1"/>
  <c r="AG465" i="1"/>
  <c r="AG466" i="1"/>
  <c r="AG468" i="1"/>
  <c r="AG475" i="1"/>
  <c r="AG477" i="1"/>
  <c r="AG479" i="1"/>
  <c r="AG481" i="1"/>
  <c r="AG482" i="1"/>
  <c r="AG483" i="1"/>
  <c r="AG484" i="1"/>
  <c r="AG487" i="1"/>
  <c r="AG488" i="1"/>
  <c r="AG489" i="1"/>
  <c r="AG490" i="1"/>
  <c r="AG491" i="1"/>
  <c r="AG492" i="1"/>
  <c r="AG493" i="1"/>
  <c r="AG497" i="1"/>
  <c r="AG498" i="1"/>
  <c r="AG499" i="1"/>
  <c r="AG501" i="1"/>
  <c r="AG503" i="1"/>
  <c r="AG504" i="1"/>
  <c r="AG505" i="1"/>
  <c r="AG506" i="1"/>
  <c r="AG508" i="1"/>
  <c r="AG511" i="1"/>
  <c r="AG512" i="1"/>
  <c r="AG514" i="1"/>
  <c r="AG515" i="1"/>
  <c r="AG516" i="1"/>
  <c r="AG518" i="1"/>
  <c r="AG519" i="1"/>
  <c r="AG521" i="1"/>
  <c r="AG522" i="1"/>
  <c r="AG523" i="1"/>
  <c r="AG524" i="1"/>
  <c r="AG525" i="1"/>
  <c r="AG526" i="1"/>
  <c r="AG528" i="1"/>
  <c r="AG529" i="1"/>
  <c r="AG530" i="1"/>
  <c r="AG532" i="1"/>
  <c r="AG533" i="1"/>
  <c r="AG534" i="1"/>
  <c r="AG535" i="1"/>
  <c r="AG536" i="1"/>
  <c r="AG537" i="1"/>
  <c r="AG538" i="1"/>
  <c r="AG539" i="1"/>
  <c r="AG540" i="1"/>
  <c r="AG541" i="1"/>
  <c r="AG544" i="1"/>
  <c r="AG545" i="1"/>
  <c r="AG546" i="1"/>
  <c r="AG547" i="1"/>
  <c r="AG548" i="1"/>
  <c r="AG549" i="1"/>
  <c r="AG550" i="1"/>
  <c r="AG551" i="1"/>
  <c r="AG723" i="1"/>
  <c r="AG724" i="1"/>
  <c r="AG725" i="1"/>
  <c r="AG726" i="1"/>
  <c r="AG727" i="1"/>
  <c r="AG728" i="1"/>
  <c r="AG729" i="1"/>
  <c r="AG731" i="1"/>
  <c r="AG733" i="1"/>
  <c r="AG734" i="1"/>
  <c r="AG736" i="1"/>
  <c r="AG738" i="1"/>
  <c r="AG739" i="1"/>
  <c r="AG740" i="1"/>
  <c r="AG741" i="1"/>
  <c r="AG742" i="1"/>
  <c r="AG743" i="1"/>
  <c r="AG744" i="1"/>
  <c r="AG746" i="1"/>
  <c r="AG748" i="1"/>
  <c r="AG749" i="1"/>
  <c r="AG750" i="1"/>
  <c r="AG752" i="1"/>
  <c r="AG753" i="1"/>
  <c r="AG754" i="1"/>
  <c r="AG755" i="1"/>
  <c r="AG757" i="1"/>
  <c r="AG758" i="1"/>
  <c r="AG761" i="1"/>
  <c r="AG762" i="1"/>
  <c r="AG768" i="1"/>
  <c r="AG769" i="1"/>
  <c r="AG770" i="1"/>
  <c r="AG771" i="1"/>
  <c r="AG773" i="1"/>
  <c r="AG774" i="1"/>
  <c r="AG775" i="1"/>
  <c r="AG779" i="1"/>
  <c r="AG782" i="1"/>
  <c r="AG783" i="1"/>
  <c r="AG785" i="1"/>
  <c r="AG786" i="1"/>
  <c r="AG795" i="1"/>
  <c r="AG796" i="1"/>
  <c r="AG797" i="1"/>
  <c r="AG798" i="1"/>
  <c r="AG799" i="1"/>
  <c r="AG800" i="1"/>
  <c r="AG802" i="1"/>
  <c r="AG803" i="1"/>
  <c r="AG804" i="1"/>
  <c r="AG805" i="1"/>
  <c r="AG806" i="1"/>
  <c r="AG807" i="1"/>
  <c r="AG808" i="1"/>
  <c r="AG819" i="1"/>
  <c r="AG820" i="1"/>
  <c r="AG821" i="1"/>
  <c r="AG822" i="1"/>
  <c r="AG823" i="1"/>
  <c r="AG824" i="1"/>
  <c r="AG828" i="1"/>
  <c r="AG829" i="1"/>
  <c r="AG831" i="1"/>
  <c r="AG833" i="1"/>
  <c r="AG841" i="1"/>
  <c r="AG842" i="1"/>
  <c r="AG843" i="1"/>
  <c r="AG844" i="1"/>
  <c r="AG90" i="1"/>
  <c r="AG91" i="1"/>
  <c r="AG93" i="1"/>
  <c r="AG94" i="1"/>
  <c r="AG95" i="1"/>
  <c r="AG96" i="1"/>
  <c r="AG97" i="1"/>
  <c r="AG99" i="1"/>
  <c r="AG102" i="1"/>
  <c r="AG374" i="1"/>
  <c r="AG375" i="1"/>
  <c r="AG552" i="1"/>
  <c r="AG556" i="1"/>
  <c r="AG558" i="1"/>
  <c r="AG560" i="1"/>
  <c r="AG845" i="1"/>
  <c r="AG846" i="1"/>
  <c r="AG848" i="1"/>
  <c r="N348" i="1"/>
  <c r="P348" i="1" s="1"/>
  <c r="A347" i="1"/>
  <c r="N347" i="1"/>
  <c r="O347" i="1" s="1"/>
  <c r="S347" i="1" s="1"/>
  <c r="A94" i="1"/>
  <c r="N94" i="1"/>
  <c r="P94" i="1" s="1"/>
  <c r="G18" i="6"/>
  <c r="G17" i="6"/>
  <c r="A96" i="1"/>
  <c r="A846" i="1"/>
  <c r="A97" i="1"/>
  <c r="A99" i="1"/>
  <c r="A556" i="1"/>
  <c r="A558" i="1"/>
  <c r="A102" i="1"/>
  <c r="A560" i="1"/>
  <c r="A848" i="1"/>
  <c r="N846" i="1"/>
  <c r="N97" i="1"/>
  <c r="O97" i="1" s="1"/>
  <c r="S97" i="1" s="1"/>
  <c r="N99" i="1"/>
  <c r="O560" i="1"/>
  <c r="S560" i="1" s="1"/>
  <c r="T560" i="1" s="1"/>
  <c r="N848" i="1"/>
  <c r="O848" i="1" s="1"/>
  <c r="S848" i="1" s="1"/>
  <c r="A845" i="1"/>
  <c r="A552" i="1"/>
  <c r="A375" i="1"/>
  <c r="N845" i="1"/>
  <c r="O845" i="1" s="1"/>
  <c r="S845" i="1" s="1"/>
  <c r="N552" i="1"/>
  <c r="A374" i="1"/>
  <c r="A90" i="1"/>
  <c r="A91" i="1"/>
  <c r="A93" i="1"/>
  <c r="A95" i="1"/>
  <c r="A373" i="1"/>
  <c r="A88" i="1"/>
  <c r="A551" i="1"/>
  <c r="A842" i="1"/>
  <c r="A843" i="1"/>
  <c r="A844" i="1"/>
  <c r="N88" i="1"/>
  <c r="O88" i="1" s="1"/>
  <c r="S88" i="1" s="1"/>
  <c r="N551" i="1"/>
  <c r="O551" i="1" s="1"/>
  <c r="S551" i="1" s="1"/>
  <c r="N842" i="1"/>
  <c r="P842" i="1" s="1"/>
  <c r="N843" i="1"/>
  <c r="P843" i="1" s="1"/>
  <c r="N844" i="1"/>
  <c r="O844" i="1" s="1"/>
  <c r="S844" i="1" s="1"/>
  <c r="S843" i="1"/>
  <c r="G16" i="6"/>
  <c r="A548" i="1"/>
  <c r="A831" i="1"/>
  <c r="A833" i="1"/>
  <c r="A359" i="1"/>
  <c r="A361" i="1"/>
  <c r="A362" i="1"/>
  <c r="A363" i="1"/>
  <c r="A85" i="1"/>
  <c r="A364" i="1"/>
  <c r="A841" i="1"/>
  <c r="A549" i="1"/>
  <c r="A365" i="1"/>
  <c r="A366" i="1"/>
  <c r="A86" i="1"/>
  <c r="A550" i="1"/>
  <c r="A87" i="1"/>
  <c r="A370" i="1"/>
  <c r="A371" i="1"/>
  <c r="A372" i="1"/>
  <c r="N548" i="1"/>
  <c r="O548" i="1" s="1"/>
  <c r="N359" i="1"/>
  <c r="N362" i="1"/>
  <c r="O362" i="1" s="1"/>
  <c r="S362" i="1" s="1"/>
  <c r="N363" i="1"/>
  <c r="O363" i="1" s="1"/>
  <c r="Q363" i="1" s="1"/>
  <c r="R363" i="1" s="1"/>
  <c r="N85" i="1"/>
  <c r="P85" i="1" s="1"/>
  <c r="N364" i="1"/>
  <c r="P364" i="1" s="1"/>
  <c r="N365" i="1"/>
  <c r="P365" i="1" s="1"/>
  <c r="N366" i="1"/>
  <c r="N86" i="1"/>
  <c r="N550" i="1"/>
  <c r="O550" i="1" s="1"/>
  <c r="S550" i="1" s="1"/>
  <c r="N87" i="1"/>
  <c r="O87" i="1" s="1"/>
  <c r="Q87" i="1" s="1"/>
  <c r="R87" i="1" s="1"/>
  <c r="N371" i="1"/>
  <c r="O371" i="1" s="1"/>
  <c r="S371" i="1" s="1"/>
  <c r="S548" i="1"/>
  <c r="S363" i="1"/>
  <c r="A528" i="1"/>
  <c r="U555" i="1" l="1"/>
  <c r="V555" i="1" s="1"/>
  <c r="T559" i="1"/>
  <c r="U559" i="1" s="1"/>
  <c r="V559" i="1" s="1"/>
  <c r="T566" i="1"/>
  <c r="U566" i="1" s="1"/>
  <c r="V566" i="1" s="1"/>
  <c r="T832" i="1"/>
  <c r="U832" i="1" s="1"/>
  <c r="V832" i="1" s="1"/>
  <c r="S113" i="1"/>
  <c r="Q114" i="1"/>
  <c r="R114" i="1" s="1"/>
  <c r="Q121" i="1"/>
  <c r="R121" i="1" s="1"/>
  <c r="Q116" i="1"/>
  <c r="R116" i="1" s="1"/>
  <c r="Q566" i="1"/>
  <c r="R566" i="1" s="1"/>
  <c r="Q111" i="1"/>
  <c r="R111" i="1" s="1"/>
  <c r="Q869" i="1"/>
  <c r="R869" i="1" s="1"/>
  <c r="Q867" i="1"/>
  <c r="R867" i="1" s="1"/>
  <c r="Q110" i="1"/>
  <c r="R110" i="1" s="1"/>
  <c r="Q862" i="1"/>
  <c r="R862" i="1" s="1"/>
  <c r="Q561" i="1"/>
  <c r="R561" i="1" s="1"/>
  <c r="Q861" i="1"/>
  <c r="R861" i="1" s="1"/>
  <c r="S861" i="1"/>
  <c r="T861" i="1" s="1"/>
  <c r="Q567" i="1"/>
  <c r="R567" i="1" s="1"/>
  <c r="S567" i="1"/>
  <c r="T851" i="1"/>
  <c r="U851" i="1" s="1"/>
  <c r="V851" i="1" s="1"/>
  <c r="Q103" i="1"/>
  <c r="R103" i="1" s="1"/>
  <c r="Q831" i="1"/>
  <c r="R831" i="1" s="1"/>
  <c r="P831" i="1"/>
  <c r="P830" i="1"/>
  <c r="Q830" i="1"/>
  <c r="R830" i="1" s="1"/>
  <c r="Q549" i="1"/>
  <c r="R549" i="1" s="1"/>
  <c r="P549" i="1"/>
  <c r="O348" i="1"/>
  <c r="Q347" i="1"/>
  <c r="R347" i="1" s="1"/>
  <c r="P347" i="1"/>
  <c r="O94" i="1"/>
  <c r="S94" i="1" s="1"/>
  <c r="O85" i="1"/>
  <c r="S85" i="1" s="1"/>
  <c r="P552" i="1"/>
  <c r="Q845" i="1"/>
  <c r="R845" i="1" s="1"/>
  <c r="P99" i="1"/>
  <c r="P845" i="1"/>
  <c r="O99" i="1"/>
  <c r="S99" i="1" s="1"/>
  <c r="Q848" i="1"/>
  <c r="R848" i="1" s="1"/>
  <c r="Q560" i="1"/>
  <c r="R560" i="1" s="1"/>
  <c r="P848" i="1"/>
  <c r="P560" i="1"/>
  <c r="O96" i="1"/>
  <c r="S96" i="1" s="1"/>
  <c r="T96" i="1" s="1"/>
  <c r="P97" i="1"/>
  <c r="P96" i="1"/>
  <c r="P846" i="1"/>
  <c r="Q97" i="1"/>
  <c r="R97" i="1" s="1"/>
  <c r="O846" i="1"/>
  <c r="S846" i="1" s="1"/>
  <c r="O552" i="1"/>
  <c r="S552" i="1" s="1"/>
  <c r="O364" i="1"/>
  <c r="S364" i="1" s="1"/>
  <c r="Q844" i="1"/>
  <c r="R844" i="1" s="1"/>
  <c r="P844" i="1"/>
  <c r="P551" i="1"/>
  <c r="P88" i="1"/>
  <c r="O843" i="1"/>
  <c r="Q843" i="1" s="1"/>
  <c r="R843" i="1" s="1"/>
  <c r="O842" i="1"/>
  <c r="S842" i="1" s="1"/>
  <c r="Q551" i="1"/>
  <c r="R551" i="1" s="1"/>
  <c r="P371" i="1"/>
  <c r="Q88" i="1"/>
  <c r="R88" i="1" s="1"/>
  <c r="P363" i="1"/>
  <c r="S87" i="1"/>
  <c r="Q371" i="1"/>
  <c r="R371" i="1" s="1"/>
  <c r="Q548" i="1"/>
  <c r="R548" i="1" s="1"/>
  <c r="O86" i="1"/>
  <c r="S86" i="1" s="1"/>
  <c r="O366" i="1"/>
  <c r="S366" i="1" s="1"/>
  <c r="O365" i="1"/>
  <c r="S365" i="1" s="1"/>
  <c r="P366" i="1"/>
  <c r="P362" i="1"/>
  <c r="Q362" i="1"/>
  <c r="R362" i="1" s="1"/>
  <c r="P548" i="1"/>
  <c r="P87" i="1"/>
  <c r="P359" i="1"/>
  <c r="P86" i="1"/>
  <c r="O359" i="1"/>
  <c r="S359" i="1" s="1"/>
  <c r="Q550" i="1"/>
  <c r="R550" i="1" s="1"/>
  <c r="P550" i="1"/>
  <c r="S348" i="1" l="1"/>
  <c r="T348" i="1" s="1"/>
  <c r="U348" i="1" s="1"/>
  <c r="V348" i="1" s="1"/>
  <c r="Q348" i="1"/>
  <c r="R348" i="1" s="1"/>
  <c r="Q85" i="1"/>
  <c r="R85" i="1" s="1"/>
  <c r="Q94" i="1"/>
  <c r="R94" i="1" s="1"/>
  <c r="Q99" i="1"/>
  <c r="R99" i="1" s="1"/>
  <c r="Q96" i="1"/>
  <c r="R96" i="1" s="1"/>
  <c r="Q846" i="1"/>
  <c r="R846" i="1" s="1"/>
  <c r="Q552" i="1"/>
  <c r="R552" i="1" s="1"/>
  <c r="T845" i="1"/>
  <c r="U845" i="1" s="1"/>
  <c r="V845" i="1" s="1"/>
  <c r="Q364" i="1"/>
  <c r="R364" i="1" s="1"/>
  <c r="Q842" i="1"/>
  <c r="R842" i="1" s="1"/>
  <c r="Q86" i="1"/>
  <c r="R86" i="1" s="1"/>
  <c r="Q366" i="1"/>
  <c r="R366" i="1" s="1"/>
  <c r="Q365" i="1"/>
  <c r="R365" i="1" s="1"/>
  <c r="Q359" i="1"/>
  <c r="R359" i="1" s="1"/>
  <c r="N350" i="1"/>
  <c r="P350" i="1" s="1"/>
  <c r="A349" i="1"/>
  <c r="N349" i="1"/>
  <c r="O349" i="1" s="1"/>
  <c r="S349" i="1" s="1"/>
  <c r="A348" i="1"/>
  <c r="N345" i="1"/>
  <c r="O345" i="1" s="1"/>
  <c r="S345" i="1" s="1"/>
  <c r="T345" i="1" s="1"/>
  <c r="U345" i="1" s="1"/>
  <c r="V345" i="1" s="1"/>
  <c r="A344" i="1"/>
  <c r="N344" i="1"/>
  <c r="P344" i="1" s="1"/>
  <c r="A343" i="1"/>
  <c r="N343" i="1"/>
  <c r="O343" i="1" s="1"/>
  <c r="S343" i="1" s="1"/>
  <c r="T343" i="1" s="1"/>
  <c r="U343" i="1" s="1"/>
  <c r="V343" i="1" s="1"/>
  <c r="N342" i="1"/>
  <c r="O342" i="1" s="1"/>
  <c r="S342" i="1" s="1"/>
  <c r="T342" i="1" s="1"/>
  <c r="U342" i="1" s="1"/>
  <c r="V342" i="1" s="1"/>
  <c r="A341" i="1"/>
  <c r="N341" i="1"/>
  <c r="O341" i="1" s="1"/>
  <c r="S341" i="1" s="1"/>
  <c r="N78" i="1"/>
  <c r="O78" i="1" s="1"/>
  <c r="S78" i="1" s="1"/>
  <c r="T78" i="1" s="1"/>
  <c r="U78" i="1" s="1"/>
  <c r="V78" i="1" s="1"/>
  <c r="N79" i="1"/>
  <c r="O79" i="1" s="1"/>
  <c r="S79" i="1" s="1"/>
  <c r="T79" i="1" s="1"/>
  <c r="U79" i="1" s="1"/>
  <c r="V79" i="1" s="1"/>
  <c r="A78" i="1"/>
  <c r="A77" i="1"/>
  <c r="N77" i="1"/>
  <c r="O77" i="1" s="1"/>
  <c r="S77" i="1" s="1"/>
  <c r="T552" i="1" l="1"/>
  <c r="O344" i="1"/>
  <c r="S344" i="1" s="1"/>
  <c r="T344" i="1" s="1"/>
  <c r="U344" i="1" s="1"/>
  <c r="V344" i="1" s="1"/>
  <c r="Q341" i="1"/>
  <c r="R341" i="1" s="1"/>
  <c r="Q349" i="1"/>
  <c r="R349" i="1" s="1"/>
  <c r="P349" i="1"/>
  <c r="O350" i="1"/>
  <c r="Q350" i="1" s="1"/>
  <c r="R350" i="1" s="1"/>
  <c r="Q345" i="1"/>
  <c r="R345" i="1" s="1"/>
  <c r="P345" i="1"/>
  <c r="P341" i="1"/>
  <c r="Q343" i="1"/>
  <c r="R343" i="1" s="1"/>
  <c r="P343" i="1"/>
  <c r="Q342" i="1"/>
  <c r="R342" i="1" s="1"/>
  <c r="P342" i="1"/>
  <c r="Q79" i="1"/>
  <c r="R79" i="1" s="1"/>
  <c r="P79" i="1"/>
  <c r="Q78" i="1"/>
  <c r="R78" i="1" s="1"/>
  <c r="P78" i="1"/>
  <c r="Q77" i="1"/>
  <c r="R77" i="1" s="1"/>
  <c r="P77" i="1"/>
  <c r="U552" i="1" l="1"/>
  <c r="V552" i="1" s="1"/>
  <c r="T146" i="1"/>
  <c r="U146" i="1" s="1"/>
  <c r="V146" i="1" s="1"/>
  <c r="Q344" i="1"/>
  <c r="R344" i="1" s="1"/>
  <c r="S350" i="1"/>
  <c r="T147" i="1" l="1"/>
  <c r="U96" i="1"/>
  <c r="V96" i="1" s="1"/>
  <c r="N73" i="1"/>
  <c r="O73" i="1" s="1"/>
  <c r="S73" i="1" s="1"/>
  <c r="A72" i="1"/>
  <c r="N72" i="1"/>
  <c r="O72" i="1" s="1"/>
  <c r="S72" i="1"/>
  <c r="A71" i="1"/>
  <c r="N71" i="1"/>
  <c r="O71" i="1" s="1"/>
  <c r="S71" i="1" s="1"/>
  <c r="A69" i="1"/>
  <c r="N69" i="1"/>
  <c r="O69" i="1" s="1"/>
  <c r="S69" i="1"/>
  <c r="A70" i="1"/>
  <c r="N70" i="1"/>
  <c r="O70" i="1" s="1"/>
  <c r="S70" i="1" s="1"/>
  <c r="N536" i="1"/>
  <c r="O536" i="1" s="1"/>
  <c r="S536" i="1" s="1"/>
  <c r="T536" i="1" s="1"/>
  <c r="U536" i="1" s="1"/>
  <c r="V536" i="1" s="1"/>
  <c r="A530" i="1"/>
  <c r="N530" i="1"/>
  <c r="O530" i="1" s="1"/>
  <c r="S530" i="1" s="1"/>
  <c r="A529" i="1"/>
  <c r="U147" i="1" l="1"/>
  <c r="V147" i="1" s="1"/>
  <c r="T846" i="1"/>
  <c r="U846" i="1" s="1"/>
  <c r="V846" i="1" s="1"/>
  <c r="Q72" i="1"/>
  <c r="R72" i="1" s="1"/>
  <c r="Q73" i="1"/>
  <c r="R73" i="1" s="1"/>
  <c r="P73" i="1"/>
  <c r="Q71" i="1"/>
  <c r="R71" i="1" s="1"/>
  <c r="Q70" i="1"/>
  <c r="R70" i="1" s="1"/>
  <c r="P71" i="1"/>
  <c r="P72" i="1"/>
  <c r="Q69" i="1"/>
  <c r="R69" i="1" s="1"/>
  <c r="P69" i="1"/>
  <c r="P70" i="1"/>
  <c r="Q536" i="1"/>
  <c r="R536" i="1" s="1"/>
  <c r="P536" i="1"/>
  <c r="Q530" i="1"/>
  <c r="R530" i="1" s="1"/>
  <c r="P530" i="1"/>
  <c r="A820" i="1"/>
  <c r="A821" i="1"/>
  <c r="A357" i="1"/>
  <c r="A822" i="1"/>
  <c r="A823" i="1"/>
  <c r="A83" i="1"/>
  <c r="A544" i="1"/>
  <c r="A545" i="1"/>
  <c r="A824" i="1"/>
  <c r="A546" i="1"/>
  <c r="A828" i="1"/>
  <c r="A547" i="1"/>
  <c r="A358" i="1"/>
  <c r="A84" i="1"/>
  <c r="A829" i="1"/>
  <c r="N820" i="1"/>
  <c r="N821" i="1"/>
  <c r="O821" i="1" s="1"/>
  <c r="S821" i="1" s="1"/>
  <c r="N357" i="1"/>
  <c r="P357" i="1" s="1"/>
  <c r="N822" i="1"/>
  <c r="P822" i="1" s="1"/>
  <c r="N823" i="1"/>
  <c r="O823" i="1" s="1"/>
  <c r="S823" i="1" s="1"/>
  <c r="N83" i="1"/>
  <c r="O83" i="1" s="1"/>
  <c r="S83" i="1" s="1"/>
  <c r="N545" i="1"/>
  <c r="O545" i="1" s="1"/>
  <c r="S545" i="1" s="1"/>
  <c r="N824" i="1"/>
  <c r="N546" i="1"/>
  <c r="N547" i="1"/>
  <c r="P547" i="1" s="1"/>
  <c r="N358" i="1"/>
  <c r="N84" i="1"/>
  <c r="N829" i="1"/>
  <c r="P829" i="1" s="1"/>
  <c r="S820" i="1"/>
  <c r="G14" i="6"/>
  <c r="T561" i="1" l="1"/>
  <c r="U561" i="1" s="1"/>
  <c r="V561" i="1" s="1"/>
  <c r="T97" i="1"/>
  <c r="O822" i="1"/>
  <c r="S822" i="1" s="1"/>
  <c r="O357" i="1"/>
  <c r="S357" i="1" s="1"/>
  <c r="Q821" i="1"/>
  <c r="R821" i="1" s="1"/>
  <c r="P358" i="1"/>
  <c r="P820" i="1"/>
  <c r="O820" i="1"/>
  <c r="Q820" i="1" s="1"/>
  <c r="R820" i="1" s="1"/>
  <c r="P821" i="1"/>
  <c r="P546" i="1"/>
  <c r="O829" i="1"/>
  <c r="S829" i="1" s="1"/>
  <c r="O546" i="1"/>
  <c r="S546" i="1" s="1"/>
  <c r="P545" i="1"/>
  <c r="Q545" i="1"/>
  <c r="R545" i="1" s="1"/>
  <c r="O358" i="1"/>
  <c r="S358" i="1" s="1"/>
  <c r="O824" i="1"/>
  <c r="S824" i="1" s="1"/>
  <c r="P824" i="1"/>
  <c r="O84" i="1"/>
  <c r="S84" i="1" s="1"/>
  <c r="P84" i="1"/>
  <c r="O547" i="1"/>
  <c r="S547" i="1" s="1"/>
  <c r="Q83" i="1"/>
  <c r="R83" i="1" s="1"/>
  <c r="P83" i="1"/>
  <c r="P823" i="1"/>
  <c r="Q823" i="1"/>
  <c r="R823" i="1" s="1"/>
  <c r="A355" i="1"/>
  <c r="A356" i="1"/>
  <c r="A82" i="1"/>
  <c r="N355" i="1"/>
  <c r="O355" i="1" s="1"/>
  <c r="S355" i="1" s="1"/>
  <c r="N356" i="1"/>
  <c r="O356" i="1" s="1"/>
  <c r="S356" i="1" s="1"/>
  <c r="N82" i="1"/>
  <c r="P82" i="1" s="1"/>
  <c r="A80" i="1"/>
  <c r="A538" i="1"/>
  <c r="A539" i="1"/>
  <c r="A540" i="1"/>
  <c r="A350" i="1"/>
  <c r="A351" i="1"/>
  <c r="A81" i="1"/>
  <c r="A352" i="1"/>
  <c r="A541" i="1"/>
  <c r="A353" i="1"/>
  <c r="A354" i="1"/>
  <c r="N80" i="1"/>
  <c r="O80" i="1" s="1"/>
  <c r="S80" i="1" s="1"/>
  <c r="N538" i="1"/>
  <c r="P538" i="1" s="1"/>
  <c r="N539" i="1"/>
  <c r="O539" i="1" s="1"/>
  <c r="S539" i="1" s="1"/>
  <c r="N540" i="1"/>
  <c r="P540" i="1" s="1"/>
  <c r="N351" i="1"/>
  <c r="O351" i="1" s="1"/>
  <c r="S351" i="1" s="1"/>
  <c r="N81" i="1"/>
  <c r="N352" i="1"/>
  <c r="P352" i="1" s="1"/>
  <c r="N541" i="1"/>
  <c r="O541" i="1" s="1"/>
  <c r="S541" i="1" s="1"/>
  <c r="N353" i="1"/>
  <c r="N354" i="1"/>
  <c r="O354" i="1" s="1"/>
  <c r="S354" i="1" s="1"/>
  <c r="S538" i="1"/>
  <c r="G13" i="6"/>
  <c r="G15" i="6"/>
  <c r="A536" i="1"/>
  <c r="A75" i="1"/>
  <c r="A336" i="1"/>
  <c r="A337" i="1"/>
  <c r="A338" i="1"/>
  <c r="A76" i="1"/>
  <c r="A79" i="1"/>
  <c r="A339" i="1"/>
  <c r="A340" i="1"/>
  <c r="A342" i="1"/>
  <c r="A345" i="1"/>
  <c r="A346" i="1"/>
  <c r="A537" i="1"/>
  <c r="N75" i="1"/>
  <c r="P75" i="1" s="1"/>
  <c r="N336" i="1"/>
  <c r="O336" i="1" s="1"/>
  <c r="S336" i="1" s="1"/>
  <c r="N337" i="1"/>
  <c r="N338" i="1"/>
  <c r="P338" i="1" s="1"/>
  <c r="N76" i="1"/>
  <c r="N339" i="1"/>
  <c r="N340" i="1"/>
  <c r="N346" i="1"/>
  <c r="O346" i="1" s="1"/>
  <c r="Q346" i="1" s="1"/>
  <c r="R346" i="1" s="1"/>
  <c r="N537" i="1"/>
  <c r="O537" i="1" s="1"/>
  <c r="S537" i="1" s="1"/>
  <c r="S76" i="1"/>
  <c r="S340" i="1"/>
  <c r="A74" i="1"/>
  <c r="A335" i="1"/>
  <c r="A535" i="1"/>
  <c r="N74" i="1"/>
  <c r="O74" i="1" s="1"/>
  <c r="S74" i="1" s="1"/>
  <c r="N335" i="1"/>
  <c r="P335" i="1" s="1"/>
  <c r="N535" i="1"/>
  <c r="P535" i="1" s="1"/>
  <c r="N303" i="1"/>
  <c r="O303" i="1" s="1"/>
  <c r="S303" i="1" s="1"/>
  <c r="T303" i="1" s="1"/>
  <c r="U303" i="1" s="1"/>
  <c r="V303" i="1" s="1"/>
  <c r="A302" i="1"/>
  <c r="N302" i="1"/>
  <c r="O302" i="1" s="1"/>
  <c r="S302" i="1" s="1"/>
  <c r="A534" i="1"/>
  <c r="A73" i="1"/>
  <c r="N534" i="1"/>
  <c r="O534" i="1" s="1"/>
  <c r="S534" i="1" s="1"/>
  <c r="A532" i="1"/>
  <c r="A334" i="1"/>
  <c r="A819" i="1"/>
  <c r="A533" i="1"/>
  <c r="N334" i="1"/>
  <c r="P334" i="1" s="1"/>
  <c r="N533" i="1"/>
  <c r="P533" i="1" s="1"/>
  <c r="G12" i="6"/>
  <c r="U97" i="1" l="1"/>
  <c r="V97" i="1" s="1"/>
  <c r="T885" i="1"/>
  <c r="U885" i="1" s="1"/>
  <c r="V885" i="1" s="1"/>
  <c r="T852" i="1"/>
  <c r="U852" i="1" s="1"/>
  <c r="V852" i="1" s="1"/>
  <c r="T99" i="1"/>
  <c r="Q822" i="1"/>
  <c r="R822" i="1" s="1"/>
  <c r="Q357" i="1"/>
  <c r="R357" i="1" s="1"/>
  <c r="Q829" i="1"/>
  <c r="R829" i="1" s="1"/>
  <c r="Q546" i="1"/>
  <c r="R546" i="1" s="1"/>
  <c r="Q84" i="1"/>
  <c r="R84" i="1" s="1"/>
  <c r="Q547" i="1"/>
  <c r="R547" i="1" s="1"/>
  <c r="Q358" i="1"/>
  <c r="R358" i="1" s="1"/>
  <c r="Q824" i="1"/>
  <c r="R824" i="1" s="1"/>
  <c r="P356" i="1"/>
  <c r="P355" i="1"/>
  <c r="P80" i="1"/>
  <c r="Q356" i="1"/>
  <c r="R356" i="1" s="1"/>
  <c r="Q355" i="1"/>
  <c r="R355" i="1" s="1"/>
  <c r="O82" i="1"/>
  <c r="S82" i="1" s="1"/>
  <c r="O538" i="1"/>
  <c r="Q538" i="1" s="1"/>
  <c r="R538" i="1" s="1"/>
  <c r="Q539" i="1"/>
  <c r="R539" i="1" s="1"/>
  <c r="O535" i="1"/>
  <c r="S535" i="1" s="1"/>
  <c r="P81" i="1"/>
  <c r="P351" i="1"/>
  <c r="Q354" i="1"/>
  <c r="R354" i="1" s="1"/>
  <c r="Q351" i="1"/>
  <c r="R351" i="1" s="1"/>
  <c r="O540" i="1"/>
  <c r="Q80" i="1"/>
  <c r="R80" i="1" s="1"/>
  <c r="O353" i="1"/>
  <c r="S353" i="1" s="1"/>
  <c r="O352" i="1"/>
  <c r="S352" i="1" s="1"/>
  <c r="P354" i="1"/>
  <c r="O81" i="1"/>
  <c r="S81" i="1" s="1"/>
  <c r="P353" i="1"/>
  <c r="P539" i="1"/>
  <c r="Q541" i="1"/>
  <c r="R541" i="1" s="1"/>
  <c r="P541" i="1"/>
  <c r="O335" i="1"/>
  <c r="S335" i="1" s="1"/>
  <c r="P537" i="1"/>
  <c r="P346" i="1"/>
  <c r="P74" i="1"/>
  <c r="Q336" i="1"/>
  <c r="R336" i="1" s="1"/>
  <c r="Q537" i="1"/>
  <c r="R537" i="1" s="1"/>
  <c r="S346" i="1"/>
  <c r="O339" i="1"/>
  <c r="S339" i="1" s="1"/>
  <c r="O75" i="1"/>
  <c r="S75" i="1" s="1"/>
  <c r="O340" i="1"/>
  <c r="Q340" i="1" s="1"/>
  <c r="R340" i="1" s="1"/>
  <c r="P340" i="1"/>
  <c r="O76" i="1"/>
  <c r="Q76" i="1" s="1"/>
  <c r="R76" i="1" s="1"/>
  <c r="P337" i="1"/>
  <c r="P336" i="1"/>
  <c r="P339" i="1"/>
  <c r="O338" i="1"/>
  <c r="S338" i="1" s="1"/>
  <c r="P76" i="1"/>
  <c r="O337" i="1"/>
  <c r="S337" i="1" s="1"/>
  <c r="Q74" i="1"/>
  <c r="R74" i="1" s="1"/>
  <c r="Q303" i="1"/>
  <c r="R303" i="1" s="1"/>
  <c r="P303" i="1"/>
  <c r="Q302" i="1"/>
  <c r="R302" i="1" s="1"/>
  <c r="P302" i="1"/>
  <c r="O334" i="1"/>
  <c r="S334" i="1" s="1"/>
  <c r="O533" i="1"/>
  <c r="S533" i="1" s="1"/>
  <c r="Q534" i="1"/>
  <c r="R534" i="1" s="1"/>
  <c r="P534" i="1"/>
  <c r="A523" i="1"/>
  <c r="A803" i="1"/>
  <c r="A524" i="1"/>
  <c r="A804" i="1"/>
  <c r="A64" i="1"/>
  <c r="A525" i="1"/>
  <c r="A332" i="1"/>
  <c r="A526" i="1"/>
  <c r="A805" i="1"/>
  <c r="A806" i="1"/>
  <c r="A333" i="1"/>
  <c r="A65" i="1"/>
  <c r="A67" i="1"/>
  <c r="A807" i="1"/>
  <c r="A808" i="1"/>
  <c r="A68" i="1"/>
  <c r="N523" i="1"/>
  <c r="P523" i="1" s="1"/>
  <c r="N803" i="1"/>
  <c r="O803" i="1" s="1"/>
  <c r="S803" i="1" s="1"/>
  <c r="N524" i="1"/>
  <c r="O524" i="1" s="1"/>
  <c r="S524" i="1" s="1"/>
  <c r="N804" i="1"/>
  <c r="P804" i="1" s="1"/>
  <c r="N525" i="1"/>
  <c r="O525" i="1" s="1"/>
  <c r="S525" i="1" s="1"/>
  <c r="N332" i="1"/>
  <c r="N526" i="1"/>
  <c r="P526" i="1" s="1"/>
  <c r="N805" i="1"/>
  <c r="P805" i="1" s="1"/>
  <c r="N806" i="1"/>
  <c r="O806" i="1" s="1"/>
  <c r="S806" i="1" s="1"/>
  <c r="N333" i="1"/>
  <c r="O333" i="1" s="1"/>
  <c r="Q333" i="1" s="1"/>
  <c r="R333" i="1" s="1"/>
  <c r="N65" i="1"/>
  <c r="O65" i="1" s="1"/>
  <c r="S65" i="1" s="1"/>
  <c r="N807" i="1"/>
  <c r="O807" i="1" s="1"/>
  <c r="S807" i="1" s="1"/>
  <c r="N808" i="1"/>
  <c r="O808" i="1" s="1"/>
  <c r="S808" i="1" s="1"/>
  <c r="N68" i="1"/>
  <c r="O68" i="1" s="1"/>
  <c r="S68" i="1" s="1"/>
  <c r="S805" i="1"/>
  <c r="A62" i="1"/>
  <c r="A521" i="1"/>
  <c r="A522" i="1"/>
  <c r="N62" i="1"/>
  <c r="O62" i="1" s="1"/>
  <c r="S62" i="1" s="1"/>
  <c r="N522" i="1"/>
  <c r="O522" i="1" s="1"/>
  <c r="S522" i="1" s="1"/>
  <c r="G10" i="6"/>
  <c r="G11" i="6"/>
  <c r="A47" i="1"/>
  <c r="A503" i="1"/>
  <c r="A48" i="1"/>
  <c r="A504" i="1"/>
  <c r="A505" i="1"/>
  <c r="A506" i="1"/>
  <c r="A508" i="1"/>
  <c r="A319" i="1"/>
  <c r="A511" i="1"/>
  <c r="A796" i="1"/>
  <c r="A797" i="1"/>
  <c r="A321" i="1"/>
  <c r="A49" i="1"/>
  <c r="A798" i="1"/>
  <c r="A512" i="1"/>
  <c r="A514" i="1"/>
  <c r="A322" i="1"/>
  <c r="A50" i="1"/>
  <c r="A515" i="1"/>
  <c r="A52" i="1"/>
  <c r="A54" i="1"/>
  <c r="A55" i="1"/>
  <c r="A56" i="1"/>
  <c r="A57" i="1"/>
  <c r="A516" i="1"/>
  <c r="A518" i="1"/>
  <c r="A323" i="1"/>
  <c r="A324" i="1"/>
  <c r="A60" i="1"/>
  <c r="A61" i="1"/>
  <c r="A519" i="1"/>
  <c r="A799" i="1"/>
  <c r="A800" i="1"/>
  <c r="A331" i="1"/>
  <c r="A802" i="1"/>
  <c r="N48" i="1"/>
  <c r="P48" i="1" s="1"/>
  <c r="N504" i="1"/>
  <c r="P504" i="1" s="1"/>
  <c r="N505" i="1"/>
  <c r="P505" i="1" s="1"/>
  <c r="N506" i="1"/>
  <c r="P506" i="1" s="1"/>
  <c r="N319" i="1"/>
  <c r="N796" i="1"/>
  <c r="P796" i="1" s="1"/>
  <c r="N797" i="1"/>
  <c r="O797" i="1" s="1"/>
  <c r="N49" i="1"/>
  <c r="O49" i="1" s="1"/>
  <c r="S49" i="1" s="1"/>
  <c r="N798" i="1"/>
  <c r="O798" i="1" s="1"/>
  <c r="Q798" i="1" s="1"/>
  <c r="R798" i="1" s="1"/>
  <c r="N512" i="1"/>
  <c r="O512" i="1" s="1"/>
  <c r="Q512" i="1" s="1"/>
  <c r="R512" i="1" s="1"/>
  <c r="N322" i="1"/>
  <c r="P322" i="1" s="1"/>
  <c r="N50" i="1"/>
  <c r="P50" i="1" s="1"/>
  <c r="N515" i="1"/>
  <c r="P515" i="1" s="1"/>
  <c r="N55" i="1"/>
  <c r="O55" i="1" s="1"/>
  <c r="S55" i="1" s="1"/>
  <c r="N56" i="1"/>
  <c r="O56" i="1" s="1"/>
  <c r="S56" i="1" s="1"/>
  <c r="N57" i="1"/>
  <c r="P57" i="1" s="1"/>
  <c r="N516" i="1"/>
  <c r="O516" i="1" s="1"/>
  <c r="S516" i="1" s="1"/>
  <c r="N323" i="1"/>
  <c r="O323" i="1" s="1"/>
  <c r="S323" i="1" s="1"/>
  <c r="N60" i="1"/>
  <c r="O60" i="1" s="1"/>
  <c r="S60" i="1" s="1"/>
  <c r="N61" i="1"/>
  <c r="P61" i="1" s="1"/>
  <c r="N519" i="1"/>
  <c r="P519" i="1" s="1"/>
  <c r="N799" i="1"/>
  <c r="P799" i="1" s="1"/>
  <c r="N800" i="1"/>
  <c r="P800" i="1" s="1"/>
  <c r="S504" i="1"/>
  <c r="S506" i="1"/>
  <c r="S512" i="1"/>
  <c r="G8" i="6"/>
  <c r="A501" i="1"/>
  <c r="A785" i="1"/>
  <c r="A318" i="1"/>
  <c r="A786" i="1"/>
  <c r="A795" i="1"/>
  <c r="N786" i="1"/>
  <c r="O786" i="1" s="1"/>
  <c r="S786" i="1" s="1"/>
  <c r="A768" i="1"/>
  <c r="A769" i="1"/>
  <c r="A770" i="1"/>
  <c r="A771" i="1"/>
  <c r="A304" i="1"/>
  <c r="A773" i="1"/>
  <c r="A774" i="1"/>
  <c r="A492" i="1"/>
  <c r="A305" i="1"/>
  <c r="A306" i="1"/>
  <c r="A775" i="1"/>
  <c r="A493" i="1"/>
  <c r="A497" i="1"/>
  <c r="A43" i="1"/>
  <c r="A44" i="1"/>
  <c r="A779" i="1"/>
  <c r="A782" i="1"/>
  <c r="A45" i="1"/>
  <c r="A308" i="1"/>
  <c r="A498" i="1"/>
  <c r="A499" i="1"/>
  <c r="A783" i="1"/>
  <c r="N768" i="1"/>
  <c r="O768" i="1" s="1"/>
  <c r="N769" i="1"/>
  <c r="O769" i="1" s="1"/>
  <c r="S769" i="1" s="1"/>
  <c r="N770" i="1"/>
  <c r="P770" i="1" s="1"/>
  <c r="N771" i="1"/>
  <c r="P771" i="1" s="1"/>
  <c r="N304" i="1"/>
  <c r="P304" i="1" s="1"/>
  <c r="N774" i="1"/>
  <c r="N492" i="1"/>
  <c r="P492" i="1" s="1"/>
  <c r="N305" i="1"/>
  <c r="P305" i="1" s="1"/>
  <c r="N306" i="1"/>
  <c r="P306" i="1" s="1"/>
  <c r="N775" i="1"/>
  <c r="O775" i="1" s="1"/>
  <c r="S775" i="1" s="1"/>
  <c r="N44" i="1"/>
  <c r="O44" i="1" s="1"/>
  <c r="S44" i="1" s="1"/>
  <c r="N779" i="1"/>
  <c r="P779" i="1" s="1"/>
  <c r="N45" i="1"/>
  <c r="P45" i="1" s="1"/>
  <c r="N498" i="1"/>
  <c r="O498" i="1" s="1"/>
  <c r="S498" i="1" s="1"/>
  <c r="N499" i="1"/>
  <c r="O499" i="1" s="1"/>
  <c r="S499" i="1" s="1"/>
  <c r="N783" i="1"/>
  <c r="S768" i="1"/>
  <c r="S771" i="1"/>
  <c r="S493" i="1"/>
  <c r="N41" i="1"/>
  <c r="O41" i="1" s="1"/>
  <c r="S41" i="1" s="1"/>
  <c r="T41" i="1" s="1"/>
  <c r="U41" i="1" s="1"/>
  <c r="V41" i="1" s="1"/>
  <c r="A41" i="1"/>
  <c r="G7" i="6"/>
  <c r="A40" i="1"/>
  <c r="A490" i="1"/>
  <c r="A491" i="1"/>
  <c r="N490" i="1"/>
  <c r="N491" i="1"/>
  <c r="A761" i="1"/>
  <c r="A762" i="1"/>
  <c r="A301" i="1"/>
  <c r="A37" i="1"/>
  <c r="A303" i="1"/>
  <c r="N762" i="1"/>
  <c r="P762" i="1" s="1"/>
  <c r="N301" i="1"/>
  <c r="O301" i="1" s="1"/>
  <c r="S301" i="1" s="1"/>
  <c r="N37" i="1"/>
  <c r="O37" i="1" s="1"/>
  <c r="S37" i="1"/>
  <c r="A729" i="1"/>
  <c r="N729" i="1"/>
  <c r="O729" i="1" s="1"/>
  <c r="S729" i="1" s="1"/>
  <c r="A481" i="1"/>
  <c r="N280" i="1"/>
  <c r="O280" i="1" s="1"/>
  <c r="S280" i="1" s="1"/>
  <c r="T280" i="1" s="1"/>
  <c r="U280" i="1" s="1"/>
  <c r="V280" i="1" s="1"/>
  <c r="A277" i="1"/>
  <c r="N277" i="1"/>
  <c r="O277" i="1" s="1"/>
  <c r="S277" i="1" s="1"/>
  <c r="A276" i="1"/>
  <c r="N276" i="1"/>
  <c r="P276" i="1" s="1"/>
  <c r="A272" i="1"/>
  <c r="A273" i="1"/>
  <c r="A274" i="1"/>
  <c r="A275" i="1"/>
  <c r="N272" i="1"/>
  <c r="P272" i="1" s="1"/>
  <c r="N273" i="1"/>
  <c r="P273" i="1" s="1"/>
  <c r="N274" i="1"/>
  <c r="P274" i="1" s="1"/>
  <c r="N275" i="1"/>
  <c r="P275" i="1" s="1"/>
  <c r="A270" i="1"/>
  <c r="A271" i="1"/>
  <c r="N270" i="1"/>
  <c r="O270" i="1" s="1"/>
  <c r="S270" i="1" s="1"/>
  <c r="N271" i="1"/>
  <c r="O271" i="1" s="1"/>
  <c r="S271" i="1" s="1"/>
  <c r="N11" i="1"/>
  <c r="P11" i="1" s="1"/>
  <c r="A758" i="1"/>
  <c r="N758" i="1"/>
  <c r="P758" i="1" s="1"/>
  <c r="A488" i="1"/>
  <c r="A298" i="1"/>
  <c r="A753" i="1"/>
  <c r="A36" i="1"/>
  <c r="A489" i="1"/>
  <c r="A754" i="1"/>
  <c r="A755" i="1"/>
  <c r="A299" i="1"/>
  <c r="A300" i="1"/>
  <c r="A757" i="1"/>
  <c r="N488" i="1"/>
  <c r="P488" i="1" s="1"/>
  <c r="N298" i="1"/>
  <c r="O298" i="1" s="1"/>
  <c r="S298" i="1" s="1"/>
  <c r="N753" i="1"/>
  <c r="P753" i="1" s="1"/>
  <c r="N36" i="1"/>
  <c r="P36" i="1" s="1"/>
  <c r="N489" i="1"/>
  <c r="O489" i="1" s="1"/>
  <c r="S489" i="1" s="1"/>
  <c r="N754" i="1"/>
  <c r="O754" i="1" s="1"/>
  <c r="S754" i="1" s="1"/>
  <c r="N755" i="1"/>
  <c r="P755" i="1" s="1"/>
  <c r="N299" i="1"/>
  <c r="P299" i="1" s="1"/>
  <c r="N300" i="1"/>
  <c r="A297" i="1"/>
  <c r="N297" i="1"/>
  <c r="O297" i="1" s="1"/>
  <c r="G3" i="6"/>
  <c r="K3" i="6" a="1"/>
  <c r="K3" i="6" s="1"/>
  <c r="G6" i="6"/>
  <c r="K6" i="6" a="1"/>
  <c r="K6" i="6" s="1"/>
  <c r="G52" i="6"/>
  <c r="K52" i="6" a="1"/>
  <c r="K52" i="6" s="1"/>
  <c r="G4" i="6"/>
  <c r="K4" i="6" a="1"/>
  <c r="K4" i="6" s="1"/>
  <c r="U99" i="1" l="1"/>
  <c r="V99" i="1" s="1"/>
  <c r="P490" i="1"/>
  <c r="T887" i="1"/>
  <c r="U887" i="1" s="1"/>
  <c r="V887" i="1" s="1"/>
  <c r="T853" i="1"/>
  <c r="U853" i="1" s="1"/>
  <c r="V853" i="1" s="1"/>
  <c r="S540" i="1"/>
  <c r="Q82" i="1"/>
  <c r="R82" i="1" s="1"/>
  <c r="Q535" i="1"/>
  <c r="R535" i="1" s="1"/>
  <c r="Q353" i="1"/>
  <c r="R353" i="1" s="1"/>
  <c r="Q540" i="1"/>
  <c r="R540" i="1" s="1"/>
  <c r="Q81" i="1"/>
  <c r="R81" i="1" s="1"/>
  <c r="Q352" i="1"/>
  <c r="R352" i="1" s="1"/>
  <c r="Q335" i="1"/>
  <c r="R335" i="1" s="1"/>
  <c r="Q337" i="1"/>
  <c r="R337" i="1" s="1"/>
  <c r="Q339" i="1"/>
  <c r="R339" i="1" s="1"/>
  <c r="Q338" i="1"/>
  <c r="R338" i="1" s="1"/>
  <c r="Q75" i="1"/>
  <c r="R75" i="1" s="1"/>
  <c r="Q334" i="1"/>
  <c r="R334" i="1" s="1"/>
  <c r="Q533" i="1"/>
  <c r="R533" i="1" s="1"/>
  <c r="O523" i="1"/>
  <c r="S523" i="1" s="1"/>
  <c r="S333" i="1"/>
  <c r="O805" i="1"/>
  <c r="Q805" i="1" s="1"/>
  <c r="R805" i="1" s="1"/>
  <c r="O504" i="1"/>
  <c r="Q504" i="1" s="1"/>
  <c r="R504" i="1" s="1"/>
  <c r="P806" i="1"/>
  <c r="P333" i="1"/>
  <c r="Q65" i="1"/>
  <c r="R65" i="1" s="1"/>
  <c r="O506" i="1"/>
  <c r="Q506" i="1" s="1"/>
  <c r="R506" i="1" s="1"/>
  <c r="P65" i="1"/>
  <c r="O48" i="1"/>
  <c r="S48" i="1" s="1"/>
  <c r="O505" i="1"/>
  <c r="S505" i="1" s="1"/>
  <c r="P522" i="1"/>
  <c r="Q806" i="1"/>
  <c r="R806" i="1" s="1"/>
  <c r="P807" i="1"/>
  <c r="Q68" i="1"/>
  <c r="R68" i="1" s="1"/>
  <c r="Q808" i="1"/>
  <c r="R808" i="1" s="1"/>
  <c r="P68" i="1"/>
  <c r="Q807" i="1"/>
  <c r="R807" i="1" s="1"/>
  <c r="Q524" i="1"/>
  <c r="R524" i="1" s="1"/>
  <c r="P332" i="1"/>
  <c r="Q803" i="1"/>
  <c r="R803" i="1" s="1"/>
  <c r="P524" i="1"/>
  <c r="P525" i="1"/>
  <c r="P808" i="1"/>
  <c r="P803" i="1"/>
  <c r="O526" i="1"/>
  <c r="S526" i="1" s="1"/>
  <c r="Q525" i="1"/>
  <c r="R525" i="1" s="1"/>
  <c r="O332" i="1"/>
  <c r="S332" i="1" s="1"/>
  <c r="O804" i="1"/>
  <c r="S804" i="1" s="1"/>
  <c r="P62" i="1"/>
  <c r="Q522" i="1"/>
  <c r="R522" i="1" s="1"/>
  <c r="Q62" i="1"/>
  <c r="R62" i="1" s="1"/>
  <c r="P512" i="1"/>
  <c r="P798" i="1"/>
  <c r="P323" i="1"/>
  <c r="Q323" i="1"/>
  <c r="R323" i="1" s="1"/>
  <c r="Q60" i="1"/>
  <c r="R60" i="1" s="1"/>
  <c r="S798" i="1"/>
  <c r="Q56" i="1"/>
  <c r="R56" i="1" s="1"/>
  <c r="P56" i="1"/>
  <c r="P55" i="1"/>
  <c r="O796" i="1"/>
  <c r="S796" i="1" s="1"/>
  <c r="Q797" i="1"/>
  <c r="R797" i="1" s="1"/>
  <c r="S797" i="1"/>
  <c r="O61" i="1"/>
  <c r="P60" i="1"/>
  <c r="P797" i="1"/>
  <c r="Q55" i="1"/>
  <c r="R55" i="1" s="1"/>
  <c r="O515" i="1"/>
  <c r="O50" i="1"/>
  <c r="S50" i="1" s="1"/>
  <c r="O322" i="1"/>
  <c r="O800" i="1"/>
  <c r="S800" i="1" s="1"/>
  <c r="O799" i="1"/>
  <c r="S799" i="1" s="1"/>
  <c r="Q49" i="1"/>
  <c r="R49" i="1" s="1"/>
  <c r="P49" i="1"/>
  <c r="Q516" i="1"/>
  <c r="R516" i="1" s="1"/>
  <c r="P516" i="1"/>
  <c r="O519" i="1"/>
  <c r="S519" i="1" s="1"/>
  <c r="O319" i="1"/>
  <c r="S319" i="1" s="1"/>
  <c r="P319" i="1"/>
  <c r="O57" i="1"/>
  <c r="S57" i="1" s="1"/>
  <c r="O770" i="1"/>
  <c r="Q786" i="1"/>
  <c r="R786" i="1" s="1"/>
  <c r="P786" i="1"/>
  <c r="Q769" i="1"/>
  <c r="R769" i="1" s="1"/>
  <c r="Q768" i="1"/>
  <c r="R768" i="1" s="1"/>
  <c r="P769" i="1"/>
  <c r="P768" i="1"/>
  <c r="O492" i="1"/>
  <c r="S492" i="1" s="1"/>
  <c r="O771" i="1"/>
  <c r="Q771" i="1" s="1"/>
  <c r="R771" i="1" s="1"/>
  <c r="O774" i="1"/>
  <c r="S774" i="1" s="1"/>
  <c r="O306" i="1"/>
  <c r="S306" i="1" s="1"/>
  <c r="O304" i="1"/>
  <c r="S304" i="1" s="1"/>
  <c r="O305" i="1"/>
  <c r="S305" i="1" s="1"/>
  <c r="N493" i="1"/>
  <c r="O493" i="1" s="1"/>
  <c r="Q493" i="1" s="1"/>
  <c r="R493" i="1" s="1"/>
  <c r="P783" i="1"/>
  <c r="O783" i="1"/>
  <c r="S783" i="1" s="1"/>
  <c r="Q499" i="1"/>
  <c r="R499" i="1" s="1"/>
  <c r="Q775" i="1"/>
  <c r="R775" i="1" s="1"/>
  <c r="P499" i="1"/>
  <c r="P775" i="1"/>
  <c r="Q498" i="1"/>
  <c r="R498" i="1" s="1"/>
  <c r="P498" i="1"/>
  <c r="O45" i="1"/>
  <c r="S45" i="1" s="1"/>
  <c r="P774" i="1"/>
  <c r="O779" i="1"/>
  <c r="S779" i="1" s="1"/>
  <c r="Q44" i="1"/>
  <c r="R44" i="1" s="1"/>
  <c r="P44" i="1"/>
  <c r="Q41" i="1"/>
  <c r="R41" i="1" s="1"/>
  <c r="P41" i="1"/>
  <c r="Q301" i="1"/>
  <c r="R301" i="1" s="1"/>
  <c r="O762" i="1"/>
  <c r="S762" i="1" s="1"/>
  <c r="Q37" i="1"/>
  <c r="R37" i="1" s="1"/>
  <c r="P37" i="1"/>
  <c r="O491" i="1"/>
  <c r="S491" i="1" s="1"/>
  <c r="P491" i="1"/>
  <c r="P301" i="1"/>
  <c r="O490" i="1"/>
  <c r="S490" i="1" s="1"/>
  <c r="Q729" i="1"/>
  <c r="R729" i="1" s="1"/>
  <c r="P729" i="1"/>
  <c r="Q280" i="1"/>
  <c r="R280" i="1" s="1"/>
  <c r="P280" i="1"/>
  <c r="Q277" i="1"/>
  <c r="R277" i="1" s="1"/>
  <c r="P277" i="1"/>
  <c r="O275" i="1"/>
  <c r="S275" i="1" s="1"/>
  <c r="O274" i="1"/>
  <c r="S274" i="1" s="1"/>
  <c r="O276" i="1"/>
  <c r="S276" i="1" s="1"/>
  <c r="O273" i="1"/>
  <c r="S273" i="1" s="1"/>
  <c r="Q271" i="1"/>
  <c r="R271" i="1" s="1"/>
  <c r="Q270" i="1"/>
  <c r="R270" i="1" s="1"/>
  <c r="P271" i="1"/>
  <c r="O272" i="1"/>
  <c r="S272" i="1" s="1"/>
  <c r="P270" i="1"/>
  <c r="O11" i="1"/>
  <c r="S11" i="1" s="1"/>
  <c r="T11" i="1" s="1"/>
  <c r="U11" i="1" s="1"/>
  <c r="V11" i="1" s="1"/>
  <c r="O758" i="1"/>
  <c r="P489" i="1"/>
  <c r="Q489" i="1"/>
  <c r="R489" i="1" s="1"/>
  <c r="O36" i="1"/>
  <c r="S36" i="1" s="1"/>
  <c r="O753" i="1"/>
  <c r="S753" i="1" s="1"/>
  <c r="Q754" i="1"/>
  <c r="R754" i="1" s="1"/>
  <c r="P754" i="1"/>
  <c r="O488" i="1"/>
  <c r="S488" i="1" s="1"/>
  <c r="P298" i="1"/>
  <c r="O300" i="1"/>
  <c r="S300" i="1" s="1"/>
  <c r="Q298" i="1"/>
  <c r="R298" i="1" s="1"/>
  <c r="O299" i="1"/>
  <c r="S299" i="1" s="1"/>
  <c r="P300" i="1"/>
  <c r="O755" i="1"/>
  <c r="S755" i="1" s="1"/>
  <c r="P297" i="1"/>
  <c r="S297" i="1"/>
  <c r="Q297" i="1"/>
  <c r="R297" i="1" s="1"/>
  <c r="A283" i="1"/>
  <c r="A477" i="1"/>
  <c r="A23" i="1"/>
  <c r="A739" i="1"/>
  <c r="A24" i="1"/>
  <c r="A25" i="1"/>
  <c r="A284" i="1"/>
  <c r="A27" i="1"/>
  <c r="A285" i="1"/>
  <c r="A28" i="1"/>
  <c r="A29" i="1"/>
  <c r="A740" i="1"/>
  <c r="A741" i="1"/>
  <c r="A31" i="1"/>
  <c r="A32" i="1"/>
  <c r="A34" i="1"/>
  <c r="A35" i="1"/>
  <c r="A742" i="1"/>
  <c r="A743" i="1"/>
  <c r="A744" i="1"/>
  <c r="A286" i="1"/>
  <c r="A746" i="1"/>
  <c r="A479" i="1"/>
  <c r="A288" i="1"/>
  <c r="A289" i="1"/>
  <c r="A290" i="1"/>
  <c r="A291" i="1"/>
  <c r="A292" i="1"/>
  <c r="A748" i="1"/>
  <c r="A749" i="1"/>
  <c r="A293" i="1"/>
  <c r="A294" i="1"/>
  <c r="A295" i="1"/>
  <c r="A482" i="1"/>
  <c r="A296" i="1"/>
  <c r="A483" i="1"/>
  <c r="A750" i="1"/>
  <c r="A752" i="1"/>
  <c r="A484" i="1"/>
  <c r="A487" i="1"/>
  <c r="N283" i="1"/>
  <c r="P283" i="1" s="1"/>
  <c r="N739" i="1"/>
  <c r="P739" i="1" s="1"/>
  <c r="N24" i="1"/>
  <c r="O24" i="1" s="1"/>
  <c r="N25" i="1"/>
  <c r="O25" i="1" s="1"/>
  <c r="S25" i="1" s="1"/>
  <c r="N284" i="1"/>
  <c r="O284" i="1" s="1"/>
  <c r="S284" i="1" s="1"/>
  <c r="N285" i="1"/>
  <c r="P285" i="1" s="1"/>
  <c r="N28" i="1"/>
  <c r="P28" i="1" s="1"/>
  <c r="N29" i="1"/>
  <c r="O29" i="1" s="1"/>
  <c r="S29" i="1" s="1"/>
  <c r="N740" i="1"/>
  <c r="P740" i="1" s="1"/>
  <c r="N741" i="1"/>
  <c r="O741" i="1" s="1"/>
  <c r="S741" i="1" s="1"/>
  <c r="N35" i="1"/>
  <c r="O35" i="1" s="1"/>
  <c r="Q35" i="1" s="1"/>
  <c r="R35" i="1" s="1"/>
  <c r="N742" i="1"/>
  <c r="O742" i="1" s="1"/>
  <c r="S742" i="1" s="1"/>
  <c r="N743" i="1"/>
  <c r="O743" i="1" s="1"/>
  <c r="S743" i="1" s="1"/>
  <c r="N744" i="1"/>
  <c r="O744" i="1" s="1"/>
  <c r="S744" i="1" s="1"/>
  <c r="N286" i="1"/>
  <c r="P286" i="1" s="1"/>
  <c r="L3" i="6" a="1"/>
  <c r="L3" i="6" s="1"/>
  <c r="J3" i="6" s="1"/>
  <c r="N289" i="1"/>
  <c r="O289" i="1" s="1"/>
  <c r="S289" i="1" s="1"/>
  <c r="N290" i="1"/>
  <c r="O290" i="1" s="1"/>
  <c r="N291" i="1"/>
  <c r="P291" i="1" s="1"/>
  <c r="N292" i="1"/>
  <c r="P292" i="1" s="1"/>
  <c r="N749" i="1"/>
  <c r="O749" i="1" s="1"/>
  <c r="S749" i="1" s="1"/>
  <c r="N293" i="1"/>
  <c r="O293" i="1" s="1"/>
  <c r="S293" i="1" s="1"/>
  <c r="N294" i="1"/>
  <c r="P294" i="1" s="1"/>
  <c r="N295" i="1"/>
  <c r="P295" i="1" s="1"/>
  <c r="N296" i="1"/>
  <c r="O296" i="1" s="1"/>
  <c r="N483" i="1"/>
  <c r="P483" i="1" s="1"/>
  <c r="N750" i="1"/>
  <c r="P750" i="1" s="1"/>
  <c r="S24" i="1"/>
  <c r="S740" i="1"/>
  <c r="S290" i="1"/>
  <c r="A282" i="1"/>
  <c r="A19" i="1"/>
  <c r="A736" i="1"/>
  <c r="A738" i="1"/>
  <c r="A21" i="1"/>
  <c r="N282" i="1"/>
  <c r="P282" i="1" s="1"/>
  <c r="N19" i="1"/>
  <c r="P19" i="1" s="1"/>
  <c r="A279" i="1"/>
  <c r="A12" i="1"/>
  <c r="A14" i="1"/>
  <c r="A280" i="1"/>
  <c r="A463" i="1"/>
  <c r="A16" i="1"/>
  <c r="A733" i="1"/>
  <c r="A464" i="1"/>
  <c r="A465" i="1"/>
  <c r="A466" i="1"/>
  <c r="A468" i="1"/>
  <c r="A734" i="1"/>
  <c r="A281" i="1"/>
  <c r="A475" i="1"/>
  <c r="A18" i="1"/>
  <c r="N279" i="1"/>
  <c r="P279" i="1" s="1"/>
  <c r="N12" i="1"/>
  <c r="P12" i="1" s="1"/>
  <c r="N463" i="1"/>
  <c r="O463" i="1" s="1"/>
  <c r="S463" i="1" s="1"/>
  <c r="N464" i="1"/>
  <c r="O464" i="1" s="1"/>
  <c r="S464" i="1" s="1"/>
  <c r="N465" i="1"/>
  <c r="O465" i="1" s="1"/>
  <c r="Q465" i="1" s="1"/>
  <c r="R465" i="1" s="1"/>
  <c r="N466" i="1"/>
  <c r="O466" i="1" s="1"/>
  <c r="N734" i="1"/>
  <c r="P734" i="1" s="1"/>
  <c r="N281" i="1"/>
  <c r="P281" i="1" s="1"/>
  <c r="S465" i="1"/>
  <c r="A723" i="1"/>
  <c r="A724" i="1"/>
  <c r="A725" i="1"/>
  <c r="A6" i="1"/>
  <c r="A726" i="1"/>
  <c r="A7" i="1"/>
  <c r="A727" i="1"/>
  <c r="A728" i="1"/>
  <c r="A9" i="1"/>
  <c r="A10" i="1"/>
  <c r="A731" i="1"/>
  <c r="A11" i="1"/>
  <c r="A278" i="1"/>
  <c r="N724" i="1"/>
  <c r="N725" i="1"/>
  <c r="P725" i="1" s="1"/>
  <c r="N726" i="1"/>
  <c r="P726" i="1" s="1"/>
  <c r="N7" i="1"/>
  <c r="N727" i="1"/>
  <c r="P727" i="1" s="1"/>
  <c r="N728" i="1"/>
  <c r="P728" i="1" s="1"/>
  <c r="N10" i="1"/>
  <c r="O10" i="1" s="1"/>
  <c r="S10" i="1" s="1"/>
  <c r="N278" i="1"/>
  <c r="P278" i="1" s="1"/>
  <c r="AG6" i="1"/>
  <c r="AG7" i="1"/>
  <c r="AG4" i="1"/>
  <c r="N4" i="1"/>
  <c r="P493" i="1" l="1"/>
  <c r="N324" i="1"/>
  <c r="T888" i="1"/>
  <c r="U888" i="1" s="1"/>
  <c r="V888" i="1" s="1"/>
  <c r="T855" i="1"/>
  <c r="U855" i="1" s="1"/>
  <c r="V855" i="1" s="1"/>
  <c r="Q523" i="1"/>
  <c r="R523" i="1" s="1"/>
  <c r="Q505" i="1"/>
  <c r="R505" i="1" s="1"/>
  <c r="Q48" i="1"/>
  <c r="R48" i="1" s="1"/>
  <c r="Q526" i="1"/>
  <c r="R526" i="1" s="1"/>
  <c r="Q804" i="1"/>
  <c r="R804" i="1" s="1"/>
  <c r="Q332" i="1"/>
  <c r="R332" i="1" s="1"/>
  <c r="Q796" i="1"/>
  <c r="R796" i="1" s="1"/>
  <c r="Q800" i="1"/>
  <c r="R800" i="1" s="1"/>
  <c r="Q519" i="1"/>
  <c r="R519" i="1" s="1"/>
  <c r="S515" i="1"/>
  <c r="Q515" i="1"/>
  <c r="R515" i="1" s="1"/>
  <c r="Q61" i="1"/>
  <c r="R61" i="1" s="1"/>
  <c r="S61" i="1"/>
  <c r="Q57" i="1"/>
  <c r="R57" i="1" s="1"/>
  <c r="Q50" i="1"/>
  <c r="R50" i="1" s="1"/>
  <c r="Q319" i="1"/>
  <c r="R319" i="1" s="1"/>
  <c r="S322" i="1"/>
  <c r="Q322" i="1"/>
  <c r="R322" i="1" s="1"/>
  <c r="Q799" i="1"/>
  <c r="R799" i="1" s="1"/>
  <c r="S770" i="1"/>
  <c r="Q770" i="1"/>
  <c r="R770" i="1" s="1"/>
  <c r="Q306" i="1"/>
  <c r="R306" i="1" s="1"/>
  <c r="Q774" i="1"/>
  <c r="R774" i="1" s="1"/>
  <c r="Q305" i="1"/>
  <c r="R305" i="1" s="1"/>
  <c r="Q304" i="1"/>
  <c r="R304" i="1" s="1"/>
  <c r="Q783" i="1"/>
  <c r="R783" i="1" s="1"/>
  <c r="Q492" i="1"/>
  <c r="R492" i="1" s="1"/>
  <c r="Q779" i="1"/>
  <c r="R779" i="1" s="1"/>
  <c r="Q45" i="1"/>
  <c r="R45" i="1" s="1"/>
  <c r="Q490" i="1"/>
  <c r="R490" i="1" s="1"/>
  <c r="Q762" i="1"/>
  <c r="R762" i="1" s="1"/>
  <c r="Q491" i="1"/>
  <c r="R491" i="1" s="1"/>
  <c r="Q273" i="1"/>
  <c r="R273" i="1" s="1"/>
  <c r="Q276" i="1"/>
  <c r="R276" i="1" s="1"/>
  <c r="Q275" i="1"/>
  <c r="R275" i="1" s="1"/>
  <c r="Q274" i="1"/>
  <c r="R274" i="1" s="1"/>
  <c r="Q272" i="1"/>
  <c r="R272" i="1" s="1"/>
  <c r="Q11" i="1"/>
  <c r="R11" i="1" s="1"/>
  <c r="Q758" i="1"/>
  <c r="R758" i="1" s="1"/>
  <c r="S758" i="1"/>
  <c r="Q299" i="1"/>
  <c r="R299" i="1" s="1"/>
  <c r="Q755" i="1"/>
  <c r="R755" i="1" s="1"/>
  <c r="Q753" i="1"/>
  <c r="R753" i="1" s="1"/>
  <c r="Q300" i="1"/>
  <c r="R300" i="1" s="1"/>
  <c r="Q36" i="1"/>
  <c r="R36" i="1" s="1"/>
  <c r="Q488" i="1"/>
  <c r="R488" i="1" s="1"/>
  <c r="O28" i="1"/>
  <c r="S28" i="1" s="1"/>
  <c r="O740" i="1"/>
  <c r="Q740" i="1" s="1"/>
  <c r="R740" i="1" s="1"/>
  <c r="S296" i="1"/>
  <c r="L4" i="6" a="1"/>
  <c r="L4" i="6" s="1"/>
  <c r="J4" i="6" s="1"/>
  <c r="Q29" i="1"/>
  <c r="R29" i="1" s="1"/>
  <c r="P29" i="1"/>
  <c r="O483" i="1"/>
  <c r="Q483" i="1" s="1"/>
  <c r="R483" i="1" s="1"/>
  <c r="O286" i="1"/>
  <c r="Q286" i="1" s="1"/>
  <c r="R286" i="1" s="1"/>
  <c r="P296" i="1"/>
  <c r="Q24" i="1"/>
  <c r="R24" i="1" s="1"/>
  <c r="O750" i="1"/>
  <c r="Q750" i="1" s="1"/>
  <c r="R750" i="1" s="1"/>
  <c r="S35" i="1"/>
  <c r="P741" i="1"/>
  <c r="O285" i="1"/>
  <c r="Q290" i="1"/>
  <c r="R290" i="1" s="1"/>
  <c r="O295" i="1"/>
  <c r="Q25" i="1"/>
  <c r="R25" i="1" s="1"/>
  <c r="Q289" i="1"/>
  <c r="R289" i="1" s="1"/>
  <c r="O283" i="1"/>
  <c r="Q742" i="1"/>
  <c r="R742" i="1" s="1"/>
  <c r="Q741" i="1"/>
  <c r="R741" i="1" s="1"/>
  <c r="Q749" i="1"/>
  <c r="R749" i="1" s="1"/>
  <c r="O739" i="1"/>
  <c r="S739" i="1" s="1"/>
  <c r="Q296" i="1"/>
  <c r="R296" i="1" s="1"/>
  <c r="O292" i="1"/>
  <c r="S292" i="1" s="1"/>
  <c r="Q744" i="1"/>
  <c r="R744" i="1" s="1"/>
  <c r="O291" i="1"/>
  <c r="S291" i="1" s="1"/>
  <c r="Q293" i="1"/>
  <c r="R293" i="1" s="1"/>
  <c r="Q743" i="1"/>
  <c r="R743" i="1" s="1"/>
  <c r="Q284" i="1"/>
  <c r="R284" i="1" s="1"/>
  <c r="P290" i="1"/>
  <c r="P289" i="1"/>
  <c r="P744" i="1"/>
  <c r="P293" i="1"/>
  <c r="P743" i="1"/>
  <c r="P284" i="1"/>
  <c r="P749" i="1"/>
  <c r="P742" i="1"/>
  <c r="P25" i="1"/>
  <c r="P35" i="1"/>
  <c r="P24" i="1"/>
  <c r="O294" i="1"/>
  <c r="S294" i="1" s="1"/>
  <c r="O19" i="1"/>
  <c r="S19" i="1" s="1"/>
  <c r="O282" i="1"/>
  <c r="S282" i="1" s="1"/>
  <c r="P465" i="1"/>
  <c r="P464" i="1"/>
  <c r="O279" i="1"/>
  <c r="S279" i="1" s="1"/>
  <c r="Q464" i="1"/>
  <c r="R464" i="1" s="1"/>
  <c r="P466" i="1"/>
  <c r="S466" i="1"/>
  <c r="Q466" i="1"/>
  <c r="R466" i="1" s="1"/>
  <c r="O12" i="1"/>
  <c r="S12" i="1" s="1"/>
  <c r="O734" i="1"/>
  <c r="S734" i="1" s="1"/>
  <c r="O281" i="1"/>
  <c r="S281" i="1" s="1"/>
  <c r="Q463" i="1"/>
  <c r="R463" i="1" s="1"/>
  <c r="P463" i="1"/>
  <c r="O725" i="1"/>
  <c r="S725" i="1" s="1"/>
  <c r="O728" i="1"/>
  <c r="S728" i="1" s="1"/>
  <c r="O727" i="1"/>
  <c r="S727" i="1" s="1"/>
  <c r="O726" i="1"/>
  <c r="S726" i="1" s="1"/>
  <c r="O7" i="1"/>
  <c r="S7" i="1" s="1"/>
  <c r="P7" i="1"/>
  <c r="O724" i="1"/>
  <c r="S724" i="1" s="1"/>
  <c r="P724" i="1"/>
  <c r="O278" i="1"/>
  <c r="S278" i="1" s="1"/>
  <c r="Q10" i="1"/>
  <c r="R10" i="1" s="1"/>
  <c r="P10" i="1"/>
  <c r="A4" i="1"/>
  <c r="P4" i="1"/>
  <c r="T886" i="1" l="1"/>
  <c r="O324" i="1"/>
  <c r="S324" i="1" s="1"/>
  <c r="P324" i="1"/>
  <c r="AG59" i="1"/>
  <c r="A59" i="1"/>
  <c r="Q28" i="1"/>
  <c r="R28" i="1" s="1"/>
  <c r="L52" i="6" a="1"/>
  <c r="L52" i="6" s="1"/>
  <c r="J52" i="6" s="1"/>
  <c r="L6" i="6" a="1"/>
  <c r="L6" i="6" s="1"/>
  <c r="J6" i="6" s="1"/>
  <c r="S483" i="1"/>
  <c r="S286" i="1"/>
  <c r="S750" i="1"/>
  <c r="Q291" i="1"/>
  <c r="R291" i="1" s="1"/>
  <c r="Q295" i="1"/>
  <c r="R295" i="1" s="1"/>
  <c r="S295" i="1"/>
  <c r="S285" i="1"/>
  <c r="Q285" i="1"/>
  <c r="R285" i="1" s="1"/>
  <c r="Q19" i="1"/>
  <c r="R19" i="1" s="1"/>
  <c r="Q292" i="1"/>
  <c r="R292" i="1" s="1"/>
  <c r="Q294" i="1"/>
  <c r="R294" i="1" s="1"/>
  <c r="Q283" i="1"/>
  <c r="R283" i="1" s="1"/>
  <c r="S283" i="1"/>
  <c r="Q739" i="1"/>
  <c r="R739" i="1" s="1"/>
  <c r="Q282" i="1"/>
  <c r="R282" i="1" s="1"/>
  <c r="Q279" i="1"/>
  <c r="R279" i="1" s="1"/>
  <c r="Q12" i="1"/>
  <c r="R12" i="1" s="1"/>
  <c r="Q734" i="1"/>
  <c r="R734" i="1" s="1"/>
  <c r="Q281" i="1"/>
  <c r="R281" i="1" s="1"/>
  <c r="Q724" i="1"/>
  <c r="R724" i="1" s="1"/>
  <c r="Q278" i="1"/>
  <c r="R278" i="1" s="1"/>
  <c r="Q7" i="1"/>
  <c r="R7" i="1" s="1"/>
  <c r="Q727" i="1"/>
  <c r="R727" i="1" s="1"/>
  <c r="Q726" i="1"/>
  <c r="R726" i="1" s="1"/>
  <c r="Q728" i="1"/>
  <c r="R728" i="1" s="1"/>
  <c r="Q725" i="1"/>
  <c r="R725" i="1" s="1"/>
  <c r="O4" i="1"/>
  <c r="U886" i="1" l="1"/>
  <c r="V886" i="1" s="1"/>
  <c r="AG778" i="1"/>
  <c r="A778" i="1"/>
  <c r="Q324" i="1"/>
  <c r="R324" i="1" s="1"/>
  <c r="T889" i="1"/>
  <c r="U889" i="1" s="1"/>
  <c r="V889" i="1" s="1"/>
  <c r="U560" i="1"/>
  <c r="V560" i="1" s="1"/>
  <c r="Q4" i="1"/>
  <c r="R4" i="1" s="1"/>
  <c r="S4" i="1"/>
  <c r="T149" i="1" l="1"/>
  <c r="U149" i="1" s="1"/>
  <c r="V149" i="1" s="1"/>
  <c r="T848" i="1"/>
  <c r="U848" i="1" s="1"/>
  <c r="V848" i="1" s="1"/>
  <c r="G5" i="6"/>
  <c r="K5" i="6" a="1"/>
  <c r="K5" i="6" s="1"/>
  <c r="T591" i="1" l="1"/>
  <c r="U591" i="1" s="1"/>
  <c r="V591" i="1" s="1"/>
  <c r="T890" i="1" l="1"/>
  <c r="U890" i="1" s="1"/>
  <c r="V890" i="1" s="1"/>
  <c r="L5" i="6" a="1"/>
  <c r="L5" i="6" s="1"/>
  <c r="J5" i="6" s="1"/>
  <c r="T891" i="1" l="1"/>
  <c r="U891" i="1" s="1"/>
  <c r="V891" i="1" s="1"/>
  <c r="T4" i="1"/>
  <c r="U4" i="1" s="1"/>
  <c r="V4" i="1" s="1"/>
  <c r="T150" i="1" l="1"/>
  <c r="U150" i="1" s="1"/>
  <c r="V150" i="1" s="1"/>
  <c r="U861" i="1"/>
  <c r="V861" i="1" s="1"/>
  <c r="T724" i="1"/>
  <c r="U724" i="1" s="1"/>
  <c r="V724" i="1" s="1"/>
  <c r="T151" i="1" l="1"/>
  <c r="U151" i="1" s="1"/>
  <c r="V151" i="1" s="1"/>
  <c r="T725" i="1"/>
  <c r="U725" i="1" s="1"/>
  <c r="V725" i="1" s="1"/>
  <c r="T892" i="1" l="1"/>
  <c r="T567" i="1"/>
  <c r="U567" i="1" s="1"/>
  <c r="V567" i="1" s="1"/>
  <c r="U892" i="1" l="1"/>
  <c r="V892" i="1" s="1"/>
  <c r="T592" i="1"/>
  <c r="T726" i="1"/>
  <c r="U726" i="1" s="1"/>
  <c r="V726" i="1" s="1"/>
  <c r="U592" i="1" l="1"/>
  <c r="V592" i="1" s="1"/>
  <c r="T152" i="1"/>
  <c r="T7" i="1"/>
  <c r="U7" i="1" s="1"/>
  <c r="V7" i="1" s="1"/>
  <c r="T154" i="1" l="1"/>
  <c r="T893" i="1"/>
  <c r="U152" i="1"/>
  <c r="V152" i="1" s="1"/>
  <c r="T862" i="1"/>
  <c r="T727" i="1"/>
  <c r="U727" i="1" s="1"/>
  <c r="V727" i="1" s="1"/>
  <c r="U154" i="1" l="1"/>
  <c r="V154" i="1" s="1"/>
  <c r="U862" i="1"/>
  <c r="V862" i="1" s="1"/>
  <c r="T863" i="1"/>
  <c r="U863" i="1" s="1"/>
  <c r="V863" i="1" s="1"/>
  <c r="U893" i="1"/>
  <c r="V893" i="1" s="1"/>
  <c r="T594" i="1"/>
  <c r="T728" i="1"/>
  <c r="U728" i="1" s="1"/>
  <c r="V728" i="1" s="1"/>
  <c r="T894" i="1" l="1"/>
  <c r="U894" i="1" s="1"/>
  <c r="V894" i="1" s="1"/>
  <c r="U594" i="1"/>
  <c r="V594" i="1" s="1"/>
  <c r="T595" i="1"/>
  <c r="T729" i="1"/>
  <c r="U729" i="1" s="1"/>
  <c r="V729" i="1" s="1"/>
  <c r="T570" i="1"/>
  <c r="U570" i="1" s="1"/>
  <c r="V570" i="1" s="1"/>
  <c r="T730" i="1"/>
  <c r="U730" i="1" s="1"/>
  <c r="V730" i="1" s="1"/>
  <c r="T109" i="1"/>
  <c r="U109" i="1" s="1"/>
  <c r="V109" i="1" s="1"/>
  <c r="T895" i="1" l="1"/>
  <c r="U895" i="1" s="1"/>
  <c r="V895" i="1" s="1"/>
  <c r="U595" i="1"/>
  <c r="V595" i="1" s="1"/>
  <c r="T110" i="1"/>
  <c r="U110" i="1" s="1"/>
  <c r="V110" i="1" s="1"/>
  <c r="T10" i="1"/>
  <c r="U10" i="1" s="1"/>
  <c r="V10" i="1" s="1"/>
  <c r="T897" i="1" l="1"/>
  <c r="U867" i="1"/>
  <c r="V867" i="1" s="1"/>
  <c r="U897" i="1" l="1"/>
  <c r="V897" i="1" s="1"/>
  <c r="T899" i="1"/>
  <c r="T898" i="1" s="1"/>
  <c r="U898" i="1" s="1"/>
  <c r="V898" i="1" s="1"/>
  <c r="T111" i="1"/>
  <c r="U111" i="1" s="1"/>
  <c r="V111" i="1" s="1"/>
  <c r="T278" i="1"/>
  <c r="U278" i="1" s="1"/>
  <c r="V278" i="1" s="1"/>
  <c r="T896" i="1" l="1"/>
  <c r="U899" i="1"/>
  <c r="V899" i="1" s="1"/>
  <c r="T156" i="1"/>
  <c r="T869" i="1"/>
  <c r="U869" i="1" s="1"/>
  <c r="V869" i="1" s="1"/>
  <c r="T279" i="1"/>
  <c r="U279" i="1" s="1"/>
  <c r="V279" i="1" s="1"/>
  <c r="U896" i="1" l="1"/>
  <c r="V896" i="1" s="1"/>
  <c r="T596" i="1"/>
  <c r="U156" i="1"/>
  <c r="V156" i="1" s="1"/>
  <c r="T871" i="1"/>
  <c r="U871" i="1" s="1"/>
  <c r="V871" i="1" s="1"/>
  <c r="T572" i="1"/>
  <c r="U572" i="1" s="1"/>
  <c r="V572" i="1" s="1"/>
  <c r="T12" i="1"/>
  <c r="U12" i="1" s="1"/>
  <c r="V12" i="1" s="1"/>
  <c r="T597" i="1" l="1"/>
  <c r="U597" i="1" s="1"/>
  <c r="V597" i="1" s="1"/>
  <c r="U596" i="1"/>
  <c r="V596" i="1" s="1"/>
  <c r="T13" i="1"/>
  <c r="U13" i="1" s="1"/>
  <c r="V13" i="1" s="1"/>
  <c r="T113" i="1"/>
  <c r="U113" i="1" s="1"/>
  <c r="V113" i="1" s="1"/>
  <c r="T14" i="1" l="1"/>
  <c r="U14" i="1" s="1"/>
  <c r="V14" i="1" s="1"/>
  <c r="T114" i="1"/>
  <c r="U114" i="1" s="1"/>
  <c r="V114" i="1" s="1"/>
  <c r="T115" i="1" l="1"/>
  <c r="U115" i="1" s="1"/>
  <c r="V115" i="1" s="1"/>
  <c r="T463" i="1"/>
  <c r="U463" i="1" l="1"/>
  <c r="V463" i="1" s="1"/>
  <c r="T16" i="1"/>
  <c r="U16" i="1" s="1"/>
  <c r="V16" i="1" s="1"/>
  <c r="T116" i="1"/>
  <c r="U116" i="1" s="1"/>
  <c r="V116" i="1" s="1"/>
  <c r="T573" i="1" l="1"/>
  <c r="U573" i="1" s="1"/>
  <c r="V573" i="1" s="1"/>
  <c r="T464" i="1" l="1"/>
  <c r="U464" i="1" l="1"/>
  <c r="V464" i="1" s="1"/>
  <c r="T733" i="1"/>
  <c r="U733" i="1" s="1"/>
  <c r="V733" i="1" s="1"/>
  <c r="T872" i="1"/>
  <c r="U872" i="1" s="1"/>
  <c r="V872" i="1" s="1"/>
  <c r="T465" i="1"/>
  <c r="U465" i="1" s="1"/>
  <c r="V465" i="1" s="1"/>
  <c r="T120" i="1" l="1"/>
  <c r="U120" i="1" s="1"/>
  <c r="V120" i="1" s="1"/>
  <c r="T466" i="1"/>
  <c r="U466" i="1" s="1"/>
  <c r="V466" i="1" s="1"/>
  <c r="T467" i="1" l="1"/>
  <c r="U467" i="1" s="1"/>
  <c r="V467" i="1" s="1"/>
  <c r="T121" i="1"/>
  <c r="U121" i="1" s="1"/>
  <c r="V121" i="1" s="1"/>
  <c r="T574" i="1" l="1"/>
  <c r="T734" i="1"/>
  <c r="U734" i="1" s="1"/>
  <c r="V734" i="1" s="1"/>
  <c r="U574" i="1" l="1"/>
  <c r="V574" i="1" s="1"/>
  <c r="T282" i="1"/>
  <c r="U282" i="1" s="1"/>
  <c r="V282" i="1" s="1"/>
  <c r="T874" i="1"/>
  <c r="U874" i="1" s="1"/>
  <c r="V874" i="1" s="1"/>
  <c r="T19" i="1"/>
  <c r="U19" i="1" s="1"/>
  <c r="V19" i="1" s="1"/>
  <c r="T281" i="1"/>
  <c r="U281" i="1" s="1"/>
  <c r="V281" i="1" s="1"/>
  <c r="T469" i="1" l="1"/>
  <c r="U469" i="1" s="1"/>
  <c r="V469" i="1" s="1"/>
  <c r="T735" i="1"/>
  <c r="U735" i="1" s="1"/>
  <c r="V735" i="1" s="1"/>
  <c r="T875" i="1"/>
  <c r="U875" i="1" s="1"/>
  <c r="V875" i="1" s="1"/>
  <c r="T129" i="1"/>
  <c r="U129" i="1" s="1"/>
  <c r="V129" i="1" s="1"/>
  <c r="T575" i="1"/>
  <c r="U575" i="1" l="1"/>
  <c r="V575" i="1" s="1"/>
  <c r="T153" i="1"/>
  <c r="T736" i="1"/>
  <c r="U736" i="1" s="1"/>
  <c r="V736" i="1" s="1"/>
  <c r="T20" i="1"/>
  <c r="U20" i="1" l="1"/>
  <c r="V20" i="1" s="1"/>
  <c r="T738" i="1"/>
  <c r="U738" i="1" s="1"/>
  <c r="V738" i="1" s="1"/>
  <c r="U153" i="1"/>
  <c r="V153" i="1" s="1"/>
  <c r="T593" i="1"/>
  <c r="U593" i="1" s="1"/>
  <c r="V593" i="1" s="1"/>
  <c r="T130" i="1"/>
  <c r="U130" i="1" s="1"/>
  <c r="V130" i="1" s="1"/>
  <c r="T576" i="1" l="1"/>
  <c r="U576" i="1" s="1"/>
  <c r="V576" i="1" s="1"/>
  <c r="T283" i="1"/>
  <c r="U283" i="1" l="1"/>
  <c r="V283" i="1" s="1"/>
  <c r="T21" i="1"/>
  <c r="U21" i="1" s="1"/>
  <c r="V21" i="1" s="1"/>
  <c r="T476" i="1"/>
  <c r="U476" i="1" s="1"/>
  <c r="V476" i="1" s="1"/>
  <c r="T132" i="1"/>
  <c r="U132" i="1" s="1"/>
  <c r="V132" i="1" s="1"/>
  <c r="T22" i="1"/>
  <c r="U22" i="1" s="1"/>
  <c r="V22" i="1" s="1"/>
  <c r="T876" i="1" l="1"/>
  <c r="U876" i="1" s="1"/>
  <c r="V876" i="1" s="1"/>
  <c r="T877" i="1" l="1"/>
  <c r="U877" i="1" s="1"/>
  <c r="V877" i="1" s="1"/>
  <c r="T739" i="1"/>
  <c r="U739" i="1" s="1"/>
  <c r="V739" i="1" s="1"/>
  <c r="T878" i="1" l="1"/>
  <c r="U878" i="1" s="1"/>
  <c r="V878" i="1" s="1"/>
  <c r="T24" i="1"/>
  <c r="U24" i="1" s="1"/>
  <c r="V24" i="1" s="1"/>
  <c r="T25" i="1" l="1"/>
  <c r="U25" i="1" s="1"/>
  <c r="V25" i="1" s="1"/>
  <c r="T880" i="1" l="1"/>
  <c r="U880" i="1" s="1"/>
  <c r="V880" i="1" s="1"/>
  <c r="T284" i="1"/>
  <c r="U284" i="1" s="1"/>
  <c r="V284" i="1" s="1"/>
  <c r="T26" i="1" l="1"/>
  <c r="U26" i="1" s="1"/>
  <c r="V26" i="1" s="1"/>
  <c r="T134" i="1"/>
  <c r="U134" i="1" s="1"/>
  <c r="V134" i="1" s="1"/>
  <c r="T136" i="1" l="1"/>
  <c r="U136" i="1" s="1"/>
  <c r="V136" i="1" s="1"/>
  <c r="T285" i="1"/>
  <c r="U285" i="1" s="1"/>
  <c r="V285" i="1" s="1"/>
  <c r="T28" i="1" l="1"/>
  <c r="U28" i="1" s="1"/>
  <c r="V28" i="1" s="1"/>
  <c r="T29" i="1" l="1"/>
  <c r="U29" i="1" s="1"/>
  <c r="V29" i="1" s="1"/>
  <c r="T138" i="1" l="1"/>
  <c r="U138" i="1" s="1"/>
  <c r="V138" i="1" s="1"/>
  <c r="T740" i="1"/>
  <c r="U740" i="1" l="1"/>
  <c r="V740" i="1" s="1"/>
  <c r="T881" i="1"/>
  <c r="U881" i="1" s="1"/>
  <c r="V881" i="1" s="1"/>
  <c r="T741" i="1"/>
  <c r="U741" i="1" s="1"/>
  <c r="V741" i="1" s="1"/>
  <c r="T30" i="1" l="1"/>
  <c r="U30" i="1" s="1"/>
  <c r="V30" i="1" s="1"/>
  <c r="T31" i="1" l="1"/>
  <c r="U31" i="1" s="1"/>
  <c r="V31" i="1" s="1"/>
  <c r="T35" i="1"/>
  <c r="U35" i="1" l="1"/>
  <c r="V35" i="1" s="1"/>
  <c r="T34" i="1"/>
  <c r="U34" i="1" s="1"/>
  <c r="V34" i="1" s="1"/>
  <c r="T742" i="1"/>
  <c r="U742" i="1" s="1"/>
  <c r="V742" i="1" s="1"/>
  <c r="T743" i="1" l="1"/>
  <c r="U743" i="1" s="1"/>
  <c r="V743" i="1" s="1"/>
  <c r="T744" i="1" l="1"/>
  <c r="U744" i="1" s="1"/>
  <c r="V744" i="1" s="1"/>
  <c r="T286" i="1" l="1"/>
  <c r="U286" i="1" s="1"/>
  <c r="V286" i="1" s="1"/>
  <c r="T745" i="1" l="1"/>
  <c r="U745" i="1" s="1"/>
  <c r="V745" i="1" s="1"/>
  <c r="T478" i="1"/>
  <c r="U478" i="1" s="1"/>
  <c r="V478" i="1" s="1"/>
  <c r="T746" i="1" l="1"/>
  <c r="U746" i="1" s="1"/>
  <c r="V746" i="1" s="1"/>
  <c r="T287" i="1" l="1"/>
  <c r="U287" i="1" l="1"/>
  <c r="V287" i="1" s="1"/>
  <c r="T479" i="1"/>
  <c r="U479" i="1" s="1"/>
  <c r="V479" i="1" s="1"/>
  <c r="T289" i="1"/>
  <c r="U289" i="1" s="1"/>
  <c r="V289" i="1" s="1"/>
  <c r="T290" i="1" l="1"/>
  <c r="U290" i="1" s="1"/>
  <c r="V290" i="1" s="1"/>
  <c r="T291" i="1" l="1"/>
  <c r="U291" i="1" s="1"/>
  <c r="V291" i="1" s="1"/>
  <c r="T292" i="1" l="1"/>
  <c r="U292" i="1" s="1"/>
  <c r="V292" i="1" s="1"/>
  <c r="T747" i="1" l="1"/>
  <c r="U747" i="1" s="1"/>
  <c r="V747" i="1" s="1"/>
  <c r="T749" i="1" l="1"/>
  <c r="U749" i="1" s="1"/>
  <c r="V749" i="1" s="1"/>
  <c r="T748" i="1" l="1"/>
  <c r="U748" i="1" s="1"/>
  <c r="V748" i="1" s="1"/>
  <c r="T293" i="1"/>
  <c r="U293" i="1" s="1"/>
  <c r="V293" i="1" s="1"/>
  <c r="T294" i="1" l="1"/>
  <c r="U294" i="1" s="1"/>
  <c r="V294" i="1" s="1"/>
  <c r="T295" i="1" l="1"/>
  <c r="U295" i="1" s="1"/>
  <c r="V295" i="1" s="1"/>
  <c r="T480" i="1" l="1"/>
  <c r="U480" i="1" s="1"/>
  <c r="V480" i="1" s="1"/>
  <c r="T296" i="1" l="1"/>
  <c r="U296" i="1" s="1"/>
  <c r="V296" i="1" s="1"/>
  <c r="T483" i="1" l="1"/>
  <c r="U483" i="1" s="1"/>
  <c r="V483" i="1" s="1"/>
  <c r="T750" i="1" l="1"/>
  <c r="U750" i="1" s="1"/>
  <c r="V750" i="1" s="1"/>
  <c r="T751" i="1" l="1"/>
  <c r="U751" i="1" s="1"/>
  <c r="V751" i="1" s="1"/>
  <c r="T485" i="1"/>
  <c r="U485" i="1" s="1"/>
  <c r="V485" i="1" s="1"/>
  <c r="T486" i="1" l="1"/>
  <c r="U486" i="1" s="1"/>
  <c r="V486" i="1" s="1"/>
  <c r="T752" i="1" l="1"/>
  <c r="T297" i="1"/>
  <c r="U297" i="1" s="1"/>
  <c r="V297" i="1" s="1"/>
  <c r="U752" i="1" l="1"/>
  <c r="V752" i="1" s="1"/>
  <c r="T484" i="1"/>
  <c r="U484" i="1" s="1"/>
  <c r="V484" i="1" s="1"/>
  <c r="T488" i="1"/>
  <c r="U488" i="1" s="1"/>
  <c r="V488" i="1" s="1"/>
  <c r="T298" i="1" l="1"/>
  <c r="U298" i="1" s="1"/>
  <c r="V298" i="1" s="1"/>
  <c r="T753" i="1" l="1"/>
  <c r="U753" i="1" s="1"/>
  <c r="V753" i="1" s="1"/>
  <c r="T36" i="1" l="1"/>
  <c r="U36" i="1" s="1"/>
  <c r="V36" i="1" s="1"/>
  <c r="T489" i="1" l="1"/>
  <c r="U489" i="1" s="1"/>
  <c r="V489" i="1" s="1"/>
  <c r="T754" i="1" l="1"/>
  <c r="U754" i="1" s="1"/>
  <c r="V754" i="1" s="1"/>
  <c r="T755" i="1" l="1"/>
  <c r="U755" i="1" s="1"/>
  <c r="V755" i="1" s="1"/>
  <c r="T299" i="1" l="1"/>
  <c r="U299" i="1" s="1"/>
  <c r="V299" i="1" s="1"/>
  <c r="T300" i="1" l="1"/>
  <c r="U300" i="1" s="1"/>
  <c r="V300" i="1" s="1"/>
  <c r="T756" i="1" l="1"/>
  <c r="U756" i="1" s="1"/>
  <c r="V756" i="1" s="1"/>
  <c r="T758" i="1"/>
  <c r="U758" i="1" s="1"/>
  <c r="V758" i="1" s="1"/>
  <c r="T759" i="1" l="1"/>
  <c r="U759" i="1" s="1"/>
  <c r="V759" i="1" s="1"/>
  <c r="T762" i="1"/>
  <c r="U762" i="1" s="1"/>
  <c r="V762" i="1" s="1"/>
  <c r="T270" i="1"/>
  <c r="U270" i="1" s="1"/>
  <c r="V270" i="1" s="1"/>
  <c r="T271" i="1"/>
  <c r="U271" i="1" s="1"/>
  <c r="V271" i="1" s="1"/>
  <c r="T5" i="1" l="1"/>
  <c r="U5" i="1" s="1"/>
  <c r="V5" i="1" s="1"/>
  <c r="T301" i="1"/>
  <c r="U301" i="1" s="1"/>
  <c r="V301" i="1" s="1"/>
  <c r="T272" i="1"/>
  <c r="U272" i="1" s="1"/>
  <c r="V272" i="1" s="1"/>
  <c r="T302" i="1" l="1"/>
  <c r="U302" i="1" s="1"/>
  <c r="V302" i="1" s="1"/>
  <c r="T6" i="1"/>
  <c r="U6" i="1" s="1"/>
  <c r="V6" i="1" s="1"/>
  <c r="T37" i="1"/>
  <c r="U37" i="1" s="1"/>
  <c r="V37" i="1" s="1"/>
  <c r="T273" i="1"/>
  <c r="U273" i="1" s="1"/>
  <c r="V273" i="1" s="1"/>
  <c r="T38" i="1" l="1"/>
  <c r="T274" i="1"/>
  <c r="U274" i="1" s="1"/>
  <c r="V274" i="1" s="1"/>
  <c r="U38" i="1" l="1"/>
  <c r="V38" i="1" s="1"/>
  <c r="T39" i="1"/>
  <c r="U39" i="1" s="1"/>
  <c r="V39" i="1" s="1"/>
  <c r="T275" i="1"/>
  <c r="U275" i="1" s="1"/>
  <c r="V275" i="1" s="1"/>
  <c r="T276" i="1" l="1"/>
  <c r="U276" i="1" s="1"/>
  <c r="V276" i="1" s="1"/>
  <c r="T763" i="1" l="1"/>
  <c r="U763" i="1" s="1"/>
  <c r="V763" i="1" s="1"/>
  <c r="T8" i="1"/>
  <c r="U8" i="1" s="1"/>
  <c r="V8" i="1" s="1"/>
  <c r="T277" i="1"/>
  <c r="U277" i="1" s="1"/>
  <c r="V277" i="1" s="1"/>
  <c r="T768" i="1" l="1"/>
  <c r="U768" i="1" s="1"/>
  <c r="V768" i="1" s="1"/>
  <c r="T9" i="1"/>
  <c r="U9" i="1" s="1"/>
  <c r="V9" i="1" s="1"/>
  <c r="T769" i="1"/>
  <c r="U769" i="1" s="1"/>
  <c r="V769" i="1" s="1"/>
  <c r="T490" i="1"/>
  <c r="U490" i="1" s="1"/>
  <c r="V490" i="1" s="1"/>
  <c r="T770" i="1" l="1"/>
  <c r="U770" i="1" s="1"/>
  <c r="V770" i="1" s="1"/>
  <c r="T491" i="1"/>
  <c r="U491" i="1" l="1"/>
  <c r="V491" i="1" s="1"/>
  <c r="T771" i="1"/>
  <c r="U771" i="1" s="1"/>
  <c r="V771" i="1" s="1"/>
  <c r="T304" i="1" l="1"/>
  <c r="U304" i="1" s="1"/>
  <c r="V304" i="1" s="1"/>
  <c r="T772" i="1" l="1"/>
  <c r="U772" i="1" s="1"/>
  <c r="V772" i="1" s="1"/>
  <c r="T774" i="1" l="1"/>
  <c r="U774" i="1" s="1"/>
  <c r="V774" i="1" s="1"/>
  <c r="T492" i="1" l="1"/>
  <c r="U492" i="1" s="1"/>
  <c r="V492" i="1" s="1"/>
  <c r="T305" i="1" l="1"/>
  <c r="U305" i="1" s="1"/>
  <c r="V305" i="1" s="1"/>
  <c r="T306" i="1" l="1"/>
  <c r="U306" i="1" s="1"/>
  <c r="V306" i="1" s="1"/>
  <c r="T775" i="1" l="1"/>
  <c r="U775" i="1" s="1"/>
  <c r="V775" i="1" s="1"/>
  <c r="T776" i="1" l="1"/>
  <c r="U776" i="1" s="1"/>
  <c r="V776" i="1" s="1"/>
  <c r="T493" i="1" l="1"/>
  <c r="U493" i="1" s="1"/>
  <c r="V493" i="1" s="1"/>
  <c r="T494" i="1" l="1"/>
  <c r="U494" i="1" s="1"/>
  <c r="V494" i="1" s="1"/>
  <c r="T42" i="1" l="1"/>
  <c r="U42" i="1" s="1"/>
  <c r="V42" i="1" s="1"/>
  <c r="T496" i="1" l="1"/>
  <c r="U496" i="1" s="1"/>
  <c r="V496" i="1" s="1"/>
  <c r="T44" i="1"/>
  <c r="U44" i="1" s="1"/>
  <c r="V44" i="1" s="1"/>
  <c r="T43" i="1" l="1"/>
  <c r="U43" i="1" s="1"/>
  <c r="V43" i="1" s="1"/>
  <c r="T779" i="1"/>
  <c r="U779" i="1" s="1"/>
  <c r="V779" i="1" s="1"/>
  <c r="T780" i="1" l="1"/>
  <c r="U780" i="1" s="1"/>
  <c r="V780" i="1" s="1"/>
  <c r="T45" i="1" l="1"/>
  <c r="U45" i="1" s="1"/>
  <c r="V45" i="1" s="1"/>
  <c r="T307" i="1" l="1"/>
  <c r="U307" i="1" l="1"/>
  <c r="V307" i="1" s="1"/>
  <c r="T498" i="1"/>
  <c r="U498" i="1" s="1"/>
  <c r="V498" i="1" s="1"/>
  <c r="T499" i="1" l="1"/>
  <c r="T781" i="1" l="1"/>
  <c r="U499" i="1"/>
  <c r="V499" i="1" s="1"/>
  <c r="T783" i="1"/>
  <c r="T308" i="1" s="1"/>
  <c r="U308" i="1" s="1"/>
  <c r="V308" i="1" s="1"/>
  <c r="U781" i="1" l="1"/>
  <c r="V781" i="1" s="1"/>
  <c r="T782" i="1"/>
  <c r="U782" i="1" s="1"/>
  <c r="V782" i="1" s="1"/>
  <c r="U783" i="1"/>
  <c r="V783" i="1" s="1"/>
  <c r="T500" i="1"/>
  <c r="U500" i="1" s="1"/>
  <c r="V500" i="1" s="1"/>
  <c r="T784" i="1" l="1"/>
  <c r="T501" i="1" s="1"/>
  <c r="U501" i="1" s="1"/>
  <c r="V501" i="1" s="1"/>
  <c r="T309" i="1"/>
  <c r="U309" i="1" s="1"/>
  <c r="V309" i="1" s="1"/>
  <c r="U784" i="1" l="1"/>
  <c r="V784" i="1" s="1"/>
  <c r="T785" i="1"/>
  <c r="U785" i="1" s="1"/>
  <c r="V785" i="1" s="1"/>
  <c r="T786" i="1"/>
  <c r="U786" i="1" s="1"/>
  <c r="V786" i="1" s="1"/>
  <c r="T787" i="1" l="1"/>
  <c r="U787" i="1" s="1"/>
  <c r="V787" i="1" s="1"/>
  <c r="T46" i="1" l="1"/>
  <c r="U46" i="1" s="1"/>
  <c r="V46" i="1" s="1"/>
  <c r="T502" i="1" l="1"/>
  <c r="U502" i="1" s="1"/>
  <c r="V502" i="1" s="1"/>
  <c r="T48" i="1"/>
  <c r="U48" i="1" s="1"/>
  <c r="V48" i="1" s="1"/>
  <c r="T504" i="1" l="1"/>
  <c r="U504" i="1" s="1"/>
  <c r="V504" i="1" s="1"/>
  <c r="T505" i="1" l="1"/>
  <c r="U505" i="1" s="1"/>
  <c r="V505" i="1" s="1"/>
  <c r="T506" i="1" l="1"/>
  <c r="U506" i="1" s="1"/>
  <c r="V506" i="1" s="1"/>
  <c r="T507" i="1" l="1"/>
  <c r="U507" i="1" s="1"/>
  <c r="V507" i="1" s="1"/>
  <c r="T319" i="1" l="1"/>
  <c r="U319" i="1" s="1"/>
  <c r="V319" i="1" s="1"/>
  <c r="T796" i="1" l="1"/>
  <c r="U796" i="1" s="1"/>
  <c r="V796" i="1" s="1"/>
  <c r="T797" i="1" l="1"/>
  <c r="U797" i="1" s="1"/>
  <c r="V797" i="1" s="1"/>
  <c r="T320" i="1" l="1"/>
  <c r="U320" i="1" s="1"/>
  <c r="V320" i="1" s="1"/>
  <c r="T49" i="1" l="1"/>
  <c r="U49" i="1" s="1"/>
  <c r="V49" i="1" s="1"/>
  <c r="T798" i="1" l="1"/>
  <c r="U798" i="1" s="1"/>
  <c r="V798" i="1" s="1"/>
  <c r="T512" i="1" l="1"/>
  <c r="U512" i="1" s="1"/>
  <c r="V512" i="1" s="1"/>
  <c r="T513" i="1" l="1"/>
  <c r="U513" i="1" l="1"/>
  <c r="V513" i="1" s="1"/>
  <c r="T322" i="1"/>
  <c r="U322" i="1" s="1"/>
  <c r="V322" i="1" s="1"/>
  <c r="T50" i="1" l="1"/>
  <c r="U50" i="1" s="1"/>
  <c r="V50" i="1" s="1"/>
  <c r="T515" i="1" l="1"/>
  <c r="U515" i="1" s="1"/>
  <c r="V515" i="1" s="1"/>
  <c r="T51" i="1" l="1"/>
  <c r="U51" i="1" s="1"/>
  <c r="V51" i="1" s="1"/>
  <c r="T53" i="1" l="1"/>
  <c r="U53" i="1" s="1"/>
  <c r="V53" i="1" s="1"/>
  <c r="T55" i="1"/>
  <c r="U55" i="1" s="1"/>
  <c r="V55" i="1" s="1"/>
  <c r="T52" i="1" l="1"/>
  <c r="U52" i="1" s="1"/>
  <c r="V52" i="1" s="1"/>
  <c r="T56" i="1"/>
  <c r="U56" i="1" s="1"/>
  <c r="V56" i="1" s="1"/>
  <c r="T57" i="1" l="1"/>
  <c r="U57" i="1" s="1"/>
  <c r="V57" i="1" s="1"/>
  <c r="T516" i="1" l="1"/>
  <c r="U516" i="1" s="1"/>
  <c r="V516" i="1" s="1"/>
  <c r="T517" i="1" l="1"/>
  <c r="U517" i="1" s="1"/>
  <c r="V517" i="1" s="1"/>
  <c r="T323" i="1" l="1"/>
  <c r="U323" i="1" s="1"/>
  <c r="V323" i="1" s="1"/>
  <c r="T518" i="1" l="1"/>
  <c r="U518" i="1" s="1"/>
  <c r="V518" i="1" s="1"/>
  <c r="T58" i="1"/>
  <c r="U58" i="1" s="1"/>
  <c r="V58" i="1" s="1"/>
  <c r="T324" i="1" l="1"/>
  <c r="U324" i="1" s="1"/>
  <c r="V324" i="1" s="1"/>
  <c r="T59" i="1" l="1"/>
  <c r="U59" i="1" s="1"/>
  <c r="V59" i="1" s="1"/>
  <c r="T60" i="1"/>
  <c r="U60" i="1" s="1"/>
  <c r="V60" i="1" s="1"/>
  <c r="T61" i="1" l="1"/>
  <c r="U61" i="1" s="1"/>
  <c r="V61" i="1" s="1"/>
  <c r="T519" i="1" l="1"/>
  <c r="U519" i="1" s="1"/>
  <c r="V519" i="1" s="1"/>
  <c r="T799" i="1" l="1"/>
  <c r="U799" i="1" s="1"/>
  <c r="V799" i="1" s="1"/>
  <c r="T800" i="1" l="1"/>
  <c r="U800" i="1" l="1"/>
  <c r="V800" i="1" s="1"/>
  <c r="T321" i="1"/>
  <c r="U321" i="1" s="1"/>
  <c r="V321" i="1" s="1"/>
  <c r="T325" i="1"/>
  <c r="U325" i="1" s="1"/>
  <c r="V325" i="1" s="1"/>
  <c r="T62" i="1" l="1"/>
  <c r="U62" i="1" l="1"/>
  <c r="V62" i="1" s="1"/>
  <c r="T731" i="1"/>
  <c r="U731" i="1" s="1"/>
  <c r="V731" i="1" s="1"/>
  <c r="T520" i="1"/>
  <c r="U520" i="1" s="1"/>
  <c r="V520" i="1" s="1"/>
  <c r="T522" i="1" l="1"/>
  <c r="U522" i="1" s="1"/>
  <c r="V522" i="1" s="1"/>
  <c r="T523" i="1" l="1"/>
  <c r="U523" i="1" s="1"/>
  <c r="V523" i="1" s="1"/>
  <c r="T803" i="1" l="1"/>
  <c r="U803" i="1" s="1"/>
  <c r="V803" i="1" s="1"/>
  <c r="T801" i="1" l="1"/>
  <c r="U801" i="1" s="1"/>
  <c r="V801" i="1" s="1"/>
  <c r="T524" i="1"/>
  <c r="U524" i="1" s="1"/>
  <c r="V524" i="1" s="1"/>
  <c r="T804" i="1" l="1"/>
  <c r="U804" i="1" s="1"/>
  <c r="V804" i="1" s="1"/>
  <c r="T63" i="1" l="1"/>
  <c r="U63" i="1" s="1"/>
  <c r="V63" i="1" s="1"/>
  <c r="T525" i="1" l="1"/>
  <c r="U525" i="1" l="1"/>
  <c r="V525" i="1" s="1"/>
  <c r="T332" i="1"/>
  <c r="U332" i="1" s="1"/>
  <c r="V332" i="1" s="1"/>
  <c r="T526" i="1" l="1"/>
  <c r="U526" i="1" s="1"/>
  <c r="V526" i="1" s="1"/>
  <c r="T527" i="1" l="1"/>
  <c r="U527" i="1" s="1"/>
  <c r="V527" i="1" s="1"/>
  <c r="T805" i="1"/>
  <c r="U805" i="1" s="1"/>
  <c r="V805" i="1" s="1"/>
  <c r="T528" i="1" l="1"/>
  <c r="U528" i="1" s="1"/>
  <c r="V528" i="1" s="1"/>
  <c r="T806" i="1"/>
  <c r="U806" i="1" l="1"/>
  <c r="V806" i="1" s="1"/>
  <c r="T333" i="1"/>
  <c r="U333" i="1" s="1"/>
  <c r="V333" i="1" s="1"/>
  <c r="T65" i="1" l="1"/>
  <c r="U65" i="1" s="1"/>
  <c r="V65" i="1" s="1"/>
  <c r="T66" i="1" l="1"/>
  <c r="U66" i="1" s="1"/>
  <c r="V66" i="1" s="1"/>
  <c r="T807" i="1" l="1"/>
  <c r="U807" i="1" s="1"/>
  <c r="V807" i="1" s="1"/>
  <c r="T67" i="1" l="1"/>
  <c r="U67" i="1" s="1"/>
  <c r="V67" i="1" s="1"/>
  <c r="T808" i="1"/>
  <c r="U808" i="1" s="1"/>
  <c r="V808" i="1" s="1"/>
  <c r="T70" i="1" l="1"/>
  <c r="U70" i="1" s="1"/>
  <c r="V70" i="1" s="1"/>
  <c r="T809" i="1"/>
  <c r="U809" i="1" s="1"/>
  <c r="V809" i="1" s="1"/>
  <c r="T334" i="1"/>
  <c r="T802" i="1" s="1"/>
  <c r="T68" i="1"/>
  <c r="U802" i="1" l="1"/>
  <c r="V802" i="1" s="1"/>
  <c r="U334" i="1"/>
  <c r="V334" i="1" s="1"/>
  <c r="T487" i="1"/>
  <c r="U487" i="1" s="1"/>
  <c r="V487" i="1" s="1"/>
  <c r="U68" i="1"/>
  <c r="V68" i="1" s="1"/>
  <c r="T481" i="1"/>
  <c r="U481" i="1" s="1"/>
  <c r="V481" i="1" s="1"/>
  <c r="T326" i="1" l="1"/>
  <c r="T355" i="1"/>
  <c r="U355" i="1" s="1"/>
  <c r="V355" i="1" s="1"/>
  <c r="T820" i="1"/>
  <c r="U820" i="1" s="1"/>
  <c r="V820" i="1" s="1"/>
  <c r="T356" i="1"/>
  <c r="U356" i="1" s="1"/>
  <c r="V356" i="1" s="1"/>
  <c r="T74" i="1"/>
  <c r="T80" i="1"/>
  <c r="U80" i="1" s="1"/>
  <c r="V80" i="1" s="1"/>
  <c r="T335" i="1"/>
  <c r="U335" i="1" s="1"/>
  <c r="V335" i="1" s="1"/>
  <c r="T533" i="1"/>
  <c r="U533" i="1" s="1"/>
  <c r="V533" i="1" s="1"/>
  <c r="U326" i="1" l="1"/>
  <c r="V326" i="1" s="1"/>
  <c r="T327" i="1"/>
  <c r="T503" i="1"/>
  <c r="U503" i="1" s="1"/>
  <c r="V503" i="1" s="1"/>
  <c r="U74" i="1"/>
  <c r="V74" i="1" s="1"/>
  <c r="T821" i="1"/>
  <c r="U821" i="1" s="1"/>
  <c r="V821" i="1" s="1"/>
  <c r="T82" i="1"/>
  <c r="T538" i="1"/>
  <c r="U538" i="1" s="1"/>
  <c r="V538" i="1" s="1"/>
  <c r="T535" i="1"/>
  <c r="U535" i="1" s="1"/>
  <c r="V535" i="1" s="1"/>
  <c r="T534" i="1"/>
  <c r="U534" i="1" s="1"/>
  <c r="V534" i="1" s="1"/>
  <c r="T328" i="1" l="1"/>
  <c r="U328" i="1" s="1"/>
  <c r="V328" i="1" s="1"/>
  <c r="U327" i="1"/>
  <c r="V327" i="1" s="1"/>
  <c r="U82" i="1"/>
  <c r="V82" i="1" s="1"/>
  <c r="T69" i="1"/>
  <c r="T357" i="1"/>
  <c r="U357" i="1" s="1"/>
  <c r="V357" i="1" s="1"/>
  <c r="T539" i="1"/>
  <c r="U539" i="1" s="1"/>
  <c r="V539" i="1" s="1"/>
  <c r="T329" i="1" l="1"/>
  <c r="U69" i="1"/>
  <c r="V69" i="1" s="1"/>
  <c r="T822" i="1"/>
  <c r="U822" i="1" s="1"/>
  <c r="V822" i="1" s="1"/>
  <c r="T75" i="1"/>
  <c r="U329" i="1" l="1"/>
  <c r="V329" i="1" s="1"/>
  <c r="T330" i="1"/>
  <c r="U75" i="1"/>
  <c r="V75" i="1" s="1"/>
  <c r="T477" i="1"/>
  <c r="U477" i="1" s="1"/>
  <c r="V477" i="1" s="1"/>
  <c r="T823" i="1"/>
  <c r="U823" i="1" s="1"/>
  <c r="V823" i="1" s="1"/>
  <c r="T336" i="1"/>
  <c r="T331" i="1" l="1"/>
  <c r="U331" i="1" s="1"/>
  <c r="V331" i="1" s="1"/>
  <c r="U330" i="1"/>
  <c r="V330" i="1" s="1"/>
  <c r="U336" i="1"/>
  <c r="V336" i="1" s="1"/>
  <c r="T521" i="1"/>
  <c r="U521" i="1" s="1"/>
  <c r="V521" i="1" s="1"/>
  <c r="T83" i="1"/>
  <c r="U83" i="1" s="1"/>
  <c r="V83" i="1" s="1"/>
  <c r="T540" i="1"/>
  <c r="T337" i="1"/>
  <c r="U337" i="1" s="1"/>
  <c r="V337" i="1" s="1"/>
  <c r="U540" i="1" l="1"/>
  <c r="V540" i="1" s="1"/>
  <c r="T141" i="1"/>
  <c r="U141" i="1" s="1"/>
  <c r="V141" i="1" s="1"/>
  <c r="T338" i="1"/>
  <c r="U338" i="1" s="1"/>
  <c r="V338" i="1" s="1"/>
  <c r="T545" i="1" l="1"/>
  <c r="U545" i="1" s="1"/>
  <c r="V545" i="1" s="1"/>
  <c r="T351" i="1"/>
  <c r="U351" i="1" s="1"/>
  <c r="V351" i="1" s="1"/>
  <c r="T76" i="1"/>
  <c r="U76" i="1" s="1"/>
  <c r="V76" i="1" s="1"/>
  <c r="T77" i="1" l="1"/>
  <c r="U77" i="1" s="1"/>
  <c r="V77" i="1" s="1"/>
  <c r="T824" i="1"/>
  <c r="U824" i="1" s="1"/>
  <c r="V824" i="1" s="1"/>
  <c r="T81" i="1"/>
  <c r="U81" i="1" s="1"/>
  <c r="V81" i="1" s="1"/>
  <c r="T825" i="1" l="1"/>
  <c r="U825" i="1" s="1"/>
  <c r="V825" i="1" s="1"/>
  <c r="T546" i="1"/>
  <c r="U546" i="1" s="1"/>
  <c r="V546" i="1" s="1"/>
  <c r="T352" i="1"/>
  <c r="U352" i="1" s="1"/>
  <c r="V352" i="1" s="1"/>
  <c r="T339" i="1"/>
  <c r="U339" i="1" s="1"/>
  <c r="V339" i="1" s="1"/>
  <c r="T541" i="1" l="1"/>
  <c r="U541" i="1" s="1"/>
  <c r="V541" i="1" s="1"/>
  <c r="T340" i="1"/>
  <c r="U340" i="1" s="1"/>
  <c r="V340" i="1" s="1"/>
  <c r="T341" i="1" l="1"/>
  <c r="T542" i="1"/>
  <c r="U542" i="1" s="1"/>
  <c r="V542" i="1" s="1"/>
  <c r="T547" i="1"/>
  <c r="U547" i="1" s="1"/>
  <c r="V547" i="1" s="1"/>
  <c r="T353" i="1"/>
  <c r="U353" i="1" s="1"/>
  <c r="V353" i="1" s="1"/>
  <c r="U341" i="1" l="1"/>
  <c r="V341" i="1" s="1"/>
  <c r="T358" i="1"/>
  <c r="T354" i="1"/>
  <c r="U354" i="1" s="1"/>
  <c r="V354" i="1" s="1"/>
  <c r="U358" i="1" l="1"/>
  <c r="V358" i="1" s="1"/>
  <c r="T84" i="1"/>
  <c r="U84" i="1" s="1"/>
  <c r="V84" i="1" s="1"/>
  <c r="T346" i="1"/>
  <c r="U346" i="1" l="1"/>
  <c r="V346" i="1" s="1"/>
  <c r="T64" i="1"/>
  <c r="U64" i="1" s="1"/>
  <c r="V64" i="1" s="1"/>
  <c r="T347" i="1"/>
  <c r="U347" i="1" s="1"/>
  <c r="V347" i="1" s="1"/>
  <c r="T530" i="1"/>
  <c r="U530" i="1" s="1"/>
  <c r="V530" i="1" s="1"/>
  <c r="T829" i="1"/>
  <c r="U829" i="1" s="1"/>
  <c r="V829" i="1" s="1"/>
  <c r="T537" i="1"/>
  <c r="U537" i="1" l="1"/>
  <c r="V537" i="1" s="1"/>
  <c r="T514" i="1"/>
  <c r="U514" i="1" s="1"/>
  <c r="V514" i="1" s="1"/>
  <c r="T830" i="1"/>
  <c r="U830" i="1" s="1"/>
  <c r="V830" i="1" s="1"/>
  <c r="T531" i="1"/>
  <c r="U531" i="1" s="1"/>
  <c r="V531" i="1" s="1"/>
  <c r="T548" i="1"/>
  <c r="U548" i="1" s="1"/>
  <c r="V548" i="1" s="1"/>
  <c r="T532" i="1" l="1"/>
  <c r="U532" i="1" s="1"/>
  <c r="V532" i="1" s="1"/>
  <c r="T359" i="1" l="1"/>
  <c r="U359" i="1" s="1"/>
  <c r="V359" i="1" s="1"/>
  <c r="T360" i="1" l="1"/>
  <c r="U360" i="1" s="1"/>
  <c r="V360" i="1" s="1"/>
  <c r="T362" i="1" l="1"/>
  <c r="U362" i="1" l="1"/>
  <c r="V362" i="1" s="1"/>
  <c r="T834" i="1"/>
  <c r="U834" i="1" s="1"/>
  <c r="V834" i="1" s="1"/>
  <c r="T363" i="1"/>
  <c r="U363" i="1" s="1"/>
  <c r="V363" i="1" s="1"/>
  <c r="T85" i="1" l="1"/>
  <c r="T349" i="1" l="1"/>
  <c r="U85" i="1"/>
  <c r="V85" i="1" s="1"/>
  <c r="T23" i="1"/>
  <c r="U23" i="1" s="1"/>
  <c r="V23" i="1" s="1"/>
  <c r="T364" i="1"/>
  <c r="U349" i="1" l="1"/>
  <c r="V349" i="1" s="1"/>
  <c r="T350" i="1"/>
  <c r="U350" i="1" s="1"/>
  <c r="V350" i="1" s="1"/>
  <c r="T71" i="1"/>
  <c r="U364" i="1"/>
  <c r="V364" i="1" s="1"/>
  <c r="T88" i="1"/>
  <c r="U88" i="1" s="1"/>
  <c r="V88" i="1" s="1"/>
  <c r="U71" i="1" l="1"/>
  <c r="V71" i="1" s="1"/>
  <c r="T810" i="1"/>
  <c r="T551" i="1"/>
  <c r="U551" i="1" s="1"/>
  <c r="V551" i="1" s="1"/>
  <c r="T811" i="1" l="1"/>
  <c r="U810" i="1"/>
  <c r="V810" i="1" s="1"/>
  <c r="T377" i="1"/>
  <c r="T842" i="1"/>
  <c r="T365" i="1"/>
  <c r="U365" i="1" s="1"/>
  <c r="V365" i="1" s="1"/>
  <c r="T72" i="1" l="1"/>
  <c r="U811" i="1"/>
  <c r="V811" i="1" s="1"/>
  <c r="U377" i="1"/>
  <c r="V377" i="1" s="1"/>
  <c r="T378" i="1"/>
  <c r="U378" i="1" s="1"/>
  <c r="V378" i="1" s="1"/>
  <c r="U842" i="1"/>
  <c r="V842" i="1" s="1"/>
  <c r="T598" i="1"/>
  <c r="T843" i="1"/>
  <c r="U843" i="1" s="1"/>
  <c r="V843" i="1" s="1"/>
  <c r="T366" i="1"/>
  <c r="U366" i="1" s="1"/>
  <c r="V366" i="1" s="1"/>
  <c r="T812" i="1" l="1"/>
  <c r="U72" i="1"/>
  <c r="V72" i="1" s="1"/>
  <c r="T900" i="1"/>
  <c r="U900" i="1" s="1"/>
  <c r="V900" i="1" s="1"/>
  <c r="U598" i="1"/>
  <c r="V598" i="1" s="1"/>
  <c r="T367" i="1"/>
  <c r="U367" i="1" s="1"/>
  <c r="V367" i="1" s="1"/>
  <c r="T844" i="1"/>
  <c r="U844" i="1" s="1"/>
  <c r="V844" i="1" s="1"/>
  <c r="T86" i="1"/>
  <c r="U86" i="1" s="1"/>
  <c r="V86" i="1" s="1"/>
  <c r="T73" i="1" l="1"/>
  <c r="U73" i="1" s="1"/>
  <c r="V73" i="1" s="1"/>
  <c r="U812" i="1"/>
  <c r="V812" i="1" s="1"/>
  <c r="T380" i="1"/>
  <c r="T89" i="1"/>
  <c r="U89" i="1" s="1"/>
  <c r="V89" i="1" s="1"/>
  <c r="T550" i="1"/>
  <c r="U550" i="1" s="1"/>
  <c r="V550" i="1" s="1"/>
  <c r="U380" i="1" l="1"/>
  <c r="V380" i="1" s="1"/>
  <c r="T381" i="1"/>
  <c r="U381" i="1" s="1"/>
  <c r="V381" i="1" s="1"/>
  <c r="T903" i="1"/>
  <c r="T94" i="1"/>
  <c r="U94" i="1" s="1"/>
  <c r="V94" i="1" s="1"/>
  <c r="T87" i="1"/>
  <c r="U87" i="1" s="1"/>
  <c r="V87" i="1" s="1"/>
  <c r="T902" i="1" l="1"/>
  <c r="U902" i="1" s="1"/>
  <c r="V902" i="1" s="1"/>
  <c r="U903" i="1"/>
  <c r="V903" i="1" s="1"/>
  <c r="T599" i="1"/>
  <c r="T904" i="1" s="1"/>
  <c r="U904" i="1" s="1"/>
  <c r="V904" i="1" s="1"/>
  <c r="U599" i="1" l="1"/>
  <c r="V599" i="1" s="1"/>
  <c r="T157" i="1"/>
  <c r="T371" i="1"/>
  <c r="U371" i="1" l="1"/>
  <c r="V371" i="1" s="1"/>
  <c r="T813" i="1"/>
  <c r="U157" i="1"/>
  <c r="V157" i="1" s="1"/>
  <c r="T600" i="1"/>
  <c r="U813" i="1" l="1"/>
  <c r="V813" i="1" s="1"/>
  <c r="T814" i="1"/>
  <c r="U600" i="1"/>
  <c r="V600" i="1" s="1"/>
  <c r="T905" i="1"/>
  <c r="T382" i="1" l="1"/>
  <c r="U382" i="1" s="1"/>
  <c r="V382" i="1" s="1"/>
  <c r="U814" i="1"/>
  <c r="V814" i="1" s="1"/>
  <c r="T815" i="1"/>
  <c r="U905" i="1"/>
  <c r="V905" i="1" s="1"/>
  <c r="T158" i="1"/>
  <c r="T757" i="1" s="1"/>
  <c r="U757" i="1" s="1"/>
  <c r="V757" i="1" s="1"/>
  <c r="T383" i="1" l="1"/>
  <c r="U383" i="1" s="1"/>
  <c r="V383" i="1" s="1"/>
  <c r="U815" i="1"/>
  <c r="V815" i="1" s="1"/>
  <c r="T816" i="1"/>
  <c r="U816" i="1" s="1"/>
  <c r="V816" i="1" s="1"/>
  <c r="U158" i="1"/>
  <c r="V158" i="1" s="1"/>
  <c r="T601" i="1"/>
  <c r="A495" i="1"/>
  <c r="L1" i="6"/>
  <c r="AG495" i="1"/>
  <c r="K14" i="6" a="1"/>
  <c r="K14" i="6" s="1"/>
  <c r="L14" i="6" s="1" a="1"/>
  <c r="L14" i="6" s="1"/>
  <c r="J14" i="6" s="1"/>
  <c r="K11" i="6" a="1"/>
  <c r="K11" i="6" s="1"/>
  <c r="L11" i="6" s="1" a="1"/>
  <c r="L11" i="6" s="1"/>
  <c r="J11" i="6" s="1"/>
  <c r="K21" i="6" a="1"/>
  <c r="K21" i="6" s="1"/>
  <c r="L21" i="6" s="1" a="1"/>
  <c r="L21" i="6" s="1"/>
  <c r="J21" i="6" s="1"/>
  <c r="K22" i="6" a="1"/>
  <c r="K22" i="6" s="1"/>
  <c r="L22" i="6" s="1" a="1"/>
  <c r="L22" i="6" s="1"/>
  <c r="J22" i="6" s="1"/>
  <c r="K7" i="6" a="1"/>
  <c r="K7" i="6" s="1"/>
  <c r="L7" i="6" s="1" a="1"/>
  <c r="L7" i="6" s="1"/>
  <c r="J7" i="6" s="1"/>
  <c r="K16" i="6" a="1"/>
  <c r="K16" i="6" s="1"/>
  <c r="L16" i="6" s="1" a="1"/>
  <c r="L16" i="6" s="1"/>
  <c r="J16" i="6" s="1"/>
  <c r="K15" i="6" a="1"/>
  <c r="K15" i="6" s="1"/>
  <c r="L15" i="6" s="1" a="1"/>
  <c r="L15" i="6" s="1"/>
  <c r="J15" i="6" s="1"/>
  <c r="K10" i="6" a="1"/>
  <c r="K10" i="6" s="1"/>
  <c r="L10" i="6" s="1" a="1"/>
  <c r="L10" i="6" s="1"/>
  <c r="J10" i="6" s="1"/>
  <c r="K26" i="6" a="1"/>
  <c r="K26" i="6" s="1"/>
  <c r="L26" i="6" s="1" a="1"/>
  <c r="L26" i="6" s="1"/>
  <c r="J26" i="6" s="1"/>
  <c r="K23" i="6" a="1"/>
  <c r="K23" i="6" s="1"/>
  <c r="L23" i="6" s="1" a="1"/>
  <c r="L23" i="6" s="1"/>
  <c r="J23" i="6" s="1"/>
  <c r="K17" i="6" a="1"/>
  <c r="K17" i="6" s="1"/>
  <c r="L17" i="6" s="1" a="1"/>
  <c r="L17" i="6" s="1"/>
  <c r="J17" i="6" s="1"/>
  <c r="K8" i="6" a="1"/>
  <c r="K8" i="6" s="1"/>
  <c r="L8" i="6" s="1" a="1"/>
  <c r="L8" i="6" s="1"/>
  <c r="J8" i="6" s="1"/>
  <c r="K19" i="6" a="1"/>
  <c r="K19" i="6" s="1"/>
  <c r="L19" i="6" s="1" a="1"/>
  <c r="L19" i="6" s="1"/>
  <c r="J19" i="6" s="1"/>
  <c r="K12" i="6" a="1"/>
  <c r="K12" i="6" s="1"/>
  <c r="L12" i="6" s="1" a="1"/>
  <c r="L12" i="6" s="1"/>
  <c r="J12" i="6" s="1"/>
  <c r="K13" i="6" a="1"/>
  <c r="K13" i="6" s="1"/>
  <c r="L13" i="6" s="1" a="1"/>
  <c r="L13" i="6" s="1"/>
  <c r="J13" i="6" s="1"/>
  <c r="AG767" i="1"/>
  <c r="A767" i="1"/>
  <c r="K18" i="6" a="1"/>
  <c r="K18" i="6" s="1"/>
  <c r="L18" i="6" s="1" a="1"/>
  <c r="L18" i="6" s="1"/>
  <c r="J18" i="6" s="1"/>
  <c r="K25" i="6" a="1"/>
  <c r="K25" i="6" s="1"/>
  <c r="L25" i="6" s="1" a="1"/>
  <c r="L25" i="6" s="1"/>
  <c r="J25" i="6" s="1"/>
  <c r="U601" i="1" l="1"/>
  <c r="V601" i="1" s="1"/>
  <c r="T906" i="1" l="1"/>
  <c r="U906" i="1" l="1"/>
  <c r="V906" i="1" s="1"/>
  <c r="T907" i="1"/>
  <c r="U907" i="1" l="1"/>
  <c r="V907" i="1" s="1"/>
  <c r="T602" i="1"/>
  <c r="U602" i="1" l="1"/>
  <c r="V602" i="1" s="1"/>
  <c r="T908" i="1"/>
  <c r="T384" i="1" s="1"/>
  <c r="U384" i="1" s="1"/>
  <c r="V384" i="1" s="1"/>
  <c r="U908" i="1" l="1"/>
  <c r="V908" i="1" s="1"/>
  <c r="T603" i="1"/>
  <c r="T604" i="1" l="1"/>
  <c r="U603" i="1"/>
  <c r="V603" i="1" s="1"/>
  <c r="U604" i="1" l="1"/>
  <c r="V604" i="1" s="1"/>
  <c r="T606" i="1"/>
  <c r="T385" i="1" l="1"/>
  <c r="U385" i="1" s="1"/>
  <c r="V385" i="1" s="1"/>
  <c r="T909" i="1"/>
  <c r="U606" i="1"/>
  <c r="V606" i="1" s="1"/>
  <c r="U909" i="1" l="1"/>
  <c r="V909" i="1" s="1"/>
  <c r="T910" i="1"/>
  <c r="U910" i="1" l="1"/>
  <c r="V910" i="1" s="1"/>
  <c r="T160" i="1"/>
  <c r="U160" i="1" l="1"/>
  <c r="V160" i="1" s="1"/>
  <c r="T608" i="1"/>
  <c r="T760" i="1" l="1"/>
  <c r="U608" i="1"/>
  <c r="V608" i="1" s="1"/>
  <c r="T161" i="1"/>
  <c r="U760" i="1" l="1"/>
  <c r="V760" i="1" s="1"/>
  <c r="T761" i="1"/>
  <c r="U761" i="1" s="1"/>
  <c r="V761" i="1" s="1"/>
  <c r="U161" i="1"/>
  <c r="V161" i="1" s="1"/>
  <c r="T911" i="1"/>
  <c r="U911" i="1" l="1"/>
  <c r="V911" i="1" s="1"/>
  <c r="T913" i="1" l="1"/>
  <c r="U913" i="1" l="1"/>
  <c r="V913" i="1" s="1"/>
  <c r="T610" i="1"/>
  <c r="U610" i="1" l="1"/>
  <c r="V610" i="1" s="1"/>
  <c r="T611" i="1"/>
  <c r="U611" i="1" l="1"/>
  <c r="V611" i="1" s="1"/>
  <c r="T163" i="1"/>
  <c r="U163" i="1" l="1"/>
  <c r="V163" i="1" s="1"/>
  <c r="T914" i="1"/>
  <c r="U914" i="1" l="1"/>
  <c r="V914" i="1" s="1"/>
  <c r="T612" i="1"/>
  <c r="T915" i="1" s="1"/>
  <c r="U915" i="1" s="1"/>
  <c r="V915" i="1" s="1"/>
  <c r="T916" i="1" l="1"/>
  <c r="U916" i="1" s="1"/>
  <c r="V916" i="1" s="1"/>
  <c r="T605" i="1"/>
  <c r="U605" i="1" s="1"/>
  <c r="V605" i="1" s="1"/>
  <c r="U612" i="1"/>
  <c r="V612" i="1" s="1"/>
  <c r="T164" i="1" l="1"/>
  <c r="U164" i="1" l="1"/>
  <c r="V164" i="1" s="1"/>
  <c r="T613" i="1"/>
  <c r="T607" i="1" s="1"/>
  <c r="U607" i="1" s="1"/>
  <c r="V607" i="1" s="1"/>
  <c r="U613" i="1" l="1"/>
  <c r="V613" i="1" s="1"/>
  <c r="T614" i="1"/>
  <c r="T386" i="1" s="1"/>
  <c r="U386" i="1" s="1"/>
  <c r="V386" i="1" s="1"/>
  <c r="U614" i="1" l="1"/>
  <c r="V614" i="1" s="1"/>
  <c r="T389" i="1"/>
  <c r="U389" i="1" l="1"/>
  <c r="V389" i="1" s="1"/>
  <c r="T617" i="1"/>
  <c r="T387" i="1" s="1"/>
  <c r="U387" i="1" s="1"/>
  <c r="V387" i="1" s="1"/>
  <c r="U617" i="1" l="1"/>
  <c r="V617" i="1" s="1"/>
  <c r="T919" i="1" l="1"/>
  <c r="T98" i="1"/>
  <c r="U919" i="1" l="1"/>
  <c r="V919" i="1" s="1"/>
  <c r="T390" i="1"/>
  <c r="U98" i="1"/>
  <c r="V98" i="1" s="1"/>
  <c r="T920" i="1" l="1"/>
  <c r="U920" i="1" s="1"/>
  <c r="V920" i="1" s="1"/>
  <c r="T100" i="1"/>
  <c r="U390" i="1"/>
  <c r="V390" i="1" s="1"/>
  <c r="T921" i="1"/>
  <c r="T391" i="1" s="1"/>
  <c r="U391" i="1" s="1"/>
  <c r="V391" i="1" s="1"/>
  <c r="T105" i="1"/>
  <c r="U100" i="1" l="1"/>
  <c r="V100" i="1" s="1"/>
  <c r="T101" i="1"/>
  <c r="U101" i="1" s="1"/>
  <c r="V101" i="1" s="1"/>
  <c r="U921" i="1"/>
  <c r="V921" i="1" s="1"/>
  <c r="T165" i="1"/>
  <c r="T112" i="1"/>
  <c r="U105" i="1"/>
  <c r="V105" i="1" s="1"/>
  <c r="U165" i="1" l="1"/>
  <c r="V165" i="1" s="1"/>
  <c r="T131" i="1"/>
  <c r="U112" i="1"/>
  <c r="V112" i="1" s="1"/>
  <c r="T922" i="1" l="1"/>
  <c r="U131" i="1"/>
  <c r="V131" i="1" s="1"/>
  <c r="T133" i="1"/>
  <c r="U922" i="1" l="1"/>
  <c r="V922" i="1" s="1"/>
  <c r="U133" i="1"/>
  <c r="V133" i="1" s="1"/>
  <c r="T135" i="1"/>
  <c r="T923" i="1" l="1"/>
  <c r="T849" i="1" s="1"/>
  <c r="U135" i="1"/>
  <c r="V135" i="1" s="1"/>
  <c r="U849" i="1" l="1"/>
  <c r="V849" i="1" s="1"/>
  <c r="T850" i="1"/>
  <c r="U923" i="1"/>
  <c r="V923" i="1" s="1"/>
  <c r="T618" i="1"/>
  <c r="U850" i="1" l="1"/>
  <c r="V850" i="1" s="1"/>
  <c r="U618" i="1"/>
  <c r="V618" i="1" s="1"/>
  <c r="T619" i="1"/>
  <c r="T581" i="1" l="1"/>
  <c r="U581" i="1" s="1"/>
  <c r="V581" i="1" s="1"/>
  <c r="U619" i="1"/>
  <c r="V619" i="1" s="1"/>
  <c r="T620" i="1"/>
  <c r="T587" i="1" l="1"/>
  <c r="U587" i="1" s="1"/>
  <c r="V587" i="1" s="1"/>
  <c r="T912" i="1"/>
  <c r="U912" i="1" s="1"/>
  <c r="V912" i="1" s="1"/>
  <c r="U620" i="1"/>
  <c r="V620" i="1" s="1"/>
  <c r="T392" i="1"/>
  <c r="T609" i="1" l="1"/>
  <c r="U392" i="1"/>
  <c r="V392" i="1" s="1"/>
  <c r="T622" i="1"/>
  <c r="U609" i="1" l="1"/>
  <c r="V609" i="1" s="1"/>
  <c r="T388" i="1"/>
  <c r="U388" i="1" s="1"/>
  <c r="V388" i="1" s="1"/>
  <c r="U622" i="1"/>
  <c r="V622" i="1" s="1"/>
  <c r="T623" i="1"/>
  <c r="T924" i="1" s="1"/>
  <c r="U924" i="1" l="1"/>
  <c r="V924" i="1" s="1"/>
  <c r="T873" i="1"/>
  <c r="U623" i="1"/>
  <c r="V623" i="1" s="1"/>
  <c r="U873" i="1" l="1"/>
  <c r="V873" i="1" s="1"/>
  <c r="T553" i="1" l="1"/>
  <c r="T847" i="1"/>
  <c r="U553" i="1" l="1"/>
  <c r="V553" i="1" s="1"/>
  <c r="T554" i="1"/>
  <c r="U554" i="1" s="1"/>
  <c r="V554" i="1" s="1"/>
  <c r="T168" i="1"/>
  <c r="U847" i="1"/>
  <c r="V847" i="1" s="1"/>
  <c r="T854" i="1"/>
  <c r="U168" i="1" l="1"/>
  <c r="V168" i="1" s="1"/>
  <c r="U854" i="1"/>
  <c r="V854" i="1" s="1"/>
  <c r="T868" i="1" l="1"/>
  <c r="U868" i="1" l="1"/>
  <c r="V868" i="1" s="1"/>
  <c r="T870" i="1"/>
  <c r="T170" i="1" l="1"/>
  <c r="U870" i="1"/>
  <c r="V870" i="1" s="1"/>
  <c r="T882" i="1"/>
  <c r="U882" i="1" s="1"/>
  <c r="V882" i="1" s="1"/>
  <c r="T172" i="1" l="1"/>
  <c r="U170" i="1"/>
  <c r="V170" i="1" s="1"/>
  <c r="U172" i="1" l="1"/>
  <c r="V172" i="1" s="1"/>
  <c r="T393" i="1"/>
  <c r="T929" i="1" s="1"/>
  <c r="U929" i="1" s="1"/>
  <c r="V929" i="1" s="1"/>
  <c r="U393" i="1" l="1"/>
  <c r="V393" i="1" s="1"/>
  <c r="T394" i="1"/>
  <c r="T817" i="1" l="1"/>
  <c r="U817" i="1" s="1"/>
  <c r="V817" i="1" s="1"/>
  <c r="U394" i="1"/>
  <c r="V394" i="1" s="1"/>
  <c r="T931" i="1"/>
  <c r="T395" i="1" s="1"/>
  <c r="U395" i="1" s="1"/>
  <c r="V395" i="1" s="1"/>
  <c r="T47" i="1"/>
  <c r="U47" i="1" s="1"/>
  <c r="V47" i="1" s="1"/>
  <c r="T930" i="1" l="1"/>
  <c r="U931" i="1"/>
  <c r="V931" i="1" s="1"/>
  <c r="T624" i="1"/>
  <c r="U930" i="1" l="1"/>
  <c r="V930" i="1" s="1"/>
  <c r="T173" i="1"/>
  <c r="U173" i="1" s="1"/>
  <c r="V173" i="1" s="1"/>
  <c r="T625" i="1"/>
  <c r="U624" i="1"/>
  <c r="V624" i="1" s="1"/>
  <c r="T174" i="1"/>
  <c r="T818" i="1" l="1"/>
  <c r="U625" i="1"/>
  <c r="V625" i="1" s="1"/>
  <c r="T626" i="1"/>
  <c r="U626" i="1" s="1"/>
  <c r="V626" i="1" s="1"/>
  <c r="U174" i="1"/>
  <c r="V174" i="1" s="1"/>
  <c r="T627" i="1"/>
  <c r="U818" i="1" l="1"/>
  <c r="V818" i="1" s="1"/>
  <c r="T819" i="1"/>
  <c r="U819" i="1" s="1"/>
  <c r="V819" i="1" s="1"/>
  <c r="U627" i="1"/>
  <c r="V627" i="1" s="1"/>
  <c r="T396" i="1"/>
  <c r="U396" i="1" l="1"/>
  <c r="V396" i="1" s="1"/>
  <c r="T932" i="1"/>
  <c r="U932" i="1" l="1"/>
  <c r="V932" i="1" s="1"/>
  <c r="T628" i="1"/>
  <c r="U628" i="1" l="1"/>
  <c r="V628" i="1" s="1"/>
  <c r="T629" i="1" l="1"/>
  <c r="T630" i="1" l="1"/>
  <c r="U630" i="1" s="1"/>
  <c r="V630" i="1" s="1"/>
  <c r="T398" i="1"/>
  <c r="U398" i="1" s="1"/>
  <c r="V398" i="1" s="1"/>
  <c r="U629" i="1"/>
  <c r="V629" i="1" s="1"/>
  <c r="T176" i="1" l="1"/>
  <c r="T631" i="1" l="1"/>
  <c r="T615" i="1" s="1"/>
  <c r="T399" i="1"/>
  <c r="T400" i="1" s="1"/>
  <c r="U176" i="1"/>
  <c r="V176" i="1" s="1"/>
  <c r="T621" i="1"/>
  <c r="U621" i="1" s="1"/>
  <c r="V621" i="1" s="1"/>
  <c r="U615" i="1" l="1"/>
  <c r="V615" i="1" s="1"/>
  <c r="T616" i="1"/>
  <c r="U616" i="1" s="1"/>
  <c r="V616" i="1" s="1"/>
  <c r="T632" i="1"/>
  <c r="U632" i="1" s="1"/>
  <c r="V632" i="1" s="1"/>
  <c r="U631" i="1"/>
  <c r="V631" i="1" s="1"/>
  <c r="U400" i="1"/>
  <c r="V400" i="1" s="1"/>
  <c r="T401" i="1"/>
  <c r="U399" i="1"/>
  <c r="V399" i="1" s="1"/>
  <c r="T402" i="1" l="1"/>
  <c r="T633" i="1" s="1"/>
  <c r="U633" i="1" s="1"/>
  <c r="V633" i="1" s="1"/>
  <c r="U401" i="1"/>
  <c r="V401" i="1" s="1"/>
  <c r="U402" i="1" l="1"/>
  <c r="V402" i="1" s="1"/>
  <c r="T634" i="1" l="1"/>
  <c r="U634" i="1" l="1"/>
  <c r="V634" i="1" s="1"/>
  <c r="T404" i="1"/>
  <c r="T635" i="1" s="1"/>
  <c r="U635" i="1" s="1"/>
  <c r="V635" i="1" s="1"/>
  <c r="U404" i="1" l="1"/>
  <c r="V404" i="1" s="1"/>
  <c r="T636" i="1"/>
  <c r="U636" i="1" l="1"/>
  <c r="V636" i="1" s="1"/>
  <c r="T933" i="1"/>
  <c r="T637" i="1" s="1"/>
  <c r="U637" i="1" s="1"/>
  <c r="V637" i="1" s="1"/>
  <c r="U933" i="1" l="1"/>
  <c r="V933" i="1" s="1"/>
  <c r="T180" i="1" l="1"/>
  <c r="U180" i="1" l="1"/>
  <c r="V180" i="1" s="1"/>
  <c r="T405" i="1"/>
  <c r="U405" i="1" l="1"/>
  <c r="V405" i="1" s="1"/>
  <c r="T406" i="1"/>
  <c r="U406" i="1" l="1"/>
  <c r="V406" i="1" s="1"/>
  <c r="T407" i="1"/>
  <c r="T543" i="1" l="1"/>
  <c r="U407" i="1"/>
  <c r="V407" i="1" s="1"/>
  <c r="T408" i="1"/>
  <c r="U543" i="1" l="1"/>
  <c r="V543" i="1" s="1"/>
  <c r="T544" i="1"/>
  <c r="U544" i="1" s="1"/>
  <c r="V544" i="1" s="1"/>
  <c r="U408" i="1"/>
  <c r="V408" i="1" s="1"/>
  <c r="T934" i="1"/>
  <c r="U934" i="1" l="1"/>
  <c r="V934" i="1" s="1"/>
  <c r="T638" i="1"/>
  <c r="T935" i="1" s="1"/>
  <c r="U935" i="1" s="1"/>
  <c r="V935" i="1" s="1"/>
  <c r="U638" i="1" l="1"/>
  <c r="V638" i="1" s="1"/>
  <c r="T409" i="1"/>
  <c r="U409" i="1" l="1"/>
  <c r="V409" i="1" s="1"/>
  <c r="T937" i="1"/>
  <c r="T181" i="1" s="1"/>
  <c r="U181" i="1" l="1"/>
  <c r="V181" i="1" s="1"/>
  <c r="T938" i="1"/>
  <c r="U937" i="1"/>
  <c r="V937" i="1" s="1"/>
  <c r="T936" i="1"/>
  <c r="U938" i="1" l="1"/>
  <c r="V938" i="1" s="1"/>
  <c r="T939" i="1"/>
  <c r="U936" i="1"/>
  <c r="V936" i="1" s="1"/>
  <c r="T639" i="1"/>
  <c r="T640" i="1" s="1"/>
  <c r="U640" i="1" s="1"/>
  <c r="V640" i="1" s="1"/>
  <c r="U939" i="1" l="1"/>
  <c r="V939" i="1" s="1"/>
  <c r="T940" i="1"/>
  <c r="U639" i="1"/>
  <c r="V639" i="1" s="1"/>
  <c r="T415" i="1"/>
  <c r="U940" i="1" l="1"/>
  <c r="V940" i="1" s="1"/>
  <c r="U415" i="1"/>
  <c r="V415" i="1" s="1"/>
  <c r="T414" i="1"/>
  <c r="U414" i="1" s="1"/>
  <c r="V414" i="1" s="1"/>
  <c r="T641" i="1" l="1"/>
  <c r="T183" i="1" s="1"/>
  <c r="U183" i="1" s="1"/>
  <c r="V183" i="1" s="1"/>
  <c r="U641" i="1" l="1"/>
  <c r="V641" i="1" s="1"/>
  <c r="T416" i="1"/>
  <c r="U416" i="1" l="1"/>
  <c r="V416" i="1" s="1"/>
  <c r="T184" i="1"/>
  <c r="T185" i="1" s="1"/>
  <c r="U185" i="1" s="1"/>
  <c r="V185" i="1" s="1"/>
  <c r="U184" i="1" l="1"/>
  <c r="V184" i="1" s="1"/>
  <c r="T826" i="1" l="1"/>
  <c r="U826" i="1" s="1"/>
  <c r="V826" i="1" s="1"/>
  <c r="T642" i="1"/>
  <c r="T418" i="1" s="1"/>
  <c r="U418" i="1" s="1"/>
  <c r="V418" i="1" s="1"/>
  <c r="T827" i="1" l="1"/>
  <c r="U827" i="1" s="1"/>
  <c r="V827" i="1" s="1"/>
  <c r="U642" i="1"/>
  <c r="V642" i="1" s="1"/>
  <c r="T643" i="1"/>
  <c r="U643" i="1" l="1"/>
  <c r="V643" i="1" s="1"/>
  <c r="T941" i="1"/>
  <c r="U941" i="1" l="1"/>
  <c r="V941" i="1" s="1"/>
  <c r="T942" i="1"/>
  <c r="U942" i="1" l="1"/>
  <c r="V942" i="1" s="1"/>
  <c r="T419" i="1"/>
  <c r="T828" i="1" l="1"/>
  <c r="U828" i="1" s="1"/>
  <c r="V828" i="1" s="1"/>
  <c r="U419" i="1"/>
  <c r="V419" i="1" s="1"/>
  <c r="T187" i="1"/>
  <c r="T188" i="1" l="1"/>
  <c r="T420" i="1" s="1"/>
  <c r="U420" i="1" s="1"/>
  <c r="V420" i="1" s="1"/>
  <c r="U187" i="1"/>
  <c r="V187" i="1" s="1"/>
  <c r="T421" i="1"/>
  <c r="U188" i="1" l="1"/>
  <c r="V188" i="1" s="1"/>
  <c r="T189" i="1"/>
  <c r="U189" i="1" s="1"/>
  <c r="V189" i="1" s="1"/>
  <c r="U421" i="1"/>
  <c r="V421" i="1" s="1"/>
  <c r="T943" i="1"/>
  <c r="U943" i="1" l="1"/>
  <c r="V943" i="1" s="1"/>
  <c r="T944" i="1"/>
  <c r="U944" i="1" l="1"/>
  <c r="V944" i="1" s="1"/>
  <c r="T422" i="1"/>
  <c r="T764" i="1" l="1"/>
  <c r="U422" i="1"/>
  <c r="V422" i="1" s="1"/>
  <c r="T190" i="1"/>
  <c r="U764" i="1" l="1"/>
  <c r="V764" i="1" s="1"/>
  <c r="T765" i="1"/>
  <c r="U190" i="1"/>
  <c r="V190" i="1" s="1"/>
  <c r="T644" i="1"/>
  <c r="T766" i="1" l="1"/>
  <c r="U765" i="1"/>
  <c r="V765" i="1" s="1"/>
  <c r="U644" i="1"/>
  <c r="V644" i="1" s="1"/>
  <c r="T423" i="1"/>
  <c r="T191" i="1" s="1"/>
  <c r="U191" i="1" s="1"/>
  <c r="V191" i="1" s="1"/>
  <c r="U766" i="1" l="1"/>
  <c r="V766" i="1" s="1"/>
  <c r="T767" i="1"/>
  <c r="U767" i="1" s="1"/>
  <c r="V767" i="1" s="1"/>
  <c r="U423" i="1"/>
  <c r="V423" i="1" s="1"/>
  <c r="T424" i="1"/>
  <c r="U424" i="1" l="1"/>
  <c r="V424" i="1" s="1"/>
  <c r="T945" i="1"/>
  <c r="T426" i="1" l="1"/>
  <c r="T361" i="1" s="1"/>
  <c r="U945" i="1"/>
  <c r="V945" i="1" s="1"/>
  <c r="U361" i="1" l="1"/>
  <c r="V361" i="1" s="1"/>
  <c r="T833" i="1"/>
  <c r="U833" i="1" s="1"/>
  <c r="V833" i="1" s="1"/>
  <c r="U426" i="1"/>
  <c r="V426" i="1" s="1"/>
  <c r="T946" i="1"/>
  <c r="U946" i="1" l="1"/>
  <c r="V946" i="1" s="1"/>
  <c r="T192" i="1"/>
  <c r="U192" i="1" l="1"/>
  <c r="V192" i="1" s="1"/>
  <c r="T427" i="1"/>
  <c r="T430" i="1" l="1"/>
  <c r="U430" i="1" s="1"/>
  <c r="V430" i="1" s="1"/>
  <c r="T432" i="1"/>
  <c r="T433" i="1" s="1"/>
  <c r="U433" i="1" s="1"/>
  <c r="V433" i="1" s="1"/>
  <c r="T835" i="1"/>
  <c r="T194" i="1"/>
  <c r="T431" i="1"/>
  <c r="T429" i="1"/>
  <c r="U429" i="1" s="1"/>
  <c r="V429" i="1" s="1"/>
  <c r="U427" i="1"/>
  <c r="V427" i="1" s="1"/>
  <c r="T403" i="1"/>
  <c r="U835" i="1" l="1"/>
  <c r="V835" i="1" s="1"/>
  <c r="T836" i="1"/>
  <c r="U432" i="1"/>
  <c r="V432" i="1" s="1"/>
  <c r="U194" i="1"/>
  <c r="V194" i="1" s="1"/>
  <c r="T434" i="1"/>
  <c r="U431" i="1"/>
  <c r="V431" i="1" s="1"/>
  <c r="T645" i="1"/>
  <c r="U403" i="1"/>
  <c r="V403" i="1" s="1"/>
  <c r="T413" i="1"/>
  <c r="U413" i="1" l="1"/>
  <c r="V413" i="1" s="1"/>
  <c r="T428" i="1"/>
  <c r="T201" i="1"/>
  <c r="U201" i="1" s="1"/>
  <c r="V201" i="1" s="1"/>
  <c r="U645" i="1"/>
  <c r="V645" i="1" s="1"/>
  <c r="T646" i="1"/>
  <c r="U646" i="1" s="1"/>
  <c r="V646" i="1" s="1"/>
  <c r="U836" i="1"/>
  <c r="V836" i="1" s="1"/>
  <c r="U434" i="1"/>
  <c r="V434" i="1" s="1"/>
  <c r="T436" i="1"/>
  <c r="T435" i="1" s="1"/>
  <c r="U435" i="1" s="1"/>
  <c r="V435" i="1" s="1"/>
  <c r="U428" i="1" l="1"/>
  <c r="V428" i="1" s="1"/>
  <c r="T193" i="1"/>
  <c r="U193" i="1" s="1"/>
  <c r="V193" i="1" s="1"/>
  <c r="U436" i="1"/>
  <c r="V436" i="1" s="1"/>
  <c r="T947" i="1"/>
  <c r="U947" i="1" l="1"/>
  <c r="V947" i="1" s="1"/>
  <c r="T948" i="1"/>
  <c r="U948" i="1" l="1"/>
  <c r="V948" i="1" s="1"/>
  <c r="T437" i="1"/>
  <c r="U437" i="1" l="1"/>
  <c r="V437" i="1" s="1"/>
  <c r="T195" i="1"/>
  <c r="U195" i="1" l="1"/>
  <c r="V195" i="1" s="1"/>
  <c r="T647" i="1"/>
  <c r="U647" i="1" l="1"/>
  <c r="V647" i="1" s="1"/>
  <c r="T648" i="1"/>
  <c r="U648" i="1" l="1"/>
  <c r="V648" i="1" s="1"/>
  <c r="T196" i="1"/>
  <c r="T649" i="1" l="1"/>
  <c r="U196" i="1"/>
  <c r="V196" i="1" s="1"/>
  <c r="U649" i="1" l="1"/>
  <c r="V649" i="1" s="1"/>
  <c r="T949" i="1"/>
  <c r="U949" i="1" l="1"/>
  <c r="V949" i="1" s="1"/>
  <c r="T197" i="1"/>
  <c r="T497" i="1" l="1"/>
  <c r="U497" i="1" s="1"/>
  <c r="V497" i="1" s="1"/>
  <c r="U197" i="1"/>
  <c r="V197" i="1" s="1"/>
  <c r="T438" i="1"/>
  <c r="T198" i="1" s="1"/>
  <c r="U198" i="1" s="1"/>
  <c r="V198" i="1" s="1"/>
  <c r="U438" i="1" l="1"/>
  <c r="V438" i="1" s="1"/>
  <c r="T439" i="1"/>
  <c r="T440" i="1" s="1"/>
  <c r="U440" i="1" s="1"/>
  <c r="V440" i="1" s="1"/>
  <c r="U439" i="1" l="1"/>
  <c r="V439" i="1" s="1"/>
  <c r="T441" i="1"/>
  <c r="U441" i="1" l="1"/>
  <c r="V441" i="1" s="1"/>
  <c r="T442" i="1"/>
  <c r="U442" i="1" s="1"/>
  <c r="V442" i="1" s="1"/>
  <c r="T368" i="1"/>
  <c r="T837" i="1" s="1"/>
  <c r="T582" i="1"/>
  <c r="U582" i="1" s="1"/>
  <c r="V582" i="1" s="1"/>
  <c r="T578" i="1"/>
  <c r="U578" i="1" s="1"/>
  <c r="V578" i="1" s="1"/>
  <c r="T865" i="1"/>
  <c r="T866" i="1" s="1"/>
  <c r="U866" i="1" s="1"/>
  <c r="V866" i="1" s="1"/>
  <c r="U837" i="1" l="1"/>
  <c r="V837" i="1" s="1"/>
  <c r="T838" i="1"/>
  <c r="U865" i="1"/>
  <c r="V865" i="1" s="1"/>
  <c r="T583" i="1"/>
  <c r="U583" i="1" s="1"/>
  <c r="V583" i="1" s="1"/>
  <c r="T579" i="1"/>
  <c r="U579" i="1" s="1"/>
  <c r="V579" i="1" s="1"/>
  <c r="T369" i="1"/>
  <c r="U368" i="1"/>
  <c r="V368" i="1" s="1"/>
  <c r="T410" i="1"/>
  <c r="T564" i="1"/>
  <c r="T117" i="1"/>
  <c r="T839" i="1" l="1"/>
  <c r="U838" i="1"/>
  <c r="V838" i="1" s="1"/>
  <c r="U117" i="1"/>
  <c r="V117" i="1" s="1"/>
  <c r="T118" i="1"/>
  <c r="U118" i="1" s="1"/>
  <c r="V118" i="1" s="1"/>
  <c r="U564" i="1"/>
  <c r="V564" i="1" s="1"/>
  <c r="T859" i="1"/>
  <c r="U410" i="1"/>
  <c r="V410" i="1" s="1"/>
  <c r="T411" i="1"/>
  <c r="T370" i="1"/>
  <c r="U370" i="1" s="1"/>
  <c r="V370" i="1" s="1"/>
  <c r="U369" i="1"/>
  <c r="V369" i="1" s="1"/>
  <c r="U839" i="1" l="1"/>
  <c r="V839" i="1" s="1"/>
  <c r="T840" i="1"/>
  <c r="U411" i="1"/>
  <c r="V411" i="1" s="1"/>
  <c r="T412" i="1"/>
  <c r="U412" i="1" s="1"/>
  <c r="V412" i="1" s="1"/>
  <c r="U859" i="1"/>
  <c r="V859" i="1" s="1"/>
  <c r="T565" i="1"/>
  <c r="U840" i="1" l="1"/>
  <c r="V840" i="1" s="1"/>
  <c r="T841" i="1"/>
  <c r="U841" i="1" s="1"/>
  <c r="V841" i="1" s="1"/>
  <c r="U565" i="1"/>
  <c r="V565" i="1" s="1"/>
  <c r="T860" i="1"/>
  <c r="U860" i="1" s="1"/>
  <c r="V860" i="1" s="1"/>
  <c r="T122" i="1"/>
  <c r="U122" i="1" s="1"/>
  <c r="V122" i="1" s="1"/>
  <c r="T495" i="1"/>
  <c r="T777" i="1" s="1"/>
  <c r="T310" i="1"/>
  <c r="U310" i="1" s="1"/>
  <c r="V310" i="1" s="1"/>
  <c r="T670" i="1"/>
  <c r="U670" i="1" s="1"/>
  <c r="V670" i="1" s="1"/>
  <c r="T123" i="1" l="1"/>
  <c r="U495" i="1"/>
  <c r="V495" i="1" s="1"/>
  <c r="T778" i="1"/>
  <c r="U778" i="1" s="1"/>
  <c r="V778" i="1" s="1"/>
  <c r="U777" i="1"/>
  <c r="V777" i="1" s="1"/>
  <c r="T671" i="1"/>
  <c r="T311" i="1"/>
  <c r="U123" i="1" l="1"/>
  <c r="V123" i="1" s="1"/>
  <c r="T124" i="1"/>
  <c r="U311" i="1"/>
  <c r="V311" i="1" s="1"/>
  <c r="T312" i="1"/>
  <c r="T672" i="1"/>
  <c r="U671" i="1"/>
  <c r="V671" i="1" s="1"/>
  <c r="U312" i="1" l="1"/>
  <c r="V312" i="1" s="1"/>
  <c r="T313" i="1"/>
  <c r="T788" i="1" s="1"/>
  <c r="U124" i="1"/>
  <c r="V124" i="1" s="1"/>
  <c r="T125" i="1"/>
  <c r="U672" i="1"/>
  <c r="V672" i="1" s="1"/>
  <c r="T673" i="1"/>
  <c r="T789" i="1" l="1"/>
  <c r="U788" i="1"/>
  <c r="V788" i="1" s="1"/>
  <c r="U313" i="1"/>
  <c r="V313" i="1" s="1"/>
  <c r="U673" i="1"/>
  <c r="V673" i="1" s="1"/>
  <c r="T674" i="1"/>
  <c r="U674" i="1" s="1"/>
  <c r="V674" i="1" s="1"/>
  <c r="U125" i="1"/>
  <c r="V125" i="1" s="1"/>
  <c r="T126" i="1"/>
  <c r="T790" i="1" l="1"/>
  <c r="U789" i="1"/>
  <c r="V789" i="1" s="1"/>
  <c r="T127" i="1"/>
  <c r="U126" i="1"/>
  <c r="V126" i="1" s="1"/>
  <c r="T791" i="1" l="1"/>
  <c r="U790" i="1"/>
  <c r="V790" i="1" s="1"/>
  <c r="U127" i="1"/>
  <c r="V127" i="1" s="1"/>
  <c r="T128" i="1"/>
  <c r="U128" i="1" s="1"/>
  <c r="V128" i="1" s="1"/>
  <c r="T792" i="1" l="1"/>
  <c r="T793" i="1" s="1"/>
  <c r="U791" i="1"/>
  <c r="V791" i="1" s="1"/>
  <c r="T794" i="1" l="1"/>
  <c r="U793" i="1"/>
  <c r="V793" i="1" s="1"/>
  <c r="U792" i="1"/>
  <c r="V792" i="1" s="1"/>
  <c r="T314" i="1"/>
  <c r="T795" i="1" l="1"/>
  <c r="U795" i="1" s="1"/>
  <c r="V795" i="1" s="1"/>
  <c r="U794" i="1"/>
  <c r="V794" i="1" s="1"/>
  <c r="T315" i="1"/>
  <c r="U314" i="1"/>
  <c r="V314" i="1" s="1"/>
  <c r="T316" i="1" l="1"/>
  <c r="U315" i="1"/>
  <c r="V315" i="1" s="1"/>
  <c r="U316" i="1" l="1"/>
  <c r="V316" i="1" s="1"/>
  <c r="T317" i="1"/>
  <c r="U317" i="1" l="1"/>
  <c r="V317" i="1" s="1"/>
  <c r="T318" i="1"/>
  <c r="U318" i="1" s="1"/>
  <c r="V3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<sst xmlns="http://schemas.openxmlformats.org/spreadsheetml/2006/main" count="13069" uniqueCount="1670">
  <si>
    <t>AJUSTE / MANUAL</t>
  </si>
  <si>
    <t>BASE DE DADOS - HISTÓRICO DE MANUTENÇÃO VALE</t>
  </si>
  <si>
    <t>AJUSTE - BUILD UP</t>
  </si>
  <si>
    <t>AJUSTE - SISTEMA</t>
  </si>
  <si>
    <t>BUILD UP</t>
  </si>
  <si>
    <t>SISTEMA</t>
  </si>
  <si>
    <t>Hora Inicio</t>
  </si>
  <si>
    <t>Hora Final</t>
  </si>
  <si>
    <t>Equipamento</t>
  </si>
  <si>
    <t>OM</t>
  </si>
  <si>
    <t>Cod Despacho</t>
  </si>
  <si>
    <t>Descricao Despacho</t>
  </si>
  <si>
    <t>Descricao Manutencao</t>
  </si>
  <si>
    <t>Tipo</t>
  </si>
  <si>
    <t>Comentario</t>
  </si>
  <si>
    <t>Sistema2</t>
  </si>
  <si>
    <t>Conjunto</t>
  </si>
  <si>
    <t>Item</t>
  </si>
  <si>
    <t>Problema</t>
  </si>
  <si>
    <t>Solução</t>
  </si>
  <si>
    <t>CARTA</t>
  </si>
  <si>
    <t>LOCOMOCAO</t>
  </si>
  <si>
    <t>ELETRICO</t>
  </si>
  <si>
    <t>MOTOR DE COMBUSTAO</t>
  </si>
  <si>
    <t>DIRECAO</t>
  </si>
  <si>
    <t>INSPEÇÃO</t>
  </si>
  <si>
    <t>ERRO DE APROPRIAÇÃO DE CÓDIGO</t>
  </si>
  <si>
    <t>REVISÃO DE 2000H</t>
  </si>
  <si>
    <t>ESTRUTURA</t>
  </si>
  <si>
    <t>PROPULSAO E RETARDO</t>
  </si>
  <si>
    <t>CABINE</t>
  </si>
  <si>
    <t>Inspeção</t>
  </si>
  <si>
    <t>INSPEÇÃO VALE</t>
  </si>
  <si>
    <t>DESPACHO</t>
  </si>
  <si>
    <t>Reparo Programado</t>
  </si>
  <si>
    <t>MOTOR DE COMBUSTÃO</t>
  </si>
  <si>
    <t>REVISÃO DE 250H</t>
  </si>
  <si>
    <t>AR CONDICIONADO</t>
  </si>
  <si>
    <t>SEM INFORMAÇÃO DA OPERAÇÃO</t>
  </si>
  <si>
    <t>SUSPENSAO</t>
  </si>
  <si>
    <t>SUSPENSÃO</t>
  </si>
  <si>
    <t>LOCOMOÇÃO</t>
  </si>
  <si>
    <t>CAS</t>
  </si>
  <si>
    <t>ARREFECIMENTO</t>
  </si>
  <si>
    <t>ELEVACAO</t>
  </si>
  <si>
    <t>REVISÃO DE 1500H</t>
  </si>
  <si>
    <t>FRENAGEM</t>
  </si>
  <si>
    <t>LUBRIFICACAO CENTRALIZADA</t>
  </si>
  <si>
    <t>REVISÃO DE 3000H</t>
  </si>
  <si>
    <t>RADIO VOZ</t>
  </si>
  <si>
    <t>REVISÃO DE 4000H</t>
  </si>
  <si>
    <t>REVISÃO DE 2500H</t>
  </si>
  <si>
    <t>Acidente operacional</t>
  </si>
  <si>
    <t>ELEVAÇÃO</t>
  </si>
  <si>
    <t>REVISÃO DE 1000H</t>
  </si>
  <si>
    <t>INSPEÇÃO DE PNEUS</t>
  </si>
  <si>
    <t>REVISÃO DE 500H</t>
  </si>
  <si>
    <t>NÃO IDENTIFICADO FALHA</t>
  </si>
  <si>
    <t>Corretivas</t>
  </si>
  <si>
    <t>PIT STOP</t>
  </si>
  <si>
    <t>INSPEÇÃO SENSITIVA</t>
  </si>
  <si>
    <t>EIXO TRASEIRO</t>
  </si>
  <si>
    <t>AUTOMAÇÃO</t>
  </si>
  <si>
    <t>AUTONOMO TRANSPORTE</t>
  </si>
  <si>
    <t>CFTV</t>
  </si>
  <si>
    <t>BORRACHARIA</t>
  </si>
  <si>
    <t>REVISÃO PREVENTIVA</t>
  </si>
  <si>
    <t>Preventivas</t>
  </si>
  <si>
    <t>SISTEMA DE FREIO</t>
  </si>
  <si>
    <t>LUBRIFICAÇÃO CENTRALIZADA</t>
  </si>
  <si>
    <t>ACIDENTE</t>
  </si>
  <si>
    <t>Build up</t>
  </si>
  <si>
    <t>Perfil de perdas</t>
  </si>
  <si>
    <t>Build Up Corretiva</t>
  </si>
  <si>
    <t>Build Up Preventia</t>
  </si>
  <si>
    <t>COD DESPACHO</t>
  </si>
  <si>
    <t>PERFIL</t>
  </si>
  <si>
    <t>Acessórios</t>
  </si>
  <si>
    <t>Man. Pneus</t>
  </si>
  <si>
    <t>BACKLOGS</t>
  </si>
  <si>
    <t>COMBATE INCENDIO</t>
  </si>
  <si>
    <t>Componente (Major e Minor)</t>
  </si>
  <si>
    <t>COMUNICACAO</t>
  </si>
  <si>
    <t>COMANDO FINAL</t>
  </si>
  <si>
    <t>MONI. PNEUS</t>
  </si>
  <si>
    <t>PM AUTOMAÇÃO</t>
  </si>
  <si>
    <t>TKPH</t>
  </si>
  <si>
    <t>SISTEMA ALERTA DE FADIGA</t>
  </si>
  <si>
    <t>REVISÃO DE 3500H</t>
  </si>
  <si>
    <t>PRODUTO/CORRETIVA CAT</t>
  </si>
  <si>
    <t>Produto/Corretiva Cat</t>
  </si>
  <si>
    <t>Radio Voz</t>
  </si>
  <si>
    <t>CLASSIFICAÇÃO - AUTOMÁTICO</t>
  </si>
  <si>
    <t>Ajuste - Cod. Despacho</t>
  </si>
  <si>
    <t>PRODUTO</t>
  </si>
  <si>
    <t>COMPONENTE</t>
  </si>
  <si>
    <t>-</t>
  </si>
  <si>
    <t>SISTEMA - HISTÓRICO</t>
  </si>
  <si>
    <t>SIM</t>
  </si>
  <si>
    <t>NÃO</t>
  </si>
  <si>
    <t>KING PIN</t>
  </si>
  <si>
    <t>Expurgo</t>
  </si>
  <si>
    <t>EXPURGO - FILHAS</t>
  </si>
  <si>
    <t>CHECK. EXP. MÃE</t>
  </si>
  <si>
    <t>SIM / NÃO</t>
  </si>
  <si>
    <t>DUR. EXP. FILHA</t>
  </si>
  <si>
    <t>CONT. OCOR.</t>
  </si>
  <si>
    <t>CLASSIFICAÇÃO.PRODUTO</t>
  </si>
  <si>
    <t>EXPURGO Filhas</t>
  </si>
  <si>
    <t>EXPURGO - AUTOMÁTICO</t>
  </si>
  <si>
    <t>EXPURGO Mãe</t>
  </si>
  <si>
    <t>DURAÇÃO - PRODUTO MANUAL</t>
  </si>
  <si>
    <t>DURAÇÃO - CARTA MANUAL</t>
  </si>
  <si>
    <t>DUR. PRODUTO</t>
  </si>
  <si>
    <t>DURAÇÃO - COMP. MANUAL</t>
  </si>
  <si>
    <t>Componente e Produto</t>
  </si>
  <si>
    <t>Duração Ocorrencia</t>
  </si>
  <si>
    <t>CLASSI.</t>
  </si>
  <si>
    <t>SISTEMA / PERFIL</t>
  </si>
  <si>
    <t>AJUSTE - EXPURGO (S/N)</t>
  </si>
  <si>
    <t>0 / 1</t>
  </si>
  <si>
    <t>AJUSTE - OCORRENCIA (0 / 1)</t>
  </si>
  <si>
    <t>MOTOR DE TRAÇÃO</t>
  </si>
  <si>
    <t>GERADOR</t>
  </si>
  <si>
    <t>COMPONENTE EM JANELA DE  PM</t>
  </si>
  <si>
    <t>Comentários Adicionais
(Componentes, produto e Cartas)</t>
  </si>
  <si>
    <t>DUR. COMPONENTE.PM</t>
  </si>
  <si>
    <t>CILINDRO DE DIREÇÃO</t>
  </si>
  <si>
    <t>CILINDRO DE ELEVAÇÃO</t>
  </si>
  <si>
    <t>Equipamentos</t>
  </si>
  <si>
    <t>Tipo da PM</t>
  </si>
  <si>
    <t>Data Programada</t>
  </si>
  <si>
    <t>Duração Programada</t>
  </si>
  <si>
    <t>Data da PM Realizada</t>
  </si>
  <si>
    <t>Termino Realizado</t>
  </si>
  <si>
    <t>Duração Tempo Realizado</t>
  </si>
  <si>
    <t>Meta</t>
  </si>
  <si>
    <t>HOUVER CORRETIVA ENTRE PM's</t>
  </si>
  <si>
    <t>TIPO PM</t>
  </si>
  <si>
    <t>PROGRAMADO X REALIZADO</t>
  </si>
  <si>
    <t>OCORRENCIA CORRETIVA OU PRÓXIMA PM</t>
  </si>
  <si>
    <t>DESCRIÇÃO OCORRENCIA.HISTORICO MANUT
FORMULA</t>
  </si>
  <si>
    <t>MTBF.PÓS.PM - DATA</t>
  </si>
  <si>
    <t>SEM OCORRENCIA</t>
  </si>
  <si>
    <t>HMC - Hora de Manutenção Corretiva</t>
  </si>
  <si>
    <t>MPNS - Hora Manutenção Preventiva não Sistemática</t>
  </si>
  <si>
    <t>MPS - Hora Manutenção Preventiva Sistemática</t>
  </si>
  <si>
    <t>HAC - Hora Acidente</t>
  </si>
  <si>
    <t>ACESSORIO</t>
  </si>
  <si>
    <t>HIDRAULICO</t>
  </si>
  <si>
    <t>ERRO DE APONTAMENTO</t>
  </si>
  <si>
    <t>SISTEMA MONIT. DE PNEUS</t>
  </si>
  <si>
    <t>SISTEMA AFEX</t>
  </si>
  <si>
    <t>SISTEMA ALERTA DE PROXIMIDADE</t>
  </si>
  <si>
    <t>CONTAMINAÇÃO</t>
  </si>
  <si>
    <t>50F</t>
  </si>
  <si>
    <t>250F</t>
  </si>
  <si>
    <t>PREVENTIVABORRACHARIA</t>
  </si>
  <si>
    <t>PREVENTIVAPITSTOP</t>
  </si>
  <si>
    <t>PREVENTIVA4000 HORAS</t>
  </si>
  <si>
    <t>PREVENTIVA3000 HORAS</t>
  </si>
  <si>
    <t>PREVENTIVA3500 HORAS</t>
  </si>
  <si>
    <t>PREVENTIVA2500 HORAS</t>
  </si>
  <si>
    <t>PREVENTIVA500 HORAS</t>
  </si>
  <si>
    <t>PREVENTIVA2000 HORAS</t>
  </si>
  <si>
    <t>PREVENTIVA1000 HORAS</t>
  </si>
  <si>
    <t>PREVENTIVA1500 HORAS</t>
  </si>
  <si>
    <t>PREVENTIVA50F</t>
  </si>
  <si>
    <t>PREVENTIVA250F</t>
  </si>
  <si>
    <t>PREVENTIVAMIDLIFE</t>
  </si>
  <si>
    <t>PREVENTIVA - MIDLIFE</t>
  </si>
  <si>
    <t>LUBRIFICAÇÃO</t>
  </si>
  <si>
    <t>HMC - EXEC MANUT</t>
  </si>
  <si>
    <t>MPNS - EXEC BORRACHARIA</t>
  </si>
  <si>
    <t>MPS - AG PECAS</t>
  </si>
  <si>
    <t>MPS - AG LAVADOR</t>
  </si>
  <si>
    <t>MPS - AG RECURSO/FERRAMENTAL</t>
  </si>
  <si>
    <t>MPS - AG LUBRIFICACAO</t>
  </si>
  <si>
    <t>MPS - AG LOCOMOCAO</t>
  </si>
  <si>
    <t>MPNS - AG GARANTIA / ASSIST TECNICA</t>
  </si>
  <si>
    <t>MPNS - AG LOCOMOCAO</t>
  </si>
  <si>
    <t>MPS - AG RADIO/DESPACHO/CAMERA</t>
  </si>
  <si>
    <t>MPS - AG MAU TEMPO</t>
  </si>
  <si>
    <t>MPS - AG BOX</t>
  </si>
  <si>
    <t>MPNS - AG AVALIACAO</t>
  </si>
  <si>
    <t>MPNS - AG LIBERACAO DE ACESSO</t>
  </si>
  <si>
    <t>MPNS - AG MAU TEMPO</t>
  </si>
  <si>
    <t>MPS - AG LIBERACAO DE ACESSO</t>
  </si>
  <si>
    <t>MPNS - AG BORRACHARIA</t>
  </si>
  <si>
    <t>HAC - AG MANUT ACIDENTE</t>
  </si>
  <si>
    <t>MPS - AG CONDICAO SEGURA</t>
  </si>
  <si>
    <t>MPS - AG BORRACHARIA</t>
  </si>
  <si>
    <t>HMC - AG PECAS</t>
  </si>
  <si>
    <t>MPS - AG APROVACAO</t>
  </si>
  <si>
    <t>MPS - AG OPERACAO</t>
  </si>
  <si>
    <t>MPS - AG ABASTECIMENTO</t>
  </si>
  <si>
    <t>EIXO DIANTEIRO</t>
  </si>
  <si>
    <t>ACESSORIO CLIENTE</t>
  </si>
  <si>
    <t>COLETA ANALISE</t>
  </si>
  <si>
    <t>CUBO DE RODA</t>
  </si>
  <si>
    <t>Rótulos de Linha</t>
  </si>
  <si>
    <t>Total Geral</t>
  </si>
  <si>
    <t>Soma de Duração Ocorrencia</t>
  </si>
  <si>
    <t>Mês</t>
  </si>
  <si>
    <t>9000</t>
  </si>
  <si>
    <t>8010</t>
  </si>
  <si>
    <t>dif. Mês</t>
  </si>
  <si>
    <t>PM+MIDLIFE</t>
  </si>
  <si>
    <t>CA1014KS103</t>
  </si>
  <si>
    <t>CA1014KS101</t>
  </si>
  <si>
    <t>Mãe</t>
  </si>
  <si>
    <t>9010</t>
  </si>
  <si>
    <t>9032</t>
  </si>
  <si>
    <t>HMC - EXEC BORRACHARIA</t>
  </si>
  <si>
    <t>HMC - EXEC TERCEIROS TRABALHANDO</t>
  </si>
  <si>
    <t>Elétrica</t>
  </si>
  <si>
    <t>Ar Condicionado - Compressor</t>
  </si>
  <si>
    <t>Mecânica</t>
  </si>
  <si>
    <t>Oleo</t>
  </si>
  <si>
    <t>Setor</t>
  </si>
  <si>
    <t>Causa</t>
  </si>
  <si>
    <t>Falha</t>
  </si>
  <si>
    <t>Eletrico - Cabine</t>
  </si>
  <si>
    <t>LUBRIFICACAO</t>
  </si>
  <si>
    <t>Eletrico - Bateria</t>
  </si>
  <si>
    <t>Bateria</t>
  </si>
  <si>
    <t>Tecnologia Operacional</t>
  </si>
  <si>
    <t>Despacho GPS</t>
  </si>
  <si>
    <t>CA1014KS104</t>
  </si>
  <si>
    <t>Borracharia</t>
  </si>
  <si>
    <t>Estrutura - Tanque Oleo</t>
  </si>
  <si>
    <t>HMC - AG MAU TEMPO</t>
  </si>
  <si>
    <t>CA1014KS102</t>
  </si>
  <si>
    <t>HMC - AG LOCOMOCAO</t>
  </si>
  <si>
    <t>TREM DE FORÇA</t>
  </si>
  <si>
    <t>TREM DE FORCA</t>
  </si>
  <si>
    <t>Chicote danificado</t>
  </si>
  <si>
    <t>TANQUE DE COMBUSTIVEL</t>
  </si>
  <si>
    <t>REPARAR</t>
  </si>
  <si>
    <t>Locomocao - Roda De</t>
  </si>
  <si>
    <t>000000000000</t>
  </si>
  <si>
    <t>Automação</t>
  </si>
  <si>
    <t>Pneu-Pressao</t>
  </si>
  <si>
    <t>1090</t>
  </si>
  <si>
    <t>HAC - EXEC MANUT ACIDENTE</t>
  </si>
  <si>
    <t>AVARIA NO TANQUE DE COMBUSTIVEL - 202506870735</t>
  </si>
  <si>
    <t>TANQUE</t>
  </si>
  <si>
    <t>202600046853</t>
  </si>
  <si>
    <t>202600057063</t>
  </si>
  <si>
    <t>202600065845</t>
  </si>
  <si>
    <t>202600065997</t>
  </si>
  <si>
    <t>Compressor-Avaria</t>
  </si>
  <si>
    <t>Botao</t>
  </si>
  <si>
    <t>Bateria-Carga</t>
  </si>
  <si>
    <t>Propulsao Retardo - Controle Operacao</t>
  </si>
  <si>
    <t>Sensor Pres. Atmosf-Queima</t>
  </si>
  <si>
    <t>Locomocao - Roda Tde</t>
  </si>
  <si>
    <t>Motor diesel</t>
  </si>
  <si>
    <t>Filtro de Combustivel</t>
  </si>
  <si>
    <t>Rádio De Voz - Fonte Queimada</t>
  </si>
  <si>
    <t>Rádio De Voz - Sem Alimentação</t>
  </si>
  <si>
    <t>202506860641 FALHA NO ARCONDICIONADO  - 202506860641 -</t>
  </si>
  <si>
    <t>FALHA NA PARTIDA - 202600015593 REALIZADO ABASTECIMENTO NO TANQUE DIESEL MT: 1150217</t>
  </si>
  <si>
    <t>FALHA NA PARTIDA DO MOTOR DIESEL - RETROAGIR CODIGO (BOTOEIRA DE INTERTRAVAMENTO ATUADA)</t>
  </si>
  <si>
    <t>FALHA NA PARTIDA - SUBSTITUIDO BATERIAS  - 202600034791</t>
  </si>
  <si>
    <t>FALHA NO FREIO RETARDO - SUBSTITUÍDO O SENSOR DE LIBERAÇÃO DO FREIO TRASEIRO LD</t>
  </si>
  <si>
    <t>FALHA NA PARTIDA - 202600036860</t>
  </si>
  <si>
    <t>FALHA DE COMUNICAÇÃO GPS. SUBSTITUIDO CABO DA ANTENA DO GPS. 202600044444</t>
  </si>
  <si>
    <t>TM_3 - BAIXA PRESSÃO DE AR PNEU TRASEIRO DIREITO EXTERNO - 202600046853 - REGULARIZAR PRESSÃO DO PNEU TDE</t>
  </si>
  <si>
    <t>202600057063 VAZAMENTO DE DISEL - SUBS MANGUERIA DO OLEO</t>
  </si>
  <si>
    <t>BAIXA PRESSÃO DE AR DO PNEU -202600066068 CALIBRADO  PNEU (DE) MT:81036838</t>
  </si>
  <si>
    <t>FALHA NO AR CONDICIONADO - 202600065845 - SUBSTITUIDO  COMPRESSOR DO A/C MT: 1150588</t>
  </si>
  <si>
    <t>FALHA DE COMUNICAÇÃO - 202600065997  SUBSTITUIDO  BATERIA DA FONTE DO RADIO AVI MT: 419610</t>
  </si>
  <si>
    <t>COMPRESSOR</t>
  </si>
  <si>
    <t xml:space="preserve">COMPRESSOR </t>
  </si>
  <si>
    <t>AVARIA</t>
  </si>
  <si>
    <t>SUBSTITUIR</t>
  </si>
  <si>
    <t>COMBUSTIVEL</t>
  </si>
  <si>
    <t>OLEO DIESEL</t>
  </si>
  <si>
    <t>BAIXO NIVEL</t>
  </si>
  <si>
    <t>COMPLETAR</t>
  </si>
  <si>
    <t>MODO SHUTDOWN</t>
  </si>
  <si>
    <t>FALHA</t>
  </si>
  <si>
    <t>CORRIGIR</t>
  </si>
  <si>
    <t>BATERIA</t>
  </si>
  <si>
    <t>TERMINAL</t>
  </si>
  <si>
    <t>FOLGA</t>
  </si>
  <si>
    <t>SENSOR DE LIBERACAO</t>
  </si>
  <si>
    <t>MOTOR DE PARTIDA</t>
  </si>
  <si>
    <t>GPS</t>
  </si>
  <si>
    <t>CABO/FIACAO</t>
  </si>
  <si>
    <t>PNEU</t>
  </si>
  <si>
    <t>BAIXA PRESSAO</t>
  </si>
  <si>
    <t>RODA TDE</t>
  </si>
  <si>
    <t>CALIBRAR</t>
  </si>
  <si>
    <t>FREIO</t>
  </si>
  <si>
    <t>MANG. FILTRO</t>
  </si>
  <si>
    <t>VAZAMENTO</t>
  </si>
  <si>
    <t>RODA DE</t>
  </si>
  <si>
    <t>RADIO</t>
  </si>
  <si>
    <t>7116</t>
  </si>
  <si>
    <t>7000</t>
  </si>
  <si>
    <t>7011</t>
  </si>
  <si>
    <t>202600077016</t>
  </si>
  <si>
    <t>202600082410</t>
  </si>
  <si>
    <t>202600085645</t>
  </si>
  <si>
    <t>202600150281</t>
  </si>
  <si>
    <t>202600159125</t>
  </si>
  <si>
    <t>202600171215</t>
  </si>
  <si>
    <t>202600180626</t>
  </si>
  <si>
    <t>MPS - EXEC MANUT</t>
  </si>
  <si>
    <t>MPS - EXEC LAVADOR</t>
  </si>
  <si>
    <t>Rádio Lte - Fonte Queimada</t>
  </si>
  <si>
    <t>Rádio - Sem Alimentação</t>
  </si>
  <si>
    <t>Ar Condicionado - Linha Gas</t>
  </si>
  <si>
    <t>Mangueira/Fixação</t>
  </si>
  <si>
    <t>Estrutura - Cabine</t>
  </si>
  <si>
    <t>Transmis Forca - Comando Final Td</t>
  </si>
  <si>
    <t>Vedação-Vazamento</t>
  </si>
  <si>
    <t>Escada</t>
  </si>
  <si>
    <t>Rádio De Voz - Conector Danificado</t>
  </si>
  <si>
    <t>Rádio De Voz - Falha Comunicação</t>
  </si>
  <si>
    <t>202600077016 FALHA DE COMUNICAÇÃO - TROCA DA FONTE DO RADIO AVI</t>
  </si>
  <si>
    <t>202600082410 AR CONDICIONADO - REALIZADO LIMPEZA NO AR CONDICONADO , SUBSTITUIDO FILTRO DESSECANTE E COMPLETADO CARGA DE GÁS</t>
  </si>
  <si>
    <t>BAIXA PRESSÃO DE AR DO PNEU - 202600085645 - REALIZADO CALIBRAGEM DO PNEU TRASEIRO DIREITO EXTERNO MT: 81036838</t>
  </si>
  <si>
    <t>FALHA NA PARTIDA/ REALIZADO DUBLAGEM DAS BATERIAS 202600159125</t>
  </si>
  <si>
    <t>MACHINE GEN Started a delay: MPNS - Exec borracharia</t>
  </si>
  <si>
    <t>FALHA NA PARTIDA - CORRIGIR ALIMENTAÇÃO DO SISTEMA DE PARTIDA - 202600171215</t>
  </si>
  <si>
    <t>202600179296 TRAVA DA ESCADA DE EMERGENCIA  DANIFICADA-INSTALADO TRAVA DA ESCADA DE EMERGÊNCIA</t>
  </si>
  <si>
    <t>202600180626 FALHA NO AVI -SUBSTITUIDO RÁDIO AVI</t>
  </si>
  <si>
    <t>BAIXA PRESSÃO DE AR DO PNEU TRASEIRO - 202600184066 CALIBRADO PNEU (TDE) MT: 81036838</t>
  </si>
  <si>
    <t>FILTRO</t>
  </si>
  <si>
    <t>LINHA DE GAS</t>
  </si>
  <si>
    <t>OBSTRUIDO</t>
  </si>
  <si>
    <t xml:space="preserve">NAO IDENTIFICADO </t>
  </si>
  <si>
    <t>DUOCONE</t>
  </si>
  <si>
    <t>BAIXA TENSAO</t>
  </si>
  <si>
    <t>DUBLAR</t>
  </si>
  <si>
    <t>ESCADA DE EMERGENCIA</t>
  </si>
  <si>
    <t>TRAVA</t>
  </si>
  <si>
    <t>PREVENTIVA</t>
  </si>
  <si>
    <t>1000 HORAS</t>
  </si>
  <si>
    <t>PM: 1000h + 11 BL's</t>
  </si>
  <si>
    <t>8110</t>
  </si>
  <si>
    <t>FALHA NO DETECT - 202600186361 - SUBSTITUIDO SENSOR DE DETECÇÃO DE OBJETOS MT: 1150217</t>
  </si>
  <si>
    <t>falha no exagon/ERRO DE COMUNICAÇÃO - 202600221471 REALIZADO LIMPEZA NA PORTA FUSIVEL MT: 938</t>
  </si>
  <si>
    <t>BAIXA PRESSÃO DO PNEU TEE</t>
  </si>
  <si>
    <t>REGULARIZAR PRESSÃO DO PNEU TDE E TDI	202600250510</t>
  </si>
  <si>
    <t>BAIXA PRESSÃO DO PNEU, PDE</t>
  </si>
  <si>
    <t>Estrutura</t>
  </si>
  <si>
    <t>Fixações</t>
  </si>
  <si>
    <t>202600186361</t>
  </si>
  <si>
    <t>202600221471</t>
  </si>
  <si>
    <t>PORTA FUSIVEL</t>
  </si>
  <si>
    <t>SUJEIRA</t>
  </si>
  <si>
    <t>LIMPAR</t>
  </si>
  <si>
    <t>RODA TEE</t>
  </si>
  <si>
    <t>RODA TRASEIRA</t>
  </si>
  <si>
    <t>MPNS - EXEC SIST EMBARCADOS/AUTOMACAO</t>
  </si>
  <si>
    <t>MPNS - EXEC MECANICA</t>
  </si>
  <si>
    <t>MPNS - EXEC TERCEIROS TRABALHANDO</t>
  </si>
  <si>
    <t>8031</t>
  </si>
  <si>
    <t>7111</t>
  </si>
  <si>
    <t>8001</t>
  </si>
  <si>
    <t>8032</t>
  </si>
  <si>
    <t>202600295294</t>
  </si>
  <si>
    <t>202600308019</t>
  </si>
  <si>
    <t>202600314774</t>
  </si>
  <si>
    <t>202600316100</t>
  </si>
  <si>
    <t>202600328535</t>
  </si>
  <si>
    <t>202600397699</t>
  </si>
  <si>
    <t>202600428018</t>
  </si>
  <si>
    <t>202600437333</t>
  </si>
  <si>
    <t>202600456767</t>
  </si>
  <si>
    <t>202600477886</t>
  </si>
  <si>
    <t>202600479210</t>
  </si>
  <si>
    <t>202600496379</t>
  </si>
  <si>
    <t>FALHA NO AR CONDICIONADO - SUBSTITUIR COMPRESSOR - 202600295294 SUBSTITUIDO MANGUEIRA DE BAIXA PRESSÃO E COMPLETADO RECARGA DE GÁS  MATR 1150588</t>
  </si>
  <si>
    <t>BAIXA PRESSÃO DO OLEO DO MOTOR  - 202600308019 ( agrd comboio 19:50)  COMPLETADO NIVEL DO OLEO HD MT: 1150588</t>
  </si>
  <si>
    <t>baixa nível de óleo hidráulico- 202600308490 - COMPLETADO  NÍVEL DE ÓLEO HIDRÁULICO MT: 1150588</t>
  </si>
  <si>
    <t>TROCA DA MANGUEIRA</t>
  </si>
  <si>
    <t>BAIXA PRESSÃO DO PNEU TEE - 202600314774  CALIBRADO PNEU TEE- MT: 01544603</t>
  </si>
  <si>
    <t>202600328535 BAIXA PRESSÃO DE AR NO PNEU (TDE) ( AG. MAU TEMPO) CALIBRADO PNEU TDE</t>
  </si>
  <si>
    <t>MACHINE GEN Started a delay: MPNS - Exec mecanica</t>
  </si>
  <si>
    <t>SEM PARTIDA - REALIZAR SUBSTITUIÇÃO DAS BATERIAS - 202600397699</t>
  </si>
  <si>
    <t>CREARE -EQUIPAMENTO COM CÂMERA DESLOCADA - 202600395267</t>
  </si>
  <si>
    <t>CREARE</t>
  </si>
  <si>
    <t>creare</t>
  </si>
  <si>
    <t>202600428018- DESLIGAMENTO INVOLUNTARIO- REALIZADO INSPEÇÃO NAO ENCONTRADO FALHA DE DESLIGAMENTO NO EQUIPAMENTO</t>
  </si>
  <si>
    <t>BAIXO NIVEL DO OLEO DO MOTOR -  202600434500  REINSTABELECIDO ALIMENTAÇÃO E SINAL DO SENSOR DE BAIXO NIVEL DE OLEO DO MOTOR 1150588</t>
  </si>
  <si>
    <t>BAIXO NIVEL DO OLEO DA TRANSMISSÃO - 202600437333 COMPLETADO NÍVEL DE ÓLEO DA TRANSMISSÃO MTR 1150588</t>
  </si>
  <si>
    <t>BAIXA PRESSAO DO PNEU DD  - 202600446355  REALIZADO CALIBRAGEM DO PNEU DD  MT:81036838</t>
  </si>
  <si>
    <t>FALHA NO ALERTA DE PROXIMIDADE - SUBSTITUIDO CARCAÇA DO ATERRAMENTO DO HEXAGON</t>
  </si>
  <si>
    <t>FALHA DE COMUNICAÇÃO  - 202600456767 REALIZADO   RETIRADO FONTE MT: 1150008</t>
  </si>
  <si>
    <t>FALHA NA COMUNICAÇÃO- 202600456767 REALIZADO A TROCA DO CABO DO DISPLAY MT: 1150008</t>
  </si>
  <si>
    <t>FALHA NA COMUNICAÇÃO- REALIZADO A TROCA DO CABO DO DISPLAY MT: 1150008</t>
  </si>
  <si>
    <t>BAIXO RENDIMENTO - REALIZAR DRENAGEM DOS FILTROS SEPARADORES DE COMBUSTÍVEL - 202600477886</t>
  </si>
  <si>
    <t>FALHA NO GPS - 202600479210 - CORRIGIDO FALHA</t>
  </si>
  <si>
    <t>TM_3 - ALARME BAIXO NÍVEL DE ÓLEO DA DIREÇÃO - 202600479500 - REALIZAR INSPEÇÃO E VERIFICAR POSSÍVEIS VAZAMENTO E COMPLETAR ÓLEO DA DIREÇÃO</t>
  </si>
  <si>
    <t>VAZAMENTO NA MANGUEIRA DO FILTRO DE COMBUSTIVEL - SUBSTITUIR FILTRO SEPARADOR DE ÁGUA - 202600496379</t>
  </si>
  <si>
    <t>CALIBRAR PNEU TEE</t>
  </si>
  <si>
    <t>Compressor-Pressao</t>
  </si>
  <si>
    <t>Estrutura - Tanque Combustivel</t>
  </si>
  <si>
    <t>Oleo-Nivel Baixo</t>
  </si>
  <si>
    <t>Locomocao - Roda Tee</t>
  </si>
  <si>
    <t>Direcao - Tanque Oleo</t>
  </si>
  <si>
    <t>Motor Combustao - Motor Combustao</t>
  </si>
  <si>
    <t>Motor Combustao-Travamento</t>
  </si>
  <si>
    <t>Eletrico - Motor Combustao</t>
  </si>
  <si>
    <t>Monitor-Alimentacao</t>
  </si>
  <si>
    <t>Elevacao - Tanque Oleo</t>
  </si>
  <si>
    <t>Locomocao - Roda Dd</t>
  </si>
  <si>
    <t>Alerta De Proximidade - Cabo Danificado</t>
  </si>
  <si>
    <t>Gps - Falha Comunicação</t>
  </si>
  <si>
    <t>Motor Combustao - Combustivel</t>
  </si>
  <si>
    <t>Filtro Separador Agua-Obstrucao</t>
  </si>
  <si>
    <t>Tecnologia Telecom Global</t>
  </si>
  <si>
    <t>Controller</t>
  </si>
  <si>
    <t>Falha de Comunicação</t>
  </si>
  <si>
    <t>Direcao - Hidraulico</t>
  </si>
  <si>
    <t>Acumulador</t>
  </si>
  <si>
    <t>Filtro Separador de Agua</t>
  </si>
  <si>
    <t>OLEO</t>
  </si>
  <si>
    <t>TANQUE HIDRAULICO</t>
  </si>
  <si>
    <t>MOTOR COMBUSTAO</t>
  </si>
  <si>
    <t>SENSOR DE NIVEL DE OLEO</t>
  </si>
  <si>
    <t>CURTO CIRCUITO</t>
  </si>
  <si>
    <t>RODA DD</t>
  </si>
  <si>
    <t>HEXAGON</t>
  </si>
  <si>
    <t>ATERRAMENTO</t>
  </si>
  <si>
    <t>FONTE</t>
  </si>
  <si>
    <t>FILTRO SEPARADOR</t>
  </si>
  <si>
    <t>500 HORAS</t>
  </si>
  <si>
    <t>PM: 500h + 09 BL's</t>
  </si>
  <si>
    <t>PM: 500h + 06 BL's</t>
  </si>
  <si>
    <t>PM: 500h + 06 BL's - iníciou lavagem às 14:10</t>
  </si>
  <si>
    <t>PITSTOP</t>
  </si>
  <si>
    <t>PM: 250h</t>
  </si>
  <si>
    <t>PM: 250h + 13 BL's</t>
  </si>
  <si>
    <t>202600548262</t>
  </si>
  <si>
    <t>202600565627</t>
  </si>
  <si>
    <t>202600571557</t>
  </si>
  <si>
    <t>MACHINE GEN Atraso iniciado: Refeicao</t>
  </si>
  <si>
    <t>BAIXO RENDIMENTO - SUBSTITUIDO SENSOR DE PRESSÃO CREMALHEIRA DE COMBUSTÍVEL ORDEM:202600548262</t>
  </si>
  <si>
    <t>MACHINE GEN Atraso iniciado: Troca de operador</t>
  </si>
  <si>
    <t>MACHINE GEN Started a delay: HMC - Exec terceiros trabalhando</t>
  </si>
  <si>
    <t>DIAGNOSTICAR FALHA DE COMUNICAÇÃO 202600558610</t>
  </si>
  <si>
    <t>202600560128- DIAGNOSTICAR DESLIGAMENTO INVOLUNTARIO- CORRIGIDO FALHA NO SENSOR DO ARREFECIMENTO DOS FREIOS</t>
  </si>
  <si>
    <t>FALHA NA COMUNICAÇÃO  - 202600563500 REALIZADO LIMPEZA DA CONEXÃO DA ANTENA</t>
  </si>
  <si>
    <t>SUBSTITUIÇÃO DO RETROVISOR - 202600565627  SUBSTITUIDO RETROVISOR L/E  MT:2201636</t>
  </si>
  <si>
    <t>202600571557- BAIXO NIVEL DO LIQUIDO ARREFECEDOR / DESLIGAMENTO INVOLUNTARIO- COMPLETADO 200LT DE OLEO</t>
  </si>
  <si>
    <t>ALARME PRESSÃO DOS FREIOS   202600574185 - NÃO IDENTIFICADO FALHA NO EQUIPAMENTO.</t>
  </si>
  <si>
    <t>Bomba De Transferencia-Pressao</t>
  </si>
  <si>
    <t>Motor Combustao - Arrefecimento</t>
  </si>
  <si>
    <t>Indicador Nivel-Mau Contato</t>
  </si>
  <si>
    <t>Despacho - Antena Danificada</t>
  </si>
  <si>
    <t>Espelho Retrovisor Externo Le</t>
  </si>
  <si>
    <t>Liquido Arrefecimento-Nivel Baixo</t>
  </si>
  <si>
    <t>SENSOR DE PRESSAO</t>
  </si>
  <si>
    <t>SWITCH BY-PASS</t>
  </si>
  <si>
    <t>ALIMENTACAO</t>
  </si>
  <si>
    <t>ANTENA</t>
  </si>
  <si>
    <t>RETROVISOR LE</t>
  </si>
  <si>
    <t>BAIXA VISIBILIDADE</t>
  </si>
  <si>
    <t>LIQUIDO ARREFECIMENTO</t>
  </si>
  <si>
    <t>202600034792</t>
  </si>
  <si>
    <t>202600035971</t>
  </si>
  <si>
    <t>202600046030</t>
  </si>
  <si>
    <t>Motor Combustao - Injecao</t>
  </si>
  <si>
    <t>Vedacao</t>
  </si>
  <si>
    <t>SEM PARTIDA - SEM ATUAÇÃO DA MANUTENÇÃO.</t>
  </si>
  <si>
    <t>BAIXA PRESSÃO PNEU TEE - CALIBRADO O PNEU TEE, TEI E O TDI-  202600035971</t>
  </si>
  <si>
    <t>VAZAMENTO DE COMBUSTÍVEL- CORRIGIDO VAZAMENTO NO TUBO DA BOMBA DE ALTA PRESSÃO DE COMBUSTÍVEL  202600046030</t>
  </si>
  <si>
    <t>BAXIA PRESSAO</t>
  </si>
  <si>
    <t>MANGUEIRA</t>
  </si>
  <si>
    <t>202600057060</t>
  </si>
  <si>
    <t>202600057060 FALHA NO FREIO ESTACIONARIO - SENSOR DE PRESSAO DO FREIO LD</t>
  </si>
  <si>
    <t>Eletrico - Frenagem</t>
  </si>
  <si>
    <t>Pressostato</t>
  </si>
  <si>
    <t>MAU CONTATO</t>
  </si>
  <si>
    <t>MPS - EXEC BORRACHARIA</t>
  </si>
  <si>
    <t>7010</t>
  </si>
  <si>
    <t>MACHINE GEN Started a delay: MPS - Exec borracharia</t>
  </si>
  <si>
    <t>202600600856</t>
  </si>
  <si>
    <t>202600625397</t>
  </si>
  <si>
    <t>ALARMANDO SHUTDOWN. - 202600586135   NÃO IDENTIFICADO FALHA, REALIZADO LIMPEZA NO CONECTOR DO  SHUTDOWN.</t>
  </si>
  <si>
    <t>DESLIGAMENTO INVOLUNTÁRIO - REPOSICIONAR PONTE DAS BATERIAS - 202600586939</t>
  </si>
  <si>
    <t>DESLIGAMENTO INVOLUNTÁRIO. - 202600600856   SUBSTITUIDO FILTRO DE COMBUSTIVEL PRIMÁRIO E SECUNDARIO.</t>
  </si>
  <si>
    <t>PROJETO CREARE</t>
  </si>
  <si>
    <t>ALTA TEMPERATURA DOS FREIOS E FALHA NA ELEVAÇÃO DA BÁSCULA - DRENAR ÓLEO DO SISTEMA HIDRÁULICO E FREIO E REALIZAR TESTES NO SISTEMA DE ELEVAÇÃO - 202600628104</t>
  </si>
  <si>
    <t>BAIXO NIVEL DO OLEO DA DIREÇÃO - COMPLETAR ÓLEO D AC DIREÇÃO E VERIFICAR NÍVEIS - 202600625397</t>
  </si>
  <si>
    <t>Eletrico - Painel Controle</t>
  </si>
  <si>
    <t>Painel</t>
  </si>
  <si>
    <t>Filtro Secundario</t>
  </si>
  <si>
    <t>Bomba de Oleo</t>
  </si>
  <si>
    <t>CONEXAO SHUTDOWN</t>
  </si>
  <si>
    <t>APERTAR</t>
  </si>
  <si>
    <t>BOMBA ALTA</t>
  </si>
  <si>
    <t>BAIXA EFICIÊNCIA DO MOTOR DIESEL - REALIZAR SUBSTITUIÇÃO DO SENSOR DE TEMPERATURA DO FREIO TRASEIRO L/D - 202600616542 (MSR: Substituido a bombs de combustivel)</t>
  </si>
  <si>
    <t>ALTA TEMPERATURA</t>
  </si>
  <si>
    <t>PM: 250h + 19 BL's</t>
  </si>
  <si>
    <t>TM3- BAIXA PRESSÃO DO ÓLEO DO MOTOR- CORRIGIDO LINHA DE SINAL DO SENSOR DE PRESSÃO ATMOSFERICA</t>
  </si>
  <si>
    <t>SENSOR DE PRESSAO ATM</t>
  </si>
  <si>
    <t>202600672017</t>
  </si>
  <si>
    <t>202600677276</t>
  </si>
  <si>
    <t>202600677275</t>
  </si>
  <si>
    <t>202600688393</t>
  </si>
  <si>
    <t>202600712545</t>
  </si>
  <si>
    <t>202600754418</t>
  </si>
  <si>
    <t>202600754414</t>
  </si>
  <si>
    <t>202600762214</t>
  </si>
  <si>
    <t>202600672017- FALHA NO SISTEMA AFEX -  REPOSICIONA SUPORTE DA AMPOLA DO SISTEMA AFEX</t>
  </si>
  <si>
    <t>FALHA NA BASCULA - 202600677276 REALIZADO REGULAGEM DA BOMBA PRINCIPAL MT: 2201636</t>
  </si>
  <si>
    <t>BAIXO NIVEL DO OLEO HD 202600677275 - COMPLETADO NIVEIS MT: 2201636</t>
  </si>
  <si>
    <t>BAIXA PRESSÃO DOS PNEUS - 202600704180    CALIBRADO OS 2 PNEUS DIANTEIROS</t>
  </si>
  <si>
    <t>BAIXA PRESSÃO DO FREIO. -  REALIZAR AJUSTES DA VÁLVULA DE CONTROLE DE FREIO.- 202600713368  CALIBRADO PACOTE DE EMBREAGEM DA TRANSMISSÃO.</t>
  </si>
  <si>
    <t>TM_3 - ALARME BAIXO NÍVEL DO ÓLEO DA DIREÇÃO - 202600712545 - REALIZAR SUBSTITUIÇÃO DE MANGUEIRA  DA VÁLVULA DOS ACUMULADORES E FILTPR E COMPLETAR ÓLEO DA DIREÇÃO - SUBSTITUIDO MANGUEIRA DE DIREÇÃO DO</t>
  </si>
  <si>
    <t>FALHA NO ACUMULADOR DO FREIO.- NÃO ENCONTRADO FALHA</t>
  </si>
  <si>
    <t>FALHA NOS FREIOS E BAIXO RENDIMENTO DO MOTOR DIESEL - SUBSTITUIR FILTROS DE COMBUSTÍVEIS E REALIZAR AJUSTES NAS VÁLVULAS DE CONTROLE DE FREIO - 202600741374</t>
  </si>
  <si>
    <t>FALHA NO CICLO DA BOMBA DOS FREIOS - SUBSTITUIDO VALVULA SOLENOIDE DO FREIO DE ESTACIONAMENTO -202600749873</t>
  </si>
  <si>
    <t>VAZAMENTO DE LC - SUBSTITUIDO TUBO DO LIQUIDO ARREFECEDOR E COMPLETADO NIVEL 202600754418</t>
  </si>
  <si>
    <t>BAIXA PRESSÃO DOS ACUMULADORES DA DIREÇÃO - 202600754414  CALIBRADO OS ACUMULADORES DE DIREÇÃO  MT:1150588</t>
  </si>
  <si>
    <t>MACHINE GEN Started a delay: MPNS - Exec terceiros trabalhando</t>
  </si>
  <si>
    <t>FALHA NA ALIMENTAÇÃO DAS LUZES DE POSIÇÃO - 202600762214  SUBSTITUIDO FUSÍVEIS DE ALIMENTAÇÃO, DETECT, SENSORES DE PRESSÃO DOS FREIOS, E SUBSTITUÍDO  RELÉ E FUSÍVEL DAS LUZES DE POSIÇÃO  MT:2201636</t>
  </si>
  <si>
    <t>8116</t>
  </si>
  <si>
    <t>AMPOLA</t>
  </si>
  <si>
    <t>POSICAO</t>
  </si>
  <si>
    <t>REPOSCIONAR</t>
  </si>
  <si>
    <t>BOMBA DE ELEVACAO</t>
  </si>
  <si>
    <t>BOMBA</t>
  </si>
  <si>
    <t>AJUSTE</t>
  </si>
  <si>
    <t>AJUSTAR</t>
  </si>
  <si>
    <t>DIFERENCIAL</t>
  </si>
  <si>
    <t>ALTO NIVEL</t>
  </si>
  <si>
    <t>DRENAR</t>
  </si>
  <si>
    <t>ALTA TEMPERATURA DO ÓLEO DO DIFERENCIAL -202600688393 - DRENADO EXCESSO DO OLEO DIFERENCIAL MT: 1150588 (MSR: Substituido filtro)</t>
  </si>
  <si>
    <t>ACUMULADOR</t>
  </si>
  <si>
    <t>BOMBA DE FREIO</t>
  </si>
  <si>
    <t xml:space="preserve">VALVULA SOLENOIDE </t>
  </si>
  <si>
    <t>TUBO DO TRC</t>
  </si>
  <si>
    <t>FIXACAO</t>
  </si>
  <si>
    <t>FIXAR</t>
  </si>
  <si>
    <t>SINALIZACAO</t>
  </si>
  <si>
    <t>RELE</t>
  </si>
  <si>
    <t>PM: 500h + 2 BL's</t>
  </si>
  <si>
    <t>Locomocao - Roda Tei</t>
  </si>
  <si>
    <t>Eletrico - Transmissao Forca</t>
  </si>
  <si>
    <t>Switch do Filtro Carga Transmissao</t>
  </si>
  <si>
    <t>Conexões;Fixação</t>
  </si>
  <si>
    <t>BAIXA PRESSÃO  DO PNEU (TEI) E (TDE)  - 202600775776 CALIBRADO PNEU TEI  e TDE  MT:81036838</t>
  </si>
  <si>
    <t>202600781643- FALHA NO TREM DE FORÇA - REALIZADO LIMPEZA NO SWITH DA ALAVANCA DE MARCHA</t>
  </si>
  <si>
    <t>SUBSTITUIR BOMBA DE DIREÇÃO - 202600789658</t>
  </si>
  <si>
    <t>BAIXO RENDIMENTO -202600797931 FIXADO CONECTOR DO COMBUSTIVEL MT: 2201636</t>
  </si>
  <si>
    <t>BAIXA PRESSÃO DA VOLTAGEM (AG.LAVADOR ) 202600814653</t>
  </si>
  <si>
    <t>202600775776</t>
  </si>
  <si>
    <t>RODA TEI</t>
  </si>
  <si>
    <t>PM: 500h + 2 BL's - MAU TEMPO.</t>
  </si>
  <si>
    <t>SWITCH</t>
  </si>
  <si>
    <t>BOMBA DE DIRECAO</t>
  </si>
  <si>
    <t>SENSOR DE VELOCIDADE</t>
  </si>
  <si>
    <t>8006</t>
  </si>
  <si>
    <t>202600834848</t>
  </si>
  <si>
    <t>202600843902</t>
  </si>
  <si>
    <t>202600853819</t>
  </si>
  <si>
    <t>202600861701</t>
  </si>
  <si>
    <t>202600869917</t>
  </si>
  <si>
    <t>202600874938</t>
  </si>
  <si>
    <t>202600875434</t>
  </si>
  <si>
    <t>202600884981</t>
  </si>
  <si>
    <t>202600908381</t>
  </si>
  <si>
    <t>202600935213</t>
  </si>
  <si>
    <t>202600952628</t>
  </si>
  <si>
    <t>MPNS - EXEC PREDITIVA</t>
  </si>
  <si>
    <t>Hidraulico Cavalo - Tanque Oleo</t>
  </si>
  <si>
    <t>Liquido Arrefecimento-Nivel</t>
  </si>
  <si>
    <t>Conexoes</t>
  </si>
  <si>
    <t>Frenagem - Roda De</t>
  </si>
  <si>
    <t>Mangueira</t>
  </si>
  <si>
    <t>Filtro de Oleo</t>
  </si>
  <si>
    <t>Frenagem - Freio</t>
  </si>
  <si>
    <t>Atuador</t>
  </si>
  <si>
    <t>Tanque</t>
  </si>
  <si>
    <t>Direcao - Unidade Hidraulica</t>
  </si>
  <si>
    <t>Valvula Solenoide</t>
  </si>
  <si>
    <t>Bomba</t>
  </si>
  <si>
    <t>Valvula Solenoide de Estacionamento</t>
  </si>
  <si>
    <t>Frenagem - Bomba</t>
  </si>
  <si>
    <t>VAZAMENTO HIDRÁULICO - SUBSTITUIR ORING DA MANGUEIRA DA TELA DE ELEVAÇÃO  E COMPLETAR ÓLEO HIDRÁULICO - 202600834848</t>
  </si>
  <si>
    <t>FALHA DO LÍQUIDO ARREFECEDOR - DESLIGAMENTRO INVOLUNTARIO - 202600843902  ABASTECIDO 200L DE LÍQUIDO DE ARREFECEDOR.</t>
  </si>
  <si>
    <t>202600853819- ALARME NÍVEL 2- COMPLETADO 120LT DA DIREÇÃO</t>
  </si>
  <si>
    <t>202600854571- BAIXA PRESSÃO DO PNEU DE - CALIBRADO PNEU DIANTEIRO LE E O PNEU TRASEIRO</t>
  </si>
  <si>
    <t>VAZAMENTO DE OLEO - CORRIGIDO VAZAMENTO DE OLEO</t>
  </si>
  <si>
    <t>BAIXO NÍVEL DO ÓLEO DA DIREÇÃO - REALIZAR SUBSTITUIÇÃO DO ORING DO SOLENOIDE DE VELOCIDADE DO FAN - 202600861701</t>
  </si>
  <si>
    <t>202600869917- BAIXA PRESSÃO DO ACUMULO DO FREIO SECUNDÁRIO- CORRIGIDO FALHA NO SENSOR DO FREIO SECUNDARIO</t>
  </si>
  <si>
    <t>202600869987- BAIXO NÍVEL DO ÓLEO DA DIREÇÃO-COMPLETADO 30L DE ÓLEO DA DIREÇÃO E 60L DE ÓLEO HIDRAULICO</t>
  </si>
  <si>
    <t>TROCA DE PNEU</t>
  </si>
  <si>
    <t>BAIXO NIVEL DE OLEO DA DIREÇÃO 202600874938  SUBSTITUIDO  VEDAÇÕES SOLENOIDE DA BOMBA DE DIREÇÃO E COMPLETADO NIVEIS mt: 2201636</t>
  </si>
  <si>
    <t>FALHA NA PARTIDA - 202600875434 REALIZADO DUBLAGEM E ESCOVAÇÃO DO SISTEMA DE COMBUSTÍVE MATR. 1150581</t>
  </si>
  <si>
    <t>BAIXA PRESSÃO NA BOMBA DE COMANDO DO FREIO -202600884981  SUBSTITUIDO REPARO DE ACUMULADOR DE FREIO MT:1150588</t>
  </si>
  <si>
    <t>COMANDO ALTO DA BOMBA DE FREIO. - 202600908381   SUBSTITUIDO SOLENOIDE DO FREIO DIANTEIRO E TRASEIRO.</t>
  </si>
  <si>
    <t>BAIXA PRESSÃO NA BOMBA DO FREIO.- 202600908381 AJUSTE DA PRESSÃO DA BOMBA DE FREIO.</t>
  </si>
  <si>
    <t>MACHINE GEN Atraso iniciado: MPNS - Exec mecanica</t>
  </si>
  <si>
    <t>ESCADA DANIFICADA. - 202600935213   ABASTECIDO 12L DE OLEO DO MOTOR DA ESCADA.</t>
  </si>
  <si>
    <t>MACHINE GEN Started a delay: MPNS - Exec preditiva</t>
  </si>
  <si>
    <t>TM_3 - ALARME BAIXO NÍVEL DE ÓLEO DA DIREÇÃO - REALIZADO INSPEÇÃO E COMPLETAR NÍVEIS - 202600952628</t>
  </si>
  <si>
    <t>BAIXO NIVEL DE OLEO DA DIREÇÃO - REALIZAR COMPLEMENTO DO NÍVEL DE ÓLEO DA DIREÇÃO	202600952542</t>
  </si>
  <si>
    <t>SUBSTITUIR BARRA ESTABILIZADORA DE DIREÇÃO. - 202600965367 - FALHA NA BARRA ESTABILIZADORA DE DIREÇÃO - AG LIMPEZA DE BASCULA</t>
  </si>
  <si>
    <t>202600977341- BAIXO NIVEL DE OLEO DA DIREÇÃO-AG COMBOIO 09:44- COMPLETADO 10LT NA DIREÇÃO 30 LT OLEO HIDRAULICO</t>
  </si>
  <si>
    <t>ORING DA MANG.</t>
  </si>
  <si>
    <t>VENTILADOR HIDRAULICO</t>
  </si>
  <si>
    <t>SOLENOIDE DO FAN</t>
  </si>
  <si>
    <t>VALVULA COMPENSADORA</t>
  </si>
  <si>
    <t>BAIXA VOLTAGEM</t>
  </si>
  <si>
    <t>SOLENOIDE</t>
  </si>
  <si>
    <t>ESCADA RETRATIL</t>
  </si>
  <si>
    <t>TORQUEAR</t>
  </si>
  <si>
    <t>BARRA ESTABILIZADORA</t>
  </si>
  <si>
    <t>2000 HORAS</t>
  </si>
  <si>
    <t>PM: 2000h + 04 BL's</t>
  </si>
  <si>
    <t>PM 500h + 08 BL´s</t>
  </si>
  <si>
    <t>202600982587 BAIXO NIVEL DO LIQUIDO ARREFECEDOR - COMPLETADO 190 LC E 65 DE OLEO HIDRAULICO</t>
  </si>
  <si>
    <t>202600988909- BAIXO NIVEL DO OLEO DA DIREÇÃO- SUBSTITUIDO MANGUEIRA DE CILINDRO DE ACIONAMNETO DA DIREÇÃO LD COMPLETADO 40 LT OLEO NA DIREÇÃO E 80 LT OLEO HIDRAULICO</t>
  </si>
  <si>
    <t>falha no exagon</t>
  </si>
  <si>
    <t>CILINDRO LD</t>
  </si>
  <si>
    <t>202601016730 BAIXO NÍVEL DE ÓLEO DA DIREÇÃO - SUBSTITUIDO VEDAÇÃO DA CONEXÃO DE ACIONAMENTO DO CILINDRO DA DIREÇÃO LE</t>
  </si>
  <si>
    <t>BAIXA PRESSÃO DO PNEU DE 202601028028</t>
  </si>
  <si>
    <t>BAIXO NIVEL DO ÓLEO DA DIREÇÃO - REALIZADO INSPEÇÃO E COMPLETAR NÍVEIS - 202601045999</t>
  </si>
  <si>
    <t>FALHA GPS - EFETUADO RESETE NO SISTEMA - 202601065783</t>
  </si>
  <si>
    <t>REALIZADO AJUSTE NO FAROL</t>
  </si>
  <si>
    <t>FALHA NA PARTIDA DO MOTOR - REALIZAR LIMPEZA E REAPERTO DOS TERMINAIS DA BATERIA  - 202601081585</t>
  </si>
  <si>
    <t>MACHINE GEN Atraso iniciado: HMC - Exec borracharia</t>
  </si>
  <si>
    <t>TM_3 - ALARME DE BAIXO NÍVEL DE ÓLEO DA DIREÇÃO - 202601084452 COMPLETADO 30 LITROS DE ÓLEO</t>
  </si>
  <si>
    <t>202601091933- VAZAMENTO DE OLEO HIDRAULICO - SUBSTITUIDO TUBO DA PONTIOLHA PILOTO</t>
  </si>
  <si>
    <t>Conexões;Vedação</t>
  </si>
  <si>
    <t>Eletrico - Iluminacao</t>
  </si>
  <si>
    <t>Farol</t>
  </si>
  <si>
    <t>Terminal-Corrosao</t>
  </si>
  <si>
    <t>Tubo de Pressao</t>
  </si>
  <si>
    <t>202601016730</t>
  </si>
  <si>
    <t>AL2013KS18	"</t>
  </si>
  <si>
    <t>202601065783</t>
  </si>
  <si>
    <t>202601081585</t>
  </si>
  <si>
    <t>202601091933</t>
  </si>
  <si>
    <t>CILINDRO LE</t>
  </si>
  <si>
    <t>VEDACAO</t>
  </si>
  <si>
    <t>BAIXO NIVEL DO LIQUIDO AREFECEDO-202601061364 - COMPLETADO 180 LITRO DE ELC (MSR: Foi Substituido a vedação do tubo do TRC)</t>
  </si>
  <si>
    <t>RESETAR</t>
  </si>
  <si>
    <t>ILUMINACAO</t>
  </si>
  <si>
    <t>FAROL</t>
  </si>
  <si>
    <t>TUBO PILOTO</t>
  </si>
  <si>
    <t>PM: 250h + 10 BL's</t>
  </si>
  <si>
    <t>202601100157</t>
  </si>
  <si>
    <t>202601127254</t>
  </si>
  <si>
    <t>PRESSÃO BAIXA DOS ACUMULADORES DE DIREÇÃO - 202601100157 COMPLETADO NIVEL  14 LITROS D E DIREÇÃO E 23 HD MT:1150588</t>
  </si>
  <si>
    <t>202601105190- ALARME ACUMULO DE FREIO SECUNDARIO - SUBSTITUIDO MANGUEIRA DA BOMBA DE DIREÇÃO</t>
  </si>
  <si>
    <t>MACHINE GEN Atraso iniciado: MPNS - Exec borracharia</t>
  </si>
  <si>
    <t>VAZAMENTO DE ELC - 202601127254</t>
  </si>
  <si>
    <t>Direcao - Acumulador</t>
  </si>
  <si>
    <t>VEDACAO DO TRC</t>
  </si>
  <si>
    <t>LINK LD</t>
  </si>
  <si>
    <t>DESGASTE</t>
  </si>
  <si>
    <t>202600616542</t>
  </si>
  <si>
    <t>Sensor de Temperatura</t>
  </si>
  <si>
    <t>Combate Incendio - Reservatorio Agente</t>
  </si>
  <si>
    <t>Suporte</t>
  </si>
  <si>
    <t>Transmissao - Diferencial Traseiro</t>
  </si>
  <si>
    <t>BAIXA EFICIÊNCIA DO MOTOR DIESEL - REALIZAR SUBSTITUIÇÃO DO SENSOR DE TEMPERATURA DO FREIO TRASEIRO L/D - 202600616542 DRENADO ÓLEO E REALIZADO TESTES MATR 1150588</t>
  </si>
  <si>
    <t>SENSOR DE TEMPERATURA</t>
  </si>
  <si>
    <t>FREIO L/D</t>
  </si>
  <si>
    <t>Cabo/fiação/Mau contato</t>
  </si>
  <si>
    <t>FALHA NO ACIONAMENTO DO VIDRO DA PORTA 202601145368 - EFETUADO LIMPEZA NOS CONECTORES DO MOTOR ELETRICO DO VIDRO</t>
  </si>
  <si>
    <t>FALHA NA ELEVAÇÃO DA ESCADA  202601146171</t>
  </si>
  <si>
    <t>202601145368</t>
  </si>
  <si>
    <t>VIDRO DA PORTA</t>
  </si>
  <si>
    <t>202601170946</t>
  </si>
  <si>
    <t>202601172422</t>
  </si>
  <si>
    <t>202601195748</t>
  </si>
  <si>
    <t>202601210127</t>
  </si>
  <si>
    <t>202601260891</t>
  </si>
  <si>
    <t>202601261908</t>
  </si>
  <si>
    <t>Ar Condicionado - Painel</t>
  </si>
  <si>
    <t>Fusivel-Fixacao</t>
  </si>
  <si>
    <t>Motor Combustao - Pneumatico</t>
  </si>
  <si>
    <t>Motor Partida Pneumatico-Travamento</t>
  </si>
  <si>
    <t>Transmis Forca - Diferencial</t>
  </si>
  <si>
    <t>Diferencial</t>
  </si>
  <si>
    <t>FALHA NO AR CONDICIONADO - REPOSICIONADO FUSÍVEL E RELÉ DO AR-CONDICIONADO - 202601170946</t>
  </si>
  <si>
    <t>FALHA NA ELEVAÇÃO DA ESCADA 202601172422 - SUBSTITUIDO MOTOR DA ESCADA</t>
  </si>
  <si>
    <t>SEM PARTIDA - 202601195748 - SUBSTITUIR MOTORES DE PARTIDA</t>
  </si>
  <si>
    <t>202601210127- ALTA TEMPERATURA DO ÓLEO DO DIFERENCIAL - OPERAÇÃO ASSISTIDA- NÃO ENCONTRADO FALHA</t>
  </si>
  <si>
    <t>TM_3 - ALARME DE BAIXO NÍVEL DE ÓLEO DA DIREÇÃO 202601260891 - COMPLETADO TODOS OS NIVEIS</t>
  </si>
  <si>
    <t>COPRETA O OLEO DO MOTOR - COMPLETARNIVEL DO ÓLEO DA DIREÇÃO E VERIFICAR DEMAIS NÍVEIS	202601261908</t>
  </si>
  <si>
    <t>PAINEL</t>
  </si>
  <si>
    <t>FUSIVEL</t>
  </si>
  <si>
    <t>MOTOR DE ACIONAMENTO</t>
  </si>
  <si>
    <t>NIVEL ALTO</t>
  </si>
  <si>
    <t>PM: 250h + 02 BL's</t>
  </si>
  <si>
    <t>12000 HORAS</t>
  </si>
  <si>
    <t>PM: 12000h + 18 BL's</t>
  </si>
  <si>
    <t>202601305063</t>
  </si>
  <si>
    <t>202601322538</t>
  </si>
  <si>
    <t>202601324825</t>
  </si>
  <si>
    <t>202601330137</t>
  </si>
  <si>
    <t>202601340514</t>
  </si>
  <si>
    <t>202601354034</t>
  </si>
  <si>
    <t>Transmissao - Lubrificacao</t>
  </si>
  <si>
    <t>Combate Incendio - Extintor Incendio</t>
  </si>
  <si>
    <t>Sensor de Temperatura de Combustivel</t>
  </si>
  <si>
    <t>Frenagem Prancha - Freio Ld Eixo 1</t>
  </si>
  <si>
    <t>Eixo S</t>
  </si>
  <si>
    <t>QUEBRA DO SUPORTE DO RETROVISOR LADO ESQUERDO  202601305063 - REALIZADO SERVIÇO DE SOLDA</t>
  </si>
  <si>
    <t>202601322538- BAIXO NÍVEL DE ÓLEO DA TRANSMISSÃO-  FOI COMPLETADO 250 L DE ÓLEO E HIDRÁULICO</t>
  </si>
  <si>
    <t>SEM A TRAVA DO ATUADOR ELETRICO - FIXADO A TRAVA DO ATUADOR DO SISTEMA  AFEX - 202601324825</t>
  </si>
  <si>
    <t>BAIXA PRESSÃO DO MOTOR - 202601330137  SUBSTITUIDO SENSOR DE ENTRADA SCF 1150588</t>
  </si>
  <si>
    <t>202601340514- FILTRO DO DIFERENCIAL ENTUPIDO- SUBSTITUIDO FILTRO DO EIXO TRASEIRO</t>
  </si>
  <si>
    <t>MACHINE GEN Atraso iniciado: MPNS - Ag borracharia</t>
  </si>
  <si>
    <t>202601354034- FILTRO DO DIFERENCIAL OBSTRUIDO- CORRIGIDO ALIMENTAÇÃO SWITE DO FREIO EIXO DIANTEIRO</t>
  </si>
  <si>
    <t>TRANSMISSAO</t>
  </si>
  <si>
    <t>TRAVA DO SWITCH</t>
  </si>
  <si>
    <t>SENSOR DE ENTRADA SCF</t>
  </si>
  <si>
    <t>SENSOR DE COMBUSTIVEL</t>
  </si>
  <si>
    <t>202601390581</t>
  </si>
  <si>
    <t>202601392813</t>
  </si>
  <si>
    <t>202601393264</t>
  </si>
  <si>
    <t>TM_3 - ALARME BAIXO NÍVEL DE ÓLEO DA DIREÇÃO - COMPLETADO 300 L DE ÓLEO HD-PASSAGEM DO ÓLEO HD PARA  EIXO TRASEIRO – JÁ MAPEADO - 202601390581</t>
  </si>
  <si>
    <t>BAIXO NÍVEL DE ÓLEO DE DIREÇÃO N3 - 202601392813 - REALIZAR SUBSTITUIÇÃO DO ORING DA MANGUEIRA DO CILINDRO DA DIREÇÃO L/E</t>
  </si>
  <si>
    <t>BAIXO NIVEL DO ÓLEO DA TRANSMISSÃO - COMPLETAR NIVEL DO ÓLEO DA TRANSMISSÃO E VERIFICAR DEMAIS NÍVEIS - 202601393264</t>
  </si>
  <si>
    <t>Transmis Forca - Eixo Traseiro</t>
  </si>
  <si>
    <t>Mangueira Pressao-Vazamento</t>
  </si>
  <si>
    <t>Transmis Forca - Tanque</t>
  </si>
  <si>
    <t>VÁLVULA DE CONTROLE DA DIREÇÃO</t>
  </si>
  <si>
    <t>PM 250h + 5 BLs</t>
  </si>
  <si>
    <t>MPS - EXEC TERCEIROS TRABALHANDO</t>
  </si>
  <si>
    <t>Inspeção Mecânica</t>
  </si>
  <si>
    <t>7110</t>
  </si>
  <si>
    <t>7032</t>
  </si>
  <si>
    <t>4003</t>
  </si>
  <si>
    <t>202601412436</t>
  </si>
  <si>
    <t>202601436654</t>
  </si>
  <si>
    <t>202601455387</t>
  </si>
  <si>
    <t>202601457826</t>
  </si>
  <si>
    <t>202601484402</t>
  </si>
  <si>
    <t>202601488516</t>
  </si>
  <si>
    <t>MACHINE GEN Started a delay: MPS - Exec terceiros trabalhando</t>
  </si>
  <si>
    <t>BAIXO NÍVEL DO ÓLEO DA TRANSMISSÃO - REALIZAR COMPLEMENTAÇÃO DO NÍVEL DE ÓLEO DA TRANSMISSÃO - 202601412436</t>
  </si>
  <si>
    <t>FALHA NO AR CONDIONADO E BARRUI ANOMAL DA CABINE - 202601412437 - REALIZADO LIMPEZA NO RELAY DE ACIONAMENTO DO COMPRESSOR</t>
  </si>
  <si>
    <t>202601436654- REPOSICIONAMENTO DO LED DE CARGA- REALIZADO SOLDA NO MONITOR DA BALANÇA L/E</t>
  </si>
  <si>
    <t>202601455387- FALHA NA PARTIDA- CORRIGIDO ALIMENTAÇÃO DO RELÉ MOTOR DE PARTIDA</t>
  </si>
  <si>
    <t>202601457048 FALHA NO AR-CONDICIONADO - CORRIGIDO RELE DE DO COMPRESSOR DO AC</t>
  </si>
  <si>
    <t>202601457826 BAIXO NIVEL DO OLEO DA DIREÇÃO - COMPLETADO 20 LITROS DE OLEO DA DIREÇÃO</t>
  </si>
  <si>
    <t>FALHA NA ELEVAÇÃO - 202601459326 - COMPLETADO OLEO E CORRIGIDO FREIO</t>
  </si>
  <si>
    <t>MACHINE GEN Started a delay: MPS - Exec insp mecanica</t>
  </si>
  <si>
    <t>BAIXO NIVEL DO OLEO DA DIREÇÃO  202601484402   COMPLETADO NIVEL DO OLEO DA DIREÇÃO 2201636</t>
  </si>
  <si>
    <t>FALHA DE COMUNICAÇÃO E GPS - APERTAR CONEXÕES - 202601488516</t>
  </si>
  <si>
    <t>BAIXA PRESSÃO DO PNEL TDI  - CALIBRADO O PNEU TDI - 202601496120</t>
  </si>
  <si>
    <t>Suspensao - Balanca</t>
  </si>
  <si>
    <t>Balanca do Eixo</t>
  </si>
  <si>
    <t>Compressor</t>
  </si>
  <si>
    <t>Elevacao - Hidraulico</t>
  </si>
  <si>
    <t>Comunicacao - Despacho</t>
  </si>
  <si>
    <t>Cabo-Isolacao</t>
  </si>
  <si>
    <t>Locomocao - Roda Tdi</t>
  </si>
  <si>
    <t>BALANCA</t>
  </si>
  <si>
    <t>DISPLAY</t>
  </si>
  <si>
    <t>RODA TDI</t>
  </si>
  <si>
    <t>HMC - AG LUBRIFICACAO</t>
  </si>
  <si>
    <t>HMC - AG CONDICAO SEGURA</t>
  </si>
  <si>
    <t>Filha</t>
  </si>
  <si>
    <t>HMC - AG RECURSO/FERRAMENTAL</t>
  </si>
  <si>
    <t>MPNS - AG RECURSO/FERRAMENTAL</t>
  </si>
  <si>
    <t>MPNS - AG DETONACAO</t>
  </si>
  <si>
    <t>MPS - AG DETONACAO</t>
  </si>
  <si>
    <t>HMC - AG DETONACAO</t>
  </si>
  <si>
    <t>HMC - AG LIBERACAO DE ACESSO</t>
  </si>
  <si>
    <t>MPS - AG ATENDIMENTO</t>
  </si>
  <si>
    <t>HMC - AG ATENDIMENTO</t>
  </si>
  <si>
    <t>MPS - AG MANUT</t>
  </si>
  <si>
    <t>MPNS - AG LUBRIFICACAO</t>
  </si>
  <si>
    <t>MPNS - AG PECAS</t>
  </si>
  <si>
    <t>HMC - AG BOX</t>
  </si>
  <si>
    <t>HMC - AG LAVADOR</t>
  </si>
  <si>
    <t>HMC - AG APROVACAO</t>
  </si>
  <si>
    <t>MPNS - AG CONDICAO SEGURA</t>
  </si>
  <si>
    <t>MPS - AG MAO DE OBRA</t>
  </si>
  <si>
    <t>HMC - AG OPERACAO</t>
  </si>
  <si>
    <t>MPNS - AG OPERACAO</t>
  </si>
  <si>
    <t>MPS - AG TERCEIROS</t>
  </si>
  <si>
    <t>HMC - AG MAO DE OBRA</t>
  </si>
  <si>
    <t>202601519898</t>
  </si>
  <si>
    <t>202601533278</t>
  </si>
  <si>
    <t>202601539238</t>
  </si>
  <si>
    <t>202601540601</t>
  </si>
  <si>
    <t>202601583513</t>
  </si>
  <si>
    <t>202601590734</t>
  </si>
  <si>
    <t>Rele-Queima</t>
  </si>
  <si>
    <t>Oleo-Nivel Alto</t>
  </si>
  <si>
    <t>Transmissao</t>
  </si>
  <si>
    <t>Conexões;Vazamento</t>
  </si>
  <si>
    <t>VAZAMENTO DE ÓLEO - 202601514083 - CORRIGIR VAZAMENTO HIDRAÚLICO</t>
  </si>
  <si>
    <t>FALHA NA ESCADA - SUBSTITUIDO RELÉ DE ACIONAMENTO = 202601513799</t>
  </si>
  <si>
    <t>FALHA NA ESCADA - REALIZAR SUBSTITUIÇÃO DO RELAY DE ACIONAMENTO DO MOTOR DA ESCADA - 202601519239</t>
  </si>
  <si>
    <t>FALHA NA PARTIDA - NÃO ENCONTRADO FALHA</t>
  </si>
  <si>
    <t>BAIXA PROPULSÃO - RESTRIÇÃO DO FILTRO DE COMBUSTÍVEL E NIVEL BAIXO DO ÓLEO DA DIREÇÃO</t>
  </si>
  <si>
    <t>VAZAMENTO NA RODA INTERNA - INÍCIO DE VAZAMENTO NÃO CRÍTICO PELO DUAL CONE DO COMANDO FINAL TRASEIRO L/D - 202601519898</t>
  </si>
  <si>
    <t>FALHA NA BOMBA DO FREIO. 202601530598- AG. MAU TEMPO 07:07</t>
  </si>
  <si>
    <t>202601533278- COMPLETAR NIVEL DE OLEO HIDRAULICO- COMPLETADO 400 LT DE OLEO HIDRAULICO</t>
  </si>
  <si>
    <t>FALHA NA TROCA DE MARCHA  202601539238   DRENADO  250L DE OLEO DO EIXO TRASEIRO MT:1150588</t>
  </si>
  <si>
    <t>FALHA NO AFEX 202601540601  REALIZADO  LIMPEZA NOS CONECTORES 1053</t>
  </si>
  <si>
    <t>FALHA NA TRANSMISSÃO - 202601566173   SUBSTITUIDO ABRAÇADEIRA DO TUBO DE EXAUSTÃO MT:1150588</t>
  </si>
  <si>
    <t>202601583513- FALHA NA SELEÇÃO DE MARCHA E VAZAMENTO DE LIQUIDO ARREFECEDOR</t>
  </si>
  <si>
    <t>BAIXO NIVEL DE OLEO - 202601590734 COMPLETADO 20 LITROS DE OLEO MT:2201636</t>
  </si>
  <si>
    <t>Transmis Forca - Transmissao</t>
  </si>
  <si>
    <t>DUAL CONE</t>
  </si>
  <si>
    <t>MONITORAR</t>
  </si>
  <si>
    <t>CONECTORES</t>
  </si>
  <si>
    <t>EXAUSTAO</t>
  </si>
  <si>
    <t>ABRACADEIRA</t>
  </si>
  <si>
    <t>SENSOR DE TEMPERATURA ELC</t>
  </si>
  <si>
    <t>PM 250HS + 18 BL´s LAVAR BASCULA + LAVAR PONTUAL</t>
  </si>
  <si>
    <t>202601613093</t>
  </si>
  <si>
    <t>BAIXO NIVEL DO OLEO DA TRANSMISSÃO - AG MAU TEMPO</t>
  </si>
  <si>
    <t>TM_3 - RESTRIÇÃO NO FILTRO DE COMBUSTÍVEL - 202601613093 - SUBSTITUIR FILTROS DE COMBUSTÍVEL</t>
  </si>
  <si>
    <t>202601642425- BAIXA PRESSÃO NO PNEU D\E- FOI REALIZADO A CALIBRAGEM DO PNEU TDE</t>
  </si>
  <si>
    <t>Filtro De Malha-Obstrucao</t>
  </si>
  <si>
    <t>PM 500h + 25BLs</t>
  </si>
  <si>
    <t>202601682390</t>
  </si>
  <si>
    <t>202601688962</t>
  </si>
  <si>
    <t>202601691176</t>
  </si>
  <si>
    <t>202601721885</t>
  </si>
  <si>
    <t>202601740892</t>
  </si>
  <si>
    <t>FALHA NA BATERIA   202601682390  SUBSTITUIDO 3 BATERIAS MT:2201636</t>
  </si>
  <si>
    <t>202601688962  FALHA NO ACIONAMENTO DO VIDRO DA PORTA DO OPERADOR - 2  REPARO NO VIDRO DA CABINE , COMPLETADO 87 LITROS DE HIDRAULICO</t>
  </si>
  <si>
    <t>SUBSTITUIÇÃO DOS COMANDOS FINAIS , DIFERENCIAL E TRANSMISSÃO  - 202601729918</t>
  </si>
  <si>
    <t>202601691176 VAZAMENTO HIDRÁULICO NO TUBO DO ÓLEO PILOTO DO GRUPO DE ELEVAÇÃO - SUB TUBO PILOTO DO OLEO DE ELEVA</t>
  </si>
  <si>
    <t>VAZAMENTO DE OLEO - 202601721885 - SUBSTITUÍDO MANGUEIRA DE RETORNO DO CONVERSOR DE TORQUE -  SUBSTITUÍDO MANGUEIRA HIDRÁULICA QUE SAI DO TANQUE PARA O FILTRO</t>
  </si>
  <si>
    <t>LUZ DO ATUADOR ELÉTRICO DO AFEX (ATUADA) - CONFECCIONAR PINO DO CONECTOR DO ATUADOR DO AFEX - 202601740892</t>
  </si>
  <si>
    <t>FALHA NA ELEVAÇÃO</t>
  </si>
  <si>
    <t>Motor de Partida Pneumatico</t>
  </si>
  <si>
    <t>Vidro-Quebra</t>
  </si>
  <si>
    <t>Direcao - Piloto</t>
  </si>
  <si>
    <t>Mangueira Piloto-Vazamento</t>
  </si>
  <si>
    <t>Transmis Forca - Conversor Torque</t>
  </si>
  <si>
    <t>Combate Incendio - Acionamento Automatico</t>
  </si>
  <si>
    <t>Sensor de Chama</t>
  </si>
  <si>
    <t>MOTOR DO VIDRO DA PORTA</t>
  </si>
  <si>
    <t>CONVERSOR DE TORQUE</t>
  </si>
  <si>
    <t>PTO</t>
  </si>
  <si>
    <t>PM 2000h + 30 BLS</t>
  </si>
  <si>
    <t>TM_3 - ALARME BAIXA PRESSÃO DE LUBRIFICAÇÃO DO DIFERENCIAL - COMPLETAR ÓLEO DO EIXO DIFERENCIAL E VERIFICAR NÍVEIS - 202601280688</t>
  </si>
  <si>
    <t>202601280688</t>
  </si>
  <si>
    <t>FALHA NA ESCADA - 202601498675 - REALIZAR SUBSTITUIÇÃO DO RELAY DE ACIONAMENTO DO MOTOR DA ESCADA</t>
  </si>
  <si>
    <t>PM 1000h + 22 BLs</t>
  </si>
  <si>
    <t>202601851227</t>
  </si>
  <si>
    <t>202601854866</t>
  </si>
  <si>
    <t>202601842583</t>
  </si>
  <si>
    <t>202601869507</t>
  </si>
  <si>
    <t>FALHA NO RÁDIO DE COMUNICAÇÃO PTT - NÃO ENCONTRADO FALHA NO EQUIPAMENTO  -   202601851227</t>
  </si>
  <si>
    <t>FALHA NO RÁDIO PTT -   FOI REALIZADO A TROCA DO CONECTOR DA ANTENA - 202601851227</t>
  </si>
  <si>
    <t>FALHA NO AFEX - RECONECTADO O ATUADAOR ELÉTRICO DO SISTEMA AFEX -  202601854866</t>
  </si>
  <si>
    <t>FALHA NO SENSOR DE APROXIMAÇÃO EXAGON - SUBSTITUIDO CABO DE ALIMENTAÇÃO DO SISTEMA DE APROXIMAÇÃO 202601842583</t>
  </si>
  <si>
    <t>FALHA NO EXTRATOR DE BLOCOS - REALIZADO REPARO NO EXTRATOR DE BLOCOS</t>
  </si>
  <si>
    <t>FALHA NA ELEVAÇÃO- COMPLETADO 400 L DE ÓLEO HIDRAULICO</t>
  </si>
  <si>
    <t>DESLIGAMENTO DO MOTOR , ALTA TEMPERATURA DO CONVERSOR DE TORQUE- DRENADO EXCESSO DE ÓLEO DA TRANSMISSÃO</t>
  </si>
  <si>
    <t>202601869507 VAZAMENTO DE OLEO HIDRAULICO -SUBSTITUIDO VEDAÇÃO DA MANGUEIRA LE</t>
  </si>
  <si>
    <t>202601869507 AFEX - LIMPEZXA DOS CONECTORES DO SISTEMA AFEX</t>
  </si>
  <si>
    <t>FECHADURA DA SAIDA DE EMERGENCIA DANIFICADA-REALIZADO SOLDA NA PORTINHOLA DE SEGURANÇA DA SAIDA DE EMERGENCIA</t>
  </si>
  <si>
    <t>DESLIGAMENTO INVOLUNTARIO	202601888384</t>
  </si>
  <si>
    <t>Fio Sensor de Chama</t>
  </si>
  <si>
    <t>Alarme</t>
  </si>
  <si>
    <t>MPNS - EXEC GARANTIA / ASSIST TECNICA</t>
  </si>
  <si>
    <t>MPNS - EXEC DIAGNOSTICO TECNICO</t>
  </si>
  <si>
    <t>8023</t>
  </si>
  <si>
    <t>8009</t>
  </si>
  <si>
    <t>MACHINE GEN Started a delay: MPNS - Exec garantia/assist tecnica</t>
  </si>
  <si>
    <t>MACHINE GEN Started a delay: MPNS - Exec diagnostico tecnico</t>
  </si>
  <si>
    <t>FALHA DE COMUNICAÇÃO RADIO AVI-  SUBSTITUÍDO O CABO DE COMUNICAÇÃO AVI  202601842583</t>
  </si>
  <si>
    <t>EXTRATOR DE PEDRAS</t>
  </si>
  <si>
    <t>SOLDAR</t>
  </si>
  <si>
    <t>DUO CONE</t>
  </si>
  <si>
    <t>COMANDO FINAL LE</t>
  </si>
  <si>
    <t>CONECTOR</t>
  </si>
  <si>
    <t>HMU</t>
  </si>
  <si>
    <t>7005</t>
  </si>
  <si>
    <t>MPS-EXEC INSP MECANICA</t>
  </si>
  <si>
    <t>PM: 250h + 04 BL's</t>
  </si>
  <si>
    <t>202601973283- BAIXO NIVEL DO ÓLEO DA DIREÇÃO- COMPLETADO 60 LT DE OLEO HIDRAULICO E 40 LT DE OLEO DA DIREÇÃO</t>
  </si>
  <si>
    <t>202601973283</t>
  </si>
  <si>
    <t>INSPEÇÃO PROGRAMADA SOTREQ</t>
  </si>
  <si>
    <t>8111</t>
  </si>
  <si>
    <t>8011</t>
  </si>
  <si>
    <t>MPNS - AG LAVADOR</t>
  </si>
  <si>
    <t>MNPS - EXEC LAVADOR</t>
  </si>
  <si>
    <t>202601979199</t>
  </si>
  <si>
    <t>202602003024</t>
  </si>
  <si>
    <t>202602012659</t>
  </si>
  <si>
    <t>202602042338</t>
  </si>
  <si>
    <t>202602042249</t>
  </si>
  <si>
    <t>202601979199- BAIXO NIVEL DO OLEO DA TRANSMISSÃO- COMPLETADO 39LT DE OLEO DA TRANSMISSÃO</t>
  </si>
  <si>
    <t>PNEU CORTE TDI 202601992253 SUBSTITUIR COMANDO FINAL - 202601820533</t>
  </si>
  <si>
    <t>202602003024 FALHA NA BUZINA - SUBSTITUIDO BUZINA</t>
  </si>
  <si>
    <t>SUBSTITUIR COMANDO FINAL 202602003290</t>
  </si>
  <si>
    <t>202602012659 FALHA NA ESCADA - SUBST VEDAÇÃO DA MANGUEIRA E ADICIONAR ÓLEO NO RESERVATÓRIO DO MOTOR DA ESCADA.</t>
  </si>
  <si>
    <t>202602042338- FALHA NO AR CONDICIONADO-  SUBSTITUIDO COMPRESSOR DO A/C</t>
  </si>
  <si>
    <t>202602042249- BAIXO NIVEL DO OLEO DIREÇÃO- COMPLETADO OLEO E VERIFICADO NIVEIS</t>
  </si>
  <si>
    <t>Buzina-Avaria</t>
  </si>
  <si>
    <t>Compressor-Desgaste</t>
  </si>
  <si>
    <t>Oleo-Nivel</t>
  </si>
  <si>
    <t>BUZINA</t>
  </si>
  <si>
    <t>COMANDO FINAL LD</t>
  </si>
  <si>
    <t>202602069697- FALHA NO AR CONDICIONADO- REPOSIONADO VENTILADOR DO AR CONDICIONADO</t>
  </si>
  <si>
    <t>Ar Condicionado - Ventilador</t>
  </si>
  <si>
    <t>Motor elétrico/Fixação</t>
  </si>
  <si>
    <t>202602069697</t>
  </si>
  <si>
    <t>ELETRO-VENTILADOR</t>
  </si>
  <si>
    <t>VENTILADOR</t>
  </si>
  <si>
    <t>SUBSTITUIR COMANDO FINAL L/D (MSR: houve alteração no HM, para alinha com gpv)</t>
  </si>
  <si>
    <t>Soma de Expurgo Total</t>
  </si>
  <si>
    <t>(Vários itens)</t>
  </si>
  <si>
    <t>Transmis Forca - Bomba Conversor</t>
  </si>
  <si>
    <t>Bomba-Desgaste</t>
  </si>
  <si>
    <t>ALTA TEMPERATURA DO ÓLEO DO CONVERSOR DE TORQUE - BAIXO RENDIMENTO</t>
  </si>
  <si>
    <t>MPNS - AG MAO DE OBRA</t>
  </si>
  <si>
    <t>202601105190- ALARME ACUMULO DE FREIO SECUNDARIO - SUBSTITUIDO MANGUEIRA DA BOMBA DE DIREÇÃO (Expugo dedicado ao componente)</t>
  </si>
  <si>
    <t>Pneu-Desgaste</t>
  </si>
  <si>
    <t>Pneu-Fixacao</t>
  </si>
  <si>
    <t>SUBSTITUIÇÃO DOS COMANDOS FINAIS , DIFERENCIAL E TRANSMISSÃO  - 202601729918 ag. detonação</t>
  </si>
  <si>
    <t>SUBSTITUIR PNEU TDI -  SUBSTITUIDO PNEU TDI - 202602090259</t>
  </si>
  <si>
    <t>MACHINE GEN Atraso iniciado: MPNS - Exec preditiva</t>
  </si>
  <si>
    <t>TORQUEAR RODA DO PNEU TDI  - 202602112950  TORQUEADO  TODAS AS PORCAS DA RODA TDI. MT:81036838</t>
  </si>
  <si>
    <t>BAIXA PRESSÃO DO ÓLEO DO MOTOR - 202602123195  SUBSTITUIDO 4 BATERIAS, SUBSTITUIDO 2 CABOS JUMPS E REALIZADO A CORREÇÃO DA CFM  MT:1150266</t>
  </si>
  <si>
    <t>FALHA NO AFEX - 202602124803  REPOSICIONADO CABO DE ALIMENTAÇÃO AFEX MT:1053</t>
  </si>
  <si>
    <t>PM 500h + 33 BLs</t>
  </si>
  <si>
    <t>Cabo/Fiacao</t>
  </si>
  <si>
    <t>Indicador de Nivel</t>
  </si>
  <si>
    <t>CALIBRAR O PNEU DD</t>
  </si>
  <si>
    <t>Arrefecimento - Duto Admissao</t>
  </si>
  <si>
    <t>Tubo-Trinca</t>
  </si>
  <si>
    <t>VAZAMENTO DO LIQUIDO ARREFECEDOR ROMPIDA 202602199325  REALIZADO SOLDA NO TUBO DE ARREFECIMENTO mt: 1150588</t>
  </si>
  <si>
    <t>PM 500h + 15BLs</t>
  </si>
  <si>
    <t>Valvula Solen Marcha Acima-Ajuste</t>
  </si>
  <si>
    <t>Rádio Lte - Cabo Danificado</t>
  </si>
  <si>
    <t>Rádio - Travado</t>
  </si>
  <si>
    <t>Frenagem - Freio Dd</t>
  </si>
  <si>
    <t>Tubo-Vazamento</t>
  </si>
  <si>
    <t>202602246644</t>
  </si>
  <si>
    <t>202602259754</t>
  </si>
  <si>
    <t>202602265613</t>
  </si>
  <si>
    <t>202602269587</t>
  </si>
  <si>
    <t>202602276736</t>
  </si>
  <si>
    <t>FALHA NO AFEX - RECONECTADO O CABO DO INICIADOR DO SISTEMA AFEX-202602246644</t>
  </si>
  <si>
    <t>202602259754- FALHA NA SELETORA DE MARCHA. REALIZADO LIMPEZA NO CONECTOR DOS SOLENOIDES DA TRANSMISSÃO</t>
  </si>
  <si>
    <t>202602265613- SEM COMUNICAÇÃO- RECONECTADO CABO QUE ESTAVA SOLTO</t>
  </si>
  <si>
    <t>VAZAMENTO DE ÓLEO NA RODA DIANTEIRA DIREITA - SUBSTITUÍDO A MANGUEIRA DO FREIO DA RODA DIANTREIRO DIREITO - 202602269587</t>
  </si>
  <si>
    <t>BAIXA PRESSÃO NO PNEU TDE - CALIBRADO O PNEU TDE, NÃO ENCONTRADO VAZAMENTO - 202602276736</t>
  </si>
  <si>
    <t>PM 500h +15 BLs</t>
  </si>
  <si>
    <t xml:space="preserve">TM_3- BAIXO NIVEL DO ÓLEO TRANSMISSÃO </t>
  </si>
  <si>
    <t xml:space="preserve">PM 500h + 15BLs - RETROVISOR DANIFICADO   - 202602226704 </t>
  </si>
  <si>
    <t>202602280082- BAIXO NIVEL DO OLEO DA DIREÇÃO - COMPLETADO 15LT DO OLEO DA DIREÇÃO E VERIFICADO TODOS OS NIVEIS</t>
  </si>
  <si>
    <t>FALHA NAS CÂMERAS-  REALIZADA SUBISTITUIÇÃO DA CÂMERA  DE MANITORAMENTO LADO DIREITO  - 202602289765</t>
  </si>
  <si>
    <t>FALHA NA CAMERA FRONTAL -  REALIZADA TROCA DA CÂMERA FRONTAL - 202602293276</t>
  </si>
  <si>
    <t>FALHA NA CAMERA  -202602289765    SUBSTITUIDO  CABO DA CAMERA L/D MT: 1150588</t>
  </si>
  <si>
    <t>202602280082</t>
  </si>
  <si>
    <t>SISTEMA DE CAMERA</t>
  </si>
  <si>
    <t>DISPLAY DAS CAMERAS</t>
  </si>
  <si>
    <t>Estrutura - Bascula</t>
  </si>
  <si>
    <t>Bascula-Ajuste</t>
  </si>
  <si>
    <t>BASCULA BATENDO SEPADO -AJUSTADO SENSOR DE POSIÇÃO DA BASCULA E COMPLETADO 60L DE ÓLEO HIDRAULICO  202602316018</t>
  </si>
  <si>
    <t>202602316018</t>
  </si>
  <si>
    <t>MONITORAMENTO</t>
  </si>
  <si>
    <t>ALARME BASCULA ALTA</t>
  </si>
  <si>
    <t>AJUSTE NO SENSOR</t>
  </si>
  <si>
    <t>Transmissao - Comando Final Td</t>
  </si>
  <si>
    <t>Comando Td</t>
  </si>
  <si>
    <t>DIAGNOSTICAR FALHA NA ESCADA - ABATECIDO RESERVATORIO DA ESCADA RETRATIL - 202602346445</t>
  </si>
  <si>
    <t>FALHA NO DISPLAY DO PAYLOAD - CORRIGIR ALIMENTAÇÃO DO DISPLAY E CONFIGURAR DIPSWITCH DO DISPLAY - 202602378798</t>
  </si>
  <si>
    <t>BAIXO NIVEL DE OLEO DA TRANSMISSÃO - COMPLETAR NIVEL DO ÓLEO DA TRANSMISSÃO E VERIFICAR DEMAIS NÍVEIS - 202602385980</t>
  </si>
  <si>
    <t>Painel Eletrico-Isolacao</t>
  </si>
  <si>
    <t>202602346445</t>
  </si>
  <si>
    <t>202602378798</t>
  </si>
  <si>
    <t>202602385980</t>
  </si>
  <si>
    <t>MOTOR DA ESCADA</t>
  </si>
  <si>
    <t>TREM</t>
  </si>
  <si>
    <t>Falha na partida -202602413250  SUBSTITUIDO 1 BATERIA  MT: 1150588</t>
  </si>
  <si>
    <t>202602413250</t>
  </si>
  <si>
    <t>Sensor de Pressao de Oleo</t>
  </si>
  <si>
    <t>202602453111 - FALHA NA ESCADA - FOI ABERTO TEC LOG DO MOTOR DA ESCADA, COMPLETADO ÓLEO DO RESERVATÓRIOS E COMPLETADO 300 LITROD DE ÓLEO HIDRÁULICO</t>
  </si>
  <si>
    <t>BAIXA PRESSÃO DO ÓLEO DO MOTOR - 202602460528  SUBSTITUIDO SENSOR DE ENTRADA MT:1150588</t>
  </si>
  <si>
    <t>202602453111</t>
  </si>
  <si>
    <t>202602460528</t>
  </si>
  <si>
    <t>PARADA RELACIONADA A ENTREGA DE COMANDO VAZAMENTO DE ÓLEO.  202600034792 - COMPLETADO OLEO HIDRAULICO</t>
  </si>
  <si>
    <t xml:space="preserve">PARADA RELACIONADA A ENTREGA DE COMANDO NIVEL DO OLEO - COMPLETAR NÍVEL DO ÓLEO HIDRÁULICO - 202600150281 COMPLETADO 356 LITROS DE OLEO HIDRAULICO.(VAZAMENTO NO COMANDO FINAL), </t>
  </si>
  <si>
    <t>PARADA RELACIONADA A ENTREGA DE COMANDO 202600316100 BAIXO NIVEL DO OLEO DA DIREÇÃO -  COMPL 25 LITROS DO OLEO DA DIREÇÃO</t>
  </si>
  <si>
    <t>PARADA RELACIONADA A ENTREGA DE COMANDO, BAIXO NÍVEL DO ÓLEO HIDRAÚLICO 202600034792   COMPLETADO 110 LITROS DE OLEO HIDRAULICO.</t>
  </si>
  <si>
    <t>Direcao - Cilindro Le</t>
  </si>
  <si>
    <t>Cilindro</t>
  </si>
  <si>
    <t>NORMALIZAR DISPLAY - 202602483400</t>
  </si>
  <si>
    <t>202602488122 - BAIXO NIVEL DE OLEO DA DIREÇÃO - REALIZAR A SUBSTITUIÇÃO DO CILINDRO DE DIREÇÃO LADO DIREITO E COMPLETAR NÍVEIS</t>
  </si>
  <si>
    <t>FALHA NA ELEVAÇÃO DA ESCADA-202602488948 - CORRIGIDO FALHA</t>
  </si>
  <si>
    <t>ALTA PRESSÃO DA BOMBA DO FREIO  202602520162  REALIZADO REAPERTO NA VÁLVULA DE DESCOMPRESSÃO DA BOMBA DO FREIO MT:1150588</t>
  </si>
  <si>
    <t>202602483400</t>
  </si>
  <si>
    <t>202602488122</t>
  </si>
  <si>
    <t>202602488948</t>
  </si>
  <si>
    <t>202602550814 - FALHA NO AR CONDICIONADO- FIXADO FUSIVEL DE ALIMENTAÇÃO DO COMPRESSOR DO A/C</t>
  </si>
  <si>
    <t>202602520162</t>
  </si>
  <si>
    <t>CILINDRO</t>
  </si>
  <si>
    <t>ALTA PRESSÃO</t>
  </si>
  <si>
    <t>MACHINE GEN Atraso iniciado: MPS - Exec mecanica AGUARDANDO DESLOCAMENTO - #MSR: PM 250hs + BL</t>
  </si>
  <si>
    <t>FALHA NA CAMERA - SEM ATUAÇÃO -ALTERAÇÃO DE CODIGO P/ PREVENTIVA - #MSR: PM 250hs + 7 BLs</t>
  </si>
  <si>
    <t>RODA DE/DD</t>
  </si>
  <si>
    <t>MACHINE GEN Atraso iniciado: MPS - Exec mecanica</t>
  </si>
  <si>
    <t>202602602344</t>
  </si>
  <si>
    <t>202602615516</t>
  </si>
  <si>
    <t>202602618994</t>
  </si>
  <si>
    <t>202602622280</t>
  </si>
  <si>
    <t>202602628659</t>
  </si>
  <si>
    <t>202602630765</t>
  </si>
  <si>
    <t>202602636739</t>
  </si>
  <si>
    <t>202602637078</t>
  </si>
  <si>
    <t>202602644365</t>
  </si>
  <si>
    <t>202602647786</t>
  </si>
  <si>
    <t>202602649969</t>
  </si>
  <si>
    <t>202602655972</t>
  </si>
  <si>
    <t>202602656186</t>
  </si>
  <si>
    <t>Retrovisor</t>
  </si>
  <si>
    <t>Eletrico - Balanca</t>
  </si>
  <si>
    <t>Balanca-Descalibracao</t>
  </si>
  <si>
    <t>Mangote-Rompimento</t>
  </si>
  <si>
    <t>BAIXO NIVEL DE ÓELO DA DIREÇÃO - COMPLETAR NÍVEL DO ÓLEO DA DIREÇÃO - 202602602344</t>
  </si>
  <si>
    <t>202602615516- SERVIÇO DE SOLDA NO RETROVISOR- REALIZADO SERVIÇO DE SOLDA NO SUPORTE DO RETROVISOR L/E</t>
  </si>
  <si>
    <t>FALHA NA BALANÇA - REALIZADO CALIBRAÇÃO  DAS BALANÇAS - 202602618994</t>
  </si>
  <si>
    <t>BAIXO NIVEL DE ÓLEO HIDRAULICO - COMPLETAR NÍVEL DO ÓLEO DA DIREÇÃO - 202602622280</t>
  </si>
  <si>
    <t>VAZAMENTO DO LIQUIDO ARREFECEDOR - SUBSTITUÍDO MANGOTES DO ELC E UMA MANGUEIRA DO SISTEMA DE RETORNO DE FREIO - 202602628659</t>
  </si>
  <si>
    <t>202602630765- TM_3 -   ALARME BAIXO NÍVEL DE ÓLEO DA DIREÇÃO - COMPLETADO O NÍVEL DE ÓLEO DA DIREÇÃO E DOS FREIOS (NÃO ENCONTRADO VAZAMENTO)</t>
  </si>
  <si>
    <t>BAIXO NIVEL DO OLEO DA TRANSMISSÃO - COMPLETAR NIVEL DO OLEO DA TRANSMISSÃO E VERIFICAR DEMAIS NÍVEIS - 202602636739</t>
  </si>
  <si>
    <t>VAZAMENTO HIDRÁULICO - SUBSTITUIR ORING DA MANGUEIRA DE SAIDA DA BOMBA DE LUBRIFICAÇÃO DO DIFERENCIAL - 202602637078</t>
  </si>
  <si>
    <t>BAIXA PRESSAO DO DIFERENCIAL - 202602637078 - COMPLETADO NIVEL DE OLEO DA BOMBA</t>
  </si>
  <si>
    <t>MACHINE GEN Atraso iniciado: MPS - Exec borracharia</t>
  </si>
  <si>
    <t>202602644365 VAZAMENTO HIDRÁULICO - SUBS VEDAÇÃO DA MANGUEIRA DE RETORNO DO COMANDO FINAL</t>
  </si>
  <si>
    <t>FALHA NOS FAROIS  - 202602647786  SUBSTITUIDO PINO DE ALIMENTAÇÃO DAS LUZES DE POSIÇÃO MT:1150588</t>
  </si>
  <si>
    <t>FALHA NA BALANÇA -202602649969   CALIBRADO PLE MT:1150588</t>
  </si>
  <si>
    <t>202602655972 FALHA NA BALANÇA - CALIBRADO SUSPENSÕES TRASEIRAS</t>
  </si>
  <si>
    <t>202602656186 BAIXO NÍVEL DE ÓLEO DA DIREÇÃO - COMPLETADO 20 LITROS DO OLEO DA DIREÇÃO</t>
  </si>
  <si>
    <t>202602657027 FALHA ALTO COMANDO DA BOMBA DOS FREIOS -SUBSTITUIDO FUSIVEL DO ECM DO FREIO</t>
  </si>
  <si>
    <t>FALHA NA PARTIDA DO MOTOR-202602679882  REALIZADO A TROCA DE 1 BATERIA E DO CABO MT:1150217</t>
  </si>
  <si>
    <t>NIVEL</t>
  </si>
  <si>
    <t xml:space="preserve">NIVEL </t>
  </si>
  <si>
    <t>MANGOTE</t>
  </si>
  <si>
    <t>PAYLOAD</t>
  </si>
  <si>
    <t>DESCALIBRADO</t>
  </si>
  <si>
    <t>DESCALIBRACAO</t>
  </si>
  <si>
    <t>202602684269</t>
  </si>
  <si>
    <t>202602697038</t>
  </si>
  <si>
    <t>202602697781</t>
  </si>
  <si>
    <t>202602697904</t>
  </si>
  <si>
    <t>202602679882</t>
  </si>
  <si>
    <t>Mangote-Fixacao</t>
  </si>
  <si>
    <t>Comunicacao - Comunicacao Externa</t>
  </si>
  <si>
    <t>VAZAMENTO DO LIQUIDO ARREFECEDOR - SENADO VAZAMENTO NO MAGOTE DO LÍQUIDO ARREFECEDOR (FIXAÇÕES DAS ABRAÇADEIRAS)-202602684269</t>
  </si>
  <si>
    <t>FALHA NO HEXAGON - CORRIGIR FALHA DE ALIMENTAÇÃO NO HEXAGON - 202602697038</t>
  </si>
  <si>
    <t>BAIXO N´VEL DE ÓLEO HIDRÁULICO - COMPLETAR NÍVEL DO ÓLEO DA DIREÇÃO REALIZAR LIMPEZA NA VÁLVULA DO SOLENOIDE DESCOMPRESSOR - 202602697781</t>
  </si>
  <si>
    <t>FALHA NA PARTIDA - REPOSICIONAR TERMINAL POSITIVO DO BORNE DA BATERIA - 202602697904</t>
  </si>
  <si>
    <t>202602719163</t>
  </si>
  <si>
    <t>202602728072</t>
  </si>
  <si>
    <t>Porta-Vedacao</t>
  </si>
  <si>
    <t>PORTA NÃO ESTÁ FECHANDO (VEDAÇÃO RUIM)-SUBS VEDAÇAO DA PORTA L/E-202602719163</t>
  </si>
  <si>
    <t>MACHINE GEN Started a delay: MPS - Exec preditiva</t>
  </si>
  <si>
    <t>BAIXO NIVEL DE OLEO DA DIREÇÃO - COMPLETAR NÍVEL DO ÓLEO DA DIREÇÃO REALIZAR LIMPEZA NA VÁLVULA DO SOLENOIDE DESCOMPRESSOR - 202602728072</t>
  </si>
  <si>
    <t>PORTA/VEDACAO</t>
  </si>
  <si>
    <t>AGUARDANDO COMBOIO</t>
  </si>
  <si>
    <t>AGUARDANDO LOCOMOÇÃO</t>
  </si>
  <si>
    <t>AGUARDANDO MAU TEMPO</t>
  </si>
  <si>
    <t>AGUARDANDO RECURSO</t>
  </si>
  <si>
    <t>202602763564</t>
  </si>
  <si>
    <t>202602766357</t>
  </si>
  <si>
    <t>202602767096</t>
  </si>
  <si>
    <t>202601729918</t>
  </si>
  <si>
    <t>202602768208</t>
  </si>
  <si>
    <t>202602772452</t>
  </si>
  <si>
    <t>202602777289</t>
  </si>
  <si>
    <t>202602785535</t>
  </si>
  <si>
    <t>202602759480- SUBSTITUIDO DE PNEU DEVIDO BLOCO</t>
  </si>
  <si>
    <t>202602760458 -,BLOCO PRESO NO PNEU - SUBSTITUIDO PNEU TEI</t>
  </si>
  <si>
    <t>VAZAMENTO DE ÓLEO HIDRAÚLICO.  202602763564 REALIZADO LUBRIFICAÇAÕ NO  ROLAMENTO DO GIRO DO GRIPPER  MT:1150588</t>
  </si>
  <si>
    <t>202602766357 - FALHA NAS CAMERAS - FIXADO CONECTOR</t>
  </si>
  <si>
    <t>BAIXO NIVEL DO OLEO DA DIREÇÃO  202602767096  COMPLETADO  NIVEL DO OLEO DA DIREÇÃO MT:1150588</t>
  </si>
  <si>
    <t>SUBSTITUIÇÃO DOS COMANDOS FINAIS TD  , DIFERENCIAL E TRANSMISSÃO  - 202601729918 ag. detonação    INSTALADO  O CONVERSO DE TRANSMISSÃO DO COMANDO FINAL  MT:22000882</t>
  </si>
  <si>
    <t>FALHA NO AR CONDICIONADO  - 202602768208  REALIZADO  LIMPEZA NOS CONECTORES DOS SWITCHS DE ALTA E BAIXA E COMPLETADO  CARGA DE GÁS. MT:1150588</t>
  </si>
  <si>
    <t>202602772452 - BAIXO NIVEL DE OLEO HIDRAULICO - COMPLETADO NIVEL DE OLEO</t>
  </si>
  <si>
    <t>INSPEÇÃO NA RODA</t>
  </si>
  <si>
    <t>202602772452 ALTO COMANDO DA BOMBA DOS  FREIOS - NAO HOUVE ATUAÇÃO</t>
  </si>
  <si>
    <t>FALHA NO HEXAGON  202602777289  REALIZADO  REAPERTO NAS CONEXÃO DE ALIMENTAÇÃO  MT:938</t>
  </si>
  <si>
    <t>FALHA NO HEXAGOM   202602777289 REALIZADO A TROCA DO DISPLAY MT:938</t>
  </si>
  <si>
    <t>202602785535- ALARME DE COMANDO DE FREIO- REALIZADO AJUSTE NA PRESSÃO DA BOMBA QUE ESTAVA BAIXA.</t>
  </si>
  <si>
    <t>202602787745- FALHA NO VIDRO DA PORTA DO OPERADOR.  - REALIZADO  AJUSTE NO VIDRO DA PORTA DO OPERADOR MT: 1150588</t>
  </si>
  <si>
    <t>Motor Combustao - Lubrificacao</t>
  </si>
  <si>
    <t>Gas</t>
  </si>
  <si>
    <t>Despacho - Configuração Errada</t>
  </si>
  <si>
    <t>Display - Falha Comunicação</t>
  </si>
  <si>
    <t>GAS</t>
  </si>
  <si>
    <t>BAIXI NIVEL</t>
  </si>
  <si>
    <t>PRESSAO</t>
  </si>
  <si>
    <t>PM 1000h + 16BLs</t>
  </si>
  <si>
    <t>202602801005</t>
  </si>
  <si>
    <t>BAIXO NÍVEL DO ÓLEO DA DIREÇÃO-COMPLETADO 30 LITROS DE OLEO HIDRAULICO -202602801005</t>
  </si>
  <si>
    <t>AGUARDANDO AUTOMAÇÃO</t>
  </si>
  <si>
    <t>AGUARDANDO LIMPEZA BASCULA</t>
  </si>
  <si>
    <t>PM 2000h + 38BLs</t>
  </si>
  <si>
    <t>PM 500h + 24BL´s</t>
  </si>
  <si>
    <t>Abastecimento - Acionamento</t>
  </si>
  <si>
    <t>Motor Eletrico</t>
  </si>
  <si>
    <t>BAIXO NIVEL DE OLEO DA DIREÇÃO - REALIZAR COMPLETAMENTO DO NÍVEL DO ÓLEO DA DIREÇÃO - 202602861429</t>
  </si>
  <si>
    <t>CILINDRO , BAIXO RENDIMENTO - CORRIGIR FALHA ELÉTRICA NO INJETOR DE COMBUSTÍVEL DO CILINDRO 12 - 202602861852</t>
  </si>
  <si>
    <t>202602874812  - RETROVISOR SOLTO -  REALIZADO REPARO NO  SUPORTE DO RETROVISOR.</t>
  </si>
  <si>
    <t>FALHA NO HEXAGON  202602878205  SUBSTITUIDO ANTENA MT:938</t>
  </si>
  <si>
    <t>202602861429</t>
  </si>
  <si>
    <t>202602861852</t>
  </si>
  <si>
    <t>202602878205</t>
  </si>
  <si>
    <t>202602886868</t>
  </si>
  <si>
    <t>202602898489</t>
  </si>
  <si>
    <t>202602910326</t>
  </si>
  <si>
    <t>202602914283</t>
  </si>
  <si>
    <t>202602886868 FALHA NO VIDRO DA PORTA-REALIZADO PALIATIVO NO VIDRO</t>
  </si>
  <si>
    <t>202602898489- FALHA NA VEDAÇÃO DA PORTA - FOI INSTALADO VEDAÇÃO NA PORTA DA CABINE DO OPERADOR.</t>
  </si>
  <si>
    <t>FALHA NO AR CONDICIONADO - COMPLETADO CARGA DE GÁS DO AR CONDICIONADO  -202602910326</t>
  </si>
  <si>
    <t>VAZAMENTO HIDRÁULICO - VAZAMENTO NO SUSPIRO DEVIDO A NÍVEL ALTO – (SEM ATUAÇÃO)</t>
  </si>
  <si>
    <t>202602914283- BAIXO NIVEL DO OLEO- COMPLETADO 34 LT DE OLEO DO RESERVATORIO DA DIREÇÃO</t>
  </si>
  <si>
    <t>Porta-Avaria</t>
  </si>
  <si>
    <t>FALTA</t>
  </si>
  <si>
    <t>202602937511</t>
  </si>
  <si>
    <t>FALHA NO HEXAGON - FALHA DE COMUNICAÇÃO DO HEXAGON - 202602937511</t>
  </si>
  <si>
    <t>CONFIGURACAO</t>
  </si>
  <si>
    <t>FALTA DE CONFIGURAÇÃO</t>
  </si>
  <si>
    <t>CONFIGURAR</t>
  </si>
  <si>
    <t>202602957574</t>
  </si>
  <si>
    <t>QUEBRA DA BARRA DO CILINDRO DE DIREÇÃO L/D - SUBSTITUIR BARRA DA DIREÇÃO - 202602957360</t>
  </si>
  <si>
    <t>BAIXO NÍVEL DO ÓLEO DA DIREÇÃO - ABASTECER NIVEL DO OLEO DA DIREÇÂO - 202602957574</t>
  </si>
  <si>
    <t>BARRA DO CILINDRO</t>
  </si>
  <si>
    <t>QUEBRA</t>
  </si>
  <si>
    <t>202602985086</t>
  </si>
  <si>
    <t>202602985086 BAIXO NÍVEL DE ÓLEO DA TRANSMISSÃO - COMPLETADO 60 LITROS DE ÓLEO HIDRAULICO E 40 LITROS DE OLEO DA TRANSMISSÃO</t>
  </si>
  <si>
    <t>202603002607</t>
  </si>
  <si>
    <t>202603005612</t>
  </si>
  <si>
    <t>202603034615</t>
  </si>
  <si>
    <t>202603043618</t>
  </si>
  <si>
    <t>202603048505</t>
  </si>
  <si>
    <t>Propulsao Retardo - Alternador Principal</t>
  </si>
  <si>
    <t>Conexoes-Curto-Circuito</t>
  </si>
  <si>
    <t>Tanque-Nivel Baixo</t>
  </si>
  <si>
    <t>Eletrico - Sinalizacao</t>
  </si>
  <si>
    <t>Sensor de Temperatura de Admissao Le</t>
  </si>
  <si>
    <t>202603002607 -  FALHA NO HEXAGON - TROCA DO CABO DAS ANTENAS</t>
  </si>
  <si>
    <t>202603005612 - VAZAMENTO HIDRÁULICO - VAZAMENTO NO COMANDO FINAL (SERÁ SANADO NÁ PREVENTIVA)</t>
  </si>
  <si>
    <t>ALTA PRESSÃO NO PNEU TDE</t>
  </si>
  <si>
    <t>BOTOEIRA DO AFEX - APLICADO LACRE NA APOLA MANUAL DO AFEX - 202603034615</t>
  </si>
  <si>
    <t>BAIXA NIVEL DO OLEO DA DIREÇÃO - COMPLETADO OLEO DA DIREÇÃO</t>
  </si>
  <si>
    <t>FALHA NO DETECT-SUBS DETECT TRASEIRO L/D-202603043618</t>
  </si>
  <si>
    <t>BAIXO RENDIMENTO - REALIZAR LIMPEZA NO CONECTOR DO SENSOR DE TEMPERATURA DO COLETOR DE ADMISSÃO L/E - 202603048505</t>
  </si>
  <si>
    <t>SISTEMA DETECT</t>
  </si>
  <si>
    <t>RADAR LD</t>
  </si>
  <si>
    <t>ACIONAMENTO AUTOMATICO</t>
  </si>
  <si>
    <t>ADMISSAO</t>
  </si>
  <si>
    <t>Direcao - Barra Direcao</t>
  </si>
  <si>
    <t>Vedação;Fixação</t>
  </si>
  <si>
    <t>ALARME NIVEL 3 BAIXO NIVEL DE ÓLEO DA DIREÇÃO -REALIZADO APERTO NO FILTRO DA DIREÇAO E COMPLETADO 41 LITROS DE OEO DA DIREÇAO -202603056653</t>
  </si>
  <si>
    <t>FALHA NO AR CONDICIONADO E PEDAL DE ACELERAÇÃO DURO.-SUBS RELE DE ACIONAMENTO DO COMPRESSOR -202603056817</t>
  </si>
  <si>
    <t>BAIXO RENDIMENTO - SUBSTITUIR FILTROS DE COMBUSTIVEL - 202603078163</t>
  </si>
  <si>
    <t>202603056653</t>
  </si>
  <si>
    <t>202603056817</t>
  </si>
  <si>
    <t>RELE DE ACIONAMENTO</t>
  </si>
  <si>
    <t>COMPLETAR NÍVEL DE ÓLEO DA DIREÇÃO</t>
  </si>
  <si>
    <t>COMPLETAR O OLEO DA DIREÇÃO</t>
  </si>
  <si>
    <t>AG AVALIAÇÃO DA BORRACHARIA</t>
  </si>
  <si>
    <t>PM 500h + 20 BLs</t>
  </si>
  <si>
    <t>202603112545</t>
  </si>
  <si>
    <t>202603124235</t>
  </si>
  <si>
    <t>202603129377</t>
  </si>
  <si>
    <t>202603109119  FALHA NA PARTIDA DO MOTOR - SUBISTITUÍDO BASE DE FIXAÇÃO DO TAMGUE DIESEL E FILTRO DE COMBUSTÍVEL.</t>
  </si>
  <si>
    <t>BAIXO NÍVEL DE ÓLEO DA DIREÇÃO - COMPLETADO 30 L DE ÓLEO DA DIREÇÃO 202603112545</t>
  </si>
  <si>
    <t>202603124235 - BAIXO NÍVEL DE ÓLEO DA DIREÇÃO (VAZAMENTO DE ÓLEO) COMPLETADO 50 LITROS NIVEL DO OLEO DA DIREÇÃO</t>
  </si>
  <si>
    <t>BAIXO NÍVEL DE ÓLEO DA DIREÇÃO /VAZAMENTO HIDRAULICO  -202603129377   SUBSTITUIDO MANGUEIRA DIR LE MT:1150588</t>
  </si>
  <si>
    <t>SUPORTE DO TANQUE</t>
  </si>
  <si>
    <t>202603128887 - BAIXO NÍVEL DO ÓLEO DA TRANSMISSÃO - COMPLETADO 34 LITROS DE  ÓLEO DA TRANSMISSÃO</t>
  </si>
  <si>
    <t>202603128887</t>
  </si>
  <si>
    <t>202603160240</t>
  </si>
  <si>
    <t>202603166032</t>
  </si>
  <si>
    <t>202603167173</t>
  </si>
  <si>
    <t>202603169162</t>
  </si>
  <si>
    <t>202603170618</t>
  </si>
  <si>
    <t>202603176302</t>
  </si>
  <si>
    <t>202603176651</t>
  </si>
  <si>
    <t>202603180647</t>
  </si>
  <si>
    <t>202603188651</t>
  </si>
  <si>
    <t>202603191257</t>
  </si>
  <si>
    <t>Sensor Temp Oleo Transmis-Sujeira</t>
  </si>
  <si>
    <t>FALHA NO AFEX-RECONCTADO CABO DO ATUADOR ELETRICO AFEX -202603160240</t>
  </si>
  <si>
    <t>TM-3-BAIXO NÍVEL DE ÓLEO DA DIREÇÃO - COMPLETADO 40 LITRO DE ÓLEO DA DIREÇÃO ( NÃO ENCONTRADO VAZAMENTO) - 202603166032</t>
  </si>
  <si>
    <t>BAIXO NIVEL DE ÓELO DA TRANSMISSÃO - REALIZAR COMPLEMENTO DO OLEO DA TRANSMISSÃO - 202603167173</t>
  </si>
  <si>
    <t>BAIXO NIVEL DO OLEO DA DIREÇÃO - REALIZAR COMPLEMENTO DO OLEO DA DIREÇÃO - 202603169162</t>
  </si>
  <si>
    <t>FALHA NO AR-CONDICIONADO - 202603170618 - COMPLEMENTO DE GAS REFRIGERANTE</t>
  </si>
  <si>
    <t>FALHA NO AR-CONDICIONADO - SUBSTITUIDO O FILTRO SECADOR E COMPLETANDO CARGA DE GÁS - 202603173943</t>
  </si>
  <si>
    <t>BAIXO RENDIMENTO- REALIZADO LIMPEZA NO SENSOR DE TEMPERATURA DO DIFERENCIAL - 202603176302</t>
  </si>
  <si>
    <t>BAIXO NÍVEL DE ÓLEO DA DIREÇÃO - 202603176651 - COMPLETADO NIVEL DE OLEO</t>
  </si>
  <si>
    <t>BAIXO RENDIMENTO - OPERAÇÃO ASSISTIDA</t>
  </si>
  <si>
    <t>FALHA NO GPS - REALIZAR TROCA DO CABO GPS - 202603180647</t>
  </si>
  <si>
    <t>VAZAMENTO HIDRAÚLICO- 202603188651 - CORRIGIR VAZAMENTO DO  MANIFOLD DOS FILTRO DE  COMBUSTIVEL</t>
  </si>
  <si>
    <t>BAIXO RENDIMENTO - CORRIGIR ALIMENTAÇÃO DO SENSOR DE PRESSÃO DO COLETOR DE ADMISSÃO E COMPLETAR NÍVEIS - 202603191257</t>
  </si>
  <si>
    <t>FILTRO SECUNDARIO</t>
  </si>
  <si>
    <t>COMANDO FINAL TD</t>
  </si>
  <si>
    <t>NIVEL BAIXO</t>
  </si>
  <si>
    <t>FILTRO SECADOR</t>
  </si>
  <si>
    <t>TROCAR</t>
  </si>
  <si>
    <t>PM 250h + 3 BLs</t>
  </si>
  <si>
    <t>202603204028</t>
  </si>
  <si>
    <t>202603204028 - BAIXO NIVEL DE ÓLEO DA DIREÇÃO - SUBSTITUÍDO MANGUEIRA DO ACUMULADOR DA DIREÇÃO, COMPLETADO 35 LITROS DE ÓLEO.</t>
  </si>
  <si>
    <t>202603207103 - CORRIMÃO QUEBRADO, BORRACHA DA PORTA DANIFICADA - FOI INSTALADO VEDAÇÃO DA PORTA DA CABINE DO OPERADOR.</t>
  </si>
  <si>
    <t>PM 250h + 4 BLs</t>
  </si>
  <si>
    <t>CORRIMAO</t>
  </si>
  <si>
    <t>9031</t>
  </si>
  <si>
    <t>HMC - EXEC SIST EMBARCADOS/AUTOMACAO</t>
  </si>
  <si>
    <t>202603222997</t>
  </si>
  <si>
    <t>Rádio De Voz - Microfone Danificado</t>
  </si>
  <si>
    <t>202603222997 - RADIO DE VOZ COM INTERFERENCIA - REALIZADO  TROCA DO MICROFONE PTT</t>
  </si>
  <si>
    <t>MICROFONE</t>
  </si>
  <si>
    <t>202603273102</t>
  </si>
  <si>
    <t>BAIXO NIVEL DE ÓLEO DA DIREÇÃO - COMPLETADO 76 LITROS DE ÓLEO HIDRÁULICO E 22 LITROS DE ÓLEO DA DIREÇÃO - 202603273102 - SC09AC - DARLISSON</t>
  </si>
  <si>
    <t>202603281198</t>
  </si>
  <si>
    <t>202603310394</t>
  </si>
  <si>
    <t>202603310395</t>
  </si>
  <si>
    <t>BAIXO NIVEL DO OLEO DA DIREÇÃO - REALIZAR COMPLEMENTO DO OLEO DA DIREÇÃO - 202603281198</t>
  </si>
  <si>
    <t>BAIXO NIVEL DO OLEO DA TRANSMISSÃO - COMPLETAR NÍVEL DO ÓLEO DA TRANSMISSÃO E VERIFICSR DEMAIS NÍVEIS - 202603310394</t>
  </si>
  <si>
    <t>BAIXO NIVEL DE OLEO DA DIREÇÃO - COMPLETAR NÍVEL DO ÓLEO DA DIREÇÃO E VERIFICSR DEMAIS NÍVEIS - 202603310395</t>
  </si>
  <si>
    <t>202603001301</t>
  </si>
  <si>
    <t>Sensor Suspensao De-Mau Contato</t>
  </si>
  <si>
    <t>202603001301- FALHA NA BALANÇA E DETECT -COMPLETADO 80 LITROS DE OLEO HIDRAULICO - SUB TUBO DE FREIO , CORRIGIDO ALIMENTAÇÃO DO SENSOR DA BALANÇA</t>
  </si>
  <si>
    <t>SENSOR</t>
  </si>
  <si>
    <t>FALHA NAS CÂMERAS 202603331898 SUBSTITUIDO CABO DA CÂMERA L/D MATR. 1150588</t>
  </si>
  <si>
    <t>202603331898</t>
  </si>
  <si>
    <t>Camera de Video</t>
  </si>
  <si>
    <t>202603345267</t>
  </si>
  <si>
    <t>202603342202</t>
  </si>
  <si>
    <t>202603336673</t>
  </si>
  <si>
    <t>202603345267 BAIXO NÍVEL DE ÓLEO DA DIREÇÃO</t>
  </si>
  <si>
    <t>FALHA NO DETECT  - 202603342202  REALIZADO  EMENDA DO CABO DA REDE  CAN  MT: 1150588</t>
  </si>
  <si>
    <t>PNEU TRASEIRO (DD) ESTA COM BAIXA PRESSÃO - 202603336673 CALIBRADO PNEU DD  MT: 01544603</t>
  </si>
  <si>
    <t>Cabo/fiação/Rompimento</t>
  </si>
  <si>
    <t>ROMPIMENTO</t>
  </si>
  <si>
    <t>202603381061</t>
  </si>
  <si>
    <t>202603381125</t>
  </si>
  <si>
    <t>SUPORTE DA  TELA DO MINESTAR - REALIZAR FIXAÇÃO DO SUPORTE DA TELA DO DISPLAY MANISTAR - 202603381061</t>
  </si>
  <si>
    <t>BAIXO NIVEL DE OLEO DA TRANSMISSÃO - COMPLETADO 3O LT DO OLEO DA TRANSMISSÃO - 202603381125</t>
  </si>
  <si>
    <t>Monitor de Video</t>
  </si>
  <si>
    <t>DISPLAY DESPACHO (MINESTAR)</t>
  </si>
  <si>
    <t>SUPORTE</t>
  </si>
  <si>
    <t>202603394086</t>
  </si>
  <si>
    <t>FALHA NA BALANÇA- CALIBRADO A SUSPENSSÃO TRASEIRA - 202603394086</t>
  </si>
  <si>
    <t>PM 250h + 05BLs</t>
  </si>
  <si>
    <t>202603417992</t>
  </si>
  <si>
    <t>202603426124</t>
  </si>
  <si>
    <t>202602346075</t>
  </si>
  <si>
    <t>202603428741</t>
  </si>
  <si>
    <t>202603429319</t>
  </si>
  <si>
    <t>202603439939</t>
  </si>
  <si>
    <t>BAIXO NIVEL DE OLEO DA TRANSMISSÃO - REALIZAR COMPLEMENTO DO OLEO DA TRANSMISSÃO - 202603417992</t>
  </si>
  <si>
    <t>202603426124 BAIXO NIVEL DE OLEO DA DIREÇÃO - COMPLETADO NIVEIS DE OLEO DA DIREÇÃO</t>
  </si>
  <si>
    <t>202602346075 VAZAMENTO DE OLEO -SUBSTITUIDO MANGUEIRA DE ARREFECIEENTO LD E COMPLE 200 LITROS DE OLEO HIDRAULICO</t>
  </si>
  <si>
    <t>202603428741 FALHA  NO AR-CONDICIONADO - REPOSICIONADO FUSIVEL</t>
  </si>
  <si>
    <t>TRAVA DE PROTEÇÃO DA ESCADA DE EMERGENCIA DANIFICADA  -202603429319 REALIZADO  SOLDA TRAVA DA PORTINHOLA DA ESCADA DE EMERGÊNCIA  MT:22101636</t>
  </si>
  <si>
    <t>202603417992 FALHA NO ACIONAMENTO DA PORTA DO LADO DIREITO- SUB SUITE ACIONAMENTO DO VIDRO PORTA LADO ESQUERDO.</t>
  </si>
  <si>
    <t>BAIXO NIVEL DO OLEO DE TRASMISSÃO   202603439939  COMPLETADO NÍVEIS HIDRÁULICO MT:2210636</t>
  </si>
  <si>
    <t>Frenagem - Roda Dd</t>
  </si>
  <si>
    <t>SWITCH DE ACIONAMENTO</t>
  </si>
  <si>
    <t>TRAVA DE PROTECAO</t>
  </si>
  <si>
    <t/>
  </si>
  <si>
    <t>2263448939</t>
  </si>
  <si>
    <t>202603448939 BAIXA VOLTAGEM DO SISTEMA  - FOI SUBSTITUIDO O ALTERNADOR</t>
  </si>
  <si>
    <t>Arrefecimento - Linha Painel Eletrico</t>
  </si>
  <si>
    <t>ALTERNADOR</t>
  </si>
  <si>
    <t>2263479587</t>
  </si>
  <si>
    <t>BAIXO NÍVEL DO ÓLEO DA DIREÇÃO - COMPLETAR NÍVEL DO ÓLEO DA DIREÇÃO - 202603479587</t>
  </si>
  <si>
    <t>BAIXA PRESSÃO DE AR PNEU TDE</t>
  </si>
  <si>
    <t>PM 4000h + 27BLs</t>
  </si>
  <si>
    <t>4000 HORAS</t>
  </si>
  <si>
    <t>DESVIO EXEC LAVADOR &gt; 4H</t>
  </si>
  <si>
    <t>HMC - AG. BORRACHARIA</t>
  </si>
  <si>
    <t>HMC - AG ENERGIA</t>
  </si>
  <si>
    <t>AGUARDANDO DETONAÇÃO</t>
  </si>
  <si>
    <t>AGUARDANDO SEGREGAÇÃO LOCAL</t>
  </si>
  <si>
    <t>AGUARDANDO RECURSO - OXICORTE</t>
  </si>
  <si>
    <t>AGUARDANDO OPERAÇÃO DESCER ATIVO PARA OFICINA</t>
  </si>
  <si>
    <t>AGUARDANDO DESMONTE</t>
  </si>
  <si>
    <t>AGUARDANDO COMBOIO, ACIONADO AS 11:00</t>
  </si>
  <si>
    <t>AGUARDANDO COMBOIO, ACIONADO AS 15:45</t>
  </si>
  <si>
    <t>AGUARDANDO EMPILHADEIRA</t>
  </si>
  <si>
    <t>OFICINA SEM ENERGIA, BASE 7, 8 E 9</t>
  </si>
  <si>
    <t>AGUARDANDO CONDICOES SEGURAS</t>
  </si>
  <si>
    <t>AGUARDANDO LIMPEZA DE BÁSCULA</t>
  </si>
  <si>
    <t>AGUARDANDO OPERAÇÃO</t>
  </si>
  <si>
    <t>DESVIO AG LOCOMOCAO &gt;1H</t>
  </si>
  <si>
    <t>DESVIO AGUARDANDO COMBOIO, ACIONADO AS 09:16</t>
  </si>
  <si>
    <t>DESVIO AGUARDANDO COMBOIO &gt; 30 MIN</t>
  </si>
  <si>
    <t>SUBSTITUIR PNEU DE/DD</t>
  </si>
  <si>
    <t>AGUARDANDO CAMINHAO PIPA PARA LIMPEZA OLEO RESIDUAL</t>
  </si>
  <si>
    <t>AGUARDANDO LOCOMOÇÃO, 2 FICHAS</t>
  </si>
  <si>
    <t>DESVIO AGUARDANDO COMBOIO &gt; 30MIN - COMBOIO ACIONADO AS 11:37</t>
  </si>
  <si>
    <t>DESVIO AGUARDANDO COMBOIO &gt; 30MIN, COMBOIO ACIONADO AS 10:00</t>
  </si>
  <si>
    <t>DESVIO AGUARDANDO COMBOIO &gt; 30MIN, AGUARDANDO COMBOIO, ACIONADO AS 16:20</t>
  </si>
  <si>
    <t>DESVIO AGUARDANDO COMBOIO &gt; 30MIN, AGUARDANDO COMBOIO, ACIONADO AS 18:00</t>
  </si>
  <si>
    <t>DESVIO AGUARDANDO COMBOIO &gt; 30MIN, AGUARDANDO COMBOIO, ACIONADO AS 08:32</t>
  </si>
  <si>
    <t>DESVIO AGUARDANDO COMBOIO &gt; 30MIN, COMBOIO ACIONADO 03:06</t>
  </si>
  <si>
    <t>DESVIO AGUARDANDO COMBOIO &gt; 30MIN, AGUARDANDO COMBOIO, ACIONADO AS 20:07</t>
  </si>
  <si>
    <t>DESVIO AGUARDANDO COMBOIO &gt; 30MIN, AGUARDANDO COMBOIO, ACIONADO AS 21:23</t>
  </si>
  <si>
    <t>DESVIO AGUARDANDO COMBOIO &gt; 30MIN, COMBIOI ACIONADO AS 04:08</t>
  </si>
  <si>
    <t>DESVIO AGUARDANDO LOCOMOÇÃO &gt; 1H</t>
  </si>
  <si>
    <t>DESVIO AGUARDANDO COMBOIO &gt; 30MIN, COMBOIO ACIONADO AS 01:45</t>
  </si>
  <si>
    <t>DESVIO AGUARDANDO COMBOIO &gt; 30MIN, COMBOIO ACIONADO 02:43</t>
  </si>
  <si>
    <t>SUPORTE DO RETROVISOR</t>
  </si>
  <si>
    <t>DESVIO AGUARDANDO COMBOIO &gt; 30MIN, ACIONADO AS 03:30, E AS 07:00 2 FICHAS</t>
  </si>
  <si>
    <t>DESVIO AGUARDANDO COMBOIO &gt; 30MIN, COMBOIO ACIONADO AS 11:00</t>
  </si>
  <si>
    <t>INJETOR</t>
  </si>
  <si>
    <t>DESVIO AGUARDANDO COMBOIO &gt; 30MIN, COMBOIO ACIONADO AS 04:46</t>
  </si>
  <si>
    <t>2263531369</t>
  </si>
  <si>
    <t>BAIXO NIVEL DO OLEO DA TRANSMISSÃO - REALIZADO COMPLEMENTO DO OLEO DA TRANSMISSÃO 40 LT - 202603531369</t>
  </si>
  <si>
    <t>226355312</t>
  </si>
  <si>
    <t>2263552612</t>
  </si>
  <si>
    <t>2263555875</t>
  </si>
  <si>
    <t>2263563613</t>
  </si>
  <si>
    <t>202603553120- BAIXO NIVEL DE OLEO- SUB VEDAÇÃO DA MANGUEIRA DA  DIREÇÃO  LADO DIREITO COMPLETADO 10 DE ÓLEO DA DIREÇÃO..</t>
  </si>
  <si>
    <t>20260355261 - FALHA NO AR CONDICIONADO - SUB CORREIA  DO COMPRESSOR DE AR CONDICIONADO.</t>
  </si>
  <si>
    <t>Correia-Avaria</t>
  </si>
  <si>
    <t>202603555875- PAINEL AFEX DESLIGADO  - SUBSTITUIDO PINO DO SQUIB</t>
  </si>
  <si>
    <t>Alerta De Proximidade - Conector Danificado</t>
  </si>
  <si>
    <t>202603563613- BAIXO NIVEL DO OLEO DA DIREÇÃO - SUB VEDAÇÃO  DA MANGUEIRA PILOTO DA BOMBA DE DIREÇÃO,COMPLETADO 40 L DE ÓLEO DA DIREÇÃO.</t>
  </si>
  <si>
    <t>CORREIA</t>
  </si>
  <si>
    <t>PM 500h + 35 BLs</t>
  </si>
  <si>
    <t>2263586213</t>
  </si>
  <si>
    <t>BAIXO NÍVEL DO ÓLEO DA TRANSMISSÃO - COMPLETAR NÍVEL DO ÓLEO DA TRANSMISSÃO E VERIFICAR NÍVEIS - 202603586213</t>
  </si>
  <si>
    <t>226362487</t>
  </si>
  <si>
    <t>PAINEL FOLGADO  - EFETUADO FIXAÇÃO DO PAINEL NA ESTRUTURA - 202603602487</t>
  </si>
  <si>
    <t>Painel-Fixacao</t>
  </si>
  <si>
    <t>FOLGADO</t>
  </si>
  <si>
    <t>PM 500h + 22BLs</t>
  </si>
  <si>
    <t>226366137</t>
  </si>
  <si>
    <t>ALTA TEMPERATURA DO LIQUIDO ARREFECEDOR- SEM A TUAÇÃO MECÂNICA , PORÉM TEVE ACORDO COM A OPERAÇÃO E MANUTENÇÃO</t>
  </si>
  <si>
    <t>Preventiva</t>
  </si>
  <si>
    <t>Oportunidade</t>
  </si>
  <si>
    <t>Correção De Defeito</t>
  </si>
  <si>
    <t>202603660137- FALHA NO HEXAGON - REALIZADO A TROCA DO DISPLAY</t>
  </si>
  <si>
    <t>Alerta De Proximidade  - Conector Danificado</t>
  </si>
  <si>
    <t>Display - Sem Alimentação</t>
  </si>
  <si>
    <t>2263648759</t>
  </si>
  <si>
    <t>202603648759 BAIXA PRESSÃO NOS PNEUS DE E TDE -  REGULARIZADA PRESSÃO DO PNEU TRASEIRO,DIREITO EXTERNO.</t>
  </si>
  <si>
    <t xml:space="preserve">ALTA TEMPERATURA </t>
  </si>
  <si>
    <t>RODA TDE/DE</t>
  </si>
  <si>
    <t>2263667163</t>
  </si>
  <si>
    <t>226368661</t>
  </si>
  <si>
    <t>226369195</t>
  </si>
  <si>
    <t>202603667163- FALHA NA ELEVAÇÃO DA BASCULA - REALIZADO EMENDA DOS CABOS DA SOLENOIDE</t>
  </si>
  <si>
    <t>Cabo Ancoragem-Rompimento</t>
  </si>
  <si>
    <t>202603680661 - VAZAMENTO DE ELC-  SUBS MANGOTE  DE RETORNO DO TROCADOR DE CALOR PARA BLOCO DO MOTOR, COMPLETADO 400 L DE LC.</t>
  </si>
  <si>
    <t>Trocador de calor</t>
  </si>
  <si>
    <t>202603691950- FALHA NA ESCADA- COMPLETADO NIVEIS DE OLEO DO RESERVATORIO DA ESCADA</t>
  </si>
  <si>
    <t>Meses (Hora Inicio)</t>
  </si>
  <si>
    <t>jul</t>
  </si>
  <si>
    <t>BASCULA</t>
  </si>
  <si>
    <t>ESCADA</t>
  </si>
  <si>
    <t>226375343</t>
  </si>
  <si>
    <t>2263712498</t>
  </si>
  <si>
    <t>BAIXO NÍVEL DE ÓLEONDA TRANSMISSÃO - COMPLETAR NIVEL DO ÓLEO DA TRANSMISSÃO E VERIFICAR NÍVEIS - 202603705343</t>
  </si>
  <si>
    <t>MACHINE GEN Started a delay: MPS - Exec mecanica</t>
  </si>
  <si>
    <t>MPNS - EXEC LAVADOR</t>
  </si>
  <si>
    <t>2263769625</t>
  </si>
  <si>
    <t>SUBS COMANDO FINAL L/E</t>
  </si>
  <si>
    <t>202603769625- BAIXO NIVEL DO OLEO DA TRANSMISSÃO - COMPLETADO 30LT DE OLEO</t>
  </si>
  <si>
    <t>Transmissao-Vazamento</t>
  </si>
  <si>
    <t>Comboio reabastecer</t>
  </si>
  <si>
    <t>Soma de DUR. EXP. FILHA</t>
  </si>
  <si>
    <t>fev</t>
  </si>
  <si>
    <t>*24</t>
  </si>
  <si>
    <t>total base tratada</t>
  </si>
  <si>
    <t>total planilha expurgos</t>
  </si>
  <si>
    <t>diferença</t>
  </si>
  <si>
    <t>COMANDO FINAL TE</t>
  </si>
  <si>
    <t>2263792989</t>
  </si>
  <si>
    <t>22638623</t>
  </si>
  <si>
    <t>226381387</t>
  </si>
  <si>
    <t>2263816555</t>
  </si>
  <si>
    <t>2263827355</t>
  </si>
  <si>
    <t>202603792989- BAIXA VOLTAGEM NO SISTEMA (BATERIA)- SUBSTITUIDO TENSIONADOR DO ALTERNADOR E REALIZADO A TROCA DA CORREIA</t>
  </si>
  <si>
    <t>FALHA NA ESCADA - SUBS MOTOR DA ESCADA RETRATIL</t>
  </si>
  <si>
    <t>202603806203- BAIXO NIVEL DO OLEO DA TRANSMISSÃO - COMPLETADO 47LT DE OLEO DO CONVERSOR DE TORQUE</t>
  </si>
  <si>
    <t>Conversor de Torque</t>
  </si>
  <si>
    <t>FALHA DE COMUNICAÇÃO - REAPERTARO O CABO A DO RÁDIO AVI</t>
  </si>
  <si>
    <t>FALHA NOS FREIOS - RELIZADO AJUSTE NA BOMBA DOS FREIOS - 202603813870</t>
  </si>
  <si>
    <t>FALHA  NA TELA DO OPERADOR - NORMALIZAR CONECTIVIDADE - 202603816555</t>
  </si>
  <si>
    <t>Monitor Video-Comunicacao</t>
  </si>
  <si>
    <t>FALHA NA PARTIDA - 202603827355 - CORRIGIDO FALHA</t>
  </si>
  <si>
    <t>MOTOR</t>
  </si>
  <si>
    <t>BOMBA HIDRAULICA</t>
  </si>
  <si>
    <t>2263849113</t>
  </si>
  <si>
    <t>FALHA NA ELEVAÇÃO DA ESCADA -  COMPLETADO O NÍVEL DE ÓLEO DO RESERVATÓRIO DA ESCADA 5 LITROS - 202603847994</t>
  </si>
  <si>
    <t>FALHA NA ELEVAÇÃO DA ESCADA - SUBSTITUIR FUSÍVEL DO SISTEMA DA ESCADA E REALIZAR LIMPEZA NO CONECTOR DE ACIONAMENTO - 202603849113</t>
  </si>
  <si>
    <t>SUBSTITUIR 2 PNEUS DIANTEIROS</t>
  </si>
  <si>
    <t xml:space="preserve">PM 250H + 03BLS </t>
  </si>
  <si>
    <t>2263911165</t>
  </si>
  <si>
    <t>202603911165 - ALARME NA CABINE - ISOLADO  ALIMENTAÇÃO DO CORDOALHA DE TEMPERATURA DOS FREIO.</t>
  </si>
  <si>
    <t>Frenagem - Freio Estacionamento</t>
  </si>
  <si>
    <t>CORDOALHA</t>
  </si>
  <si>
    <t>FALHA NO LACRE DO AFEX-INSTALADO LACRE DO AFEX -202603939812</t>
  </si>
  <si>
    <t>202603949405-  FALHA AFEX - EQUIPE SOTREQ REPOSICIONOU O CONECTOR DO SISTEMA AFEX</t>
  </si>
  <si>
    <t>Fiacao</t>
  </si>
  <si>
    <t>202603456835 - FALHA NO LINK - (PRINCIPIO DE INCÊNDIO) #MSR: Subst. cordoalhas, mangueiras e transmissão.</t>
  </si>
  <si>
    <t>PM 250h</t>
  </si>
  <si>
    <t>ago</t>
  </si>
  <si>
    <t>202603964795</t>
  </si>
  <si>
    <t>202603964795 FALHA DE COMUNICAÇÃO DAS ANTENAS DO TRANSCEIVER DO MEMS</t>
  </si>
  <si>
    <t>Monit. Pneus - Cabo Danificado</t>
  </si>
  <si>
    <t>Transceiver - Falha Comunicação</t>
  </si>
  <si>
    <t>202603971844  VAZAMENTO HIDRAULICO  - MANUTENÇÃO CHEGOU NA MAQUINA A MESMA OPERACIONAL, SEM NECESSIDADE DE ATUAÇÃO DA MANUTENÇÃO.</t>
  </si>
  <si>
    <t>Motor Combustao-Nao Encontrado</t>
  </si>
  <si>
    <t>MEMS</t>
  </si>
  <si>
    <t>PM 250h + 05 BLs</t>
  </si>
  <si>
    <t>202603991415</t>
  </si>
  <si>
    <t>BAIXO NIVEL DO OLEO DA TRANSMISSÃO  202603991415  OMPLETADO NÍVEL DE ÓLEO DA TRANSMISSÃO  MT:1150619</t>
  </si>
  <si>
    <t>MACHINE GEN Started a delay: Refeicao</t>
  </si>
  <si>
    <t>202604021802</t>
  </si>
  <si>
    <t>202604032140</t>
  </si>
  <si>
    <t>202604037273</t>
  </si>
  <si>
    <t>202604021802- VAZAMENTO HIDRAULICO- SANADO VAZAMENTO HIDRAULICO</t>
  </si>
  <si>
    <t>BAIXO NIVEL DE OLEO DA DIREÇÃO.  - COMPLETADO 42L DE OLEO DA DIREÇÃO. 202604032140</t>
  </si>
  <si>
    <t>BAIXA PRESSÃO PNEU TDI - CALIBRADO PNEU TDI - 202604037273</t>
  </si>
  <si>
    <t>202604054603</t>
  </si>
  <si>
    <t>202604059930</t>
  </si>
  <si>
    <t>202604067904</t>
  </si>
  <si>
    <t>202604054603- BAIXO NIVEL DE OLEO DA DIREÇÃO - COMPLETADO 30LT DE OLEO DA DIREÇÃO</t>
  </si>
  <si>
    <t>202604059930 - BAIXO NÍVEL DE ÓLEO DA DIREÇÃO - SUBSTITUIDO VEDAÇÃO DA MANGUEIRA DE SUPLEMENTO DA BOMBA DE DIREÇÃO.</t>
  </si>
  <si>
    <t>202604067904- FALHA NO AR CONDICIONADO- SUBSTITUIDO FILTRO DO AR</t>
  </si>
  <si>
    <t>Ar Condicionado - Filtro</t>
  </si>
  <si>
    <t>Filtro</t>
  </si>
  <si>
    <t>PRESSÃO BAIXA DO PNEU TDE -CALIBRADO PNEU TDE</t>
  </si>
  <si>
    <t>Pneu</t>
  </si>
  <si>
    <t>FILTRO EXTERNO</t>
  </si>
  <si>
    <t>OBSTRUCAO</t>
  </si>
  <si>
    <t>202604087383</t>
  </si>
  <si>
    <t>202604101588</t>
  </si>
  <si>
    <t>202604087383 - PNEU FURADO TRASEIRO ESQUERDO EXTERNO -  SUBS PNEU TEE TRASEIRO DO LADO  ESQUERDO</t>
  </si>
  <si>
    <t>202604101588 -BAIXO NIVEL DO OLEO DA TRANSMISSÃO- COMPLETADO 30 L DE ÓLEO</t>
  </si>
  <si>
    <t>RODA TE</t>
  </si>
  <si>
    <t>202604106431</t>
  </si>
  <si>
    <t>VAZAMENTO DE OLEO HIDRAULICO NA TRANSMISSÃO  202604106431 COMPLETADO NIVEL DE OLEO HD 70 LITROS  MT:1150619</t>
  </si>
  <si>
    <t>202604166804</t>
  </si>
  <si>
    <t>202604166804- FALHA NO COMANDO ALTO DO COMANDO DE FREIO- COMPLETADO OLEO DA DIREÇÃO E DO DIFERENCIAL REALIZADO LIMPEZA NA VALVULA DO SOLENOIDE DESCOMPRESSOR DO BLOCO DO FREIO</t>
  </si>
  <si>
    <t>FREIO AUTOMATICO</t>
  </si>
  <si>
    <t>VALVULA SOLENOIDE</t>
  </si>
  <si>
    <t>DESOBSTRUIR</t>
  </si>
  <si>
    <t>202604191944</t>
  </si>
  <si>
    <t>BAIXA PRESSÃO DO ACUMULADOR SECUNDARIO DO SISTEMA DE FREIO</t>
  </si>
  <si>
    <t>202604191944 - FALHA NA SETA SINALIZADORA - SUBSTITUIDO SETA TRASEIRA DIREITA.</t>
  </si>
  <si>
    <t>Seta de Led</t>
  </si>
  <si>
    <t>SETA TD</t>
  </si>
  <si>
    <t>BAIXA PRESSÃO</t>
  </si>
  <si>
    <t>202604273264</t>
  </si>
  <si>
    <t>202604284020</t>
  </si>
  <si>
    <t>FILTRO DOS FREIOS LADO DIREITO E BAIXA PRESSÃO DO ACUMULADOR DA DIREÇÃO- SUBSTITUIDO SENSOR DE PRESSÃO DO FREIO , CORRIGIDO SINAL DO FREIO, COMPLETADO OLEO DA TRANSMISSÃO</t>
  </si>
  <si>
    <t>Frenagem - Freio 1</t>
  </si>
  <si>
    <t>202604273264 BAIXO NIVEL DO OLEO DA TRANSMISSÃO - SUBSTITUIDO MANGUEIRA DE LUBRIFICAÇÃO DA TRANSMISSÃO</t>
  </si>
  <si>
    <t>VAZAMENTO DE ÓLEO HD  202604284020  SUBSTITUÍDO  VEDAÇÃO DA BOMBA DO COMANDO FINAL  1150619</t>
  </si>
  <si>
    <t>202604291812</t>
  </si>
  <si>
    <t>202604308344</t>
  </si>
  <si>
    <t>202604291812 FALHA NO BANCO DO OPERADOR - SUB COMPRESSOR , SUBS BOLSA DO BANCO DO OPERADOR</t>
  </si>
  <si>
    <t>Banco-Ajuste</t>
  </si>
  <si>
    <t>BAIXA PRESSÃO NO PNEU TDE</t>
  </si>
  <si>
    <t>FALHA NA PARTIDA   202604308344 REALIZADO  DUBLAGEM NAS BÁTERIAS</t>
  </si>
  <si>
    <t>COMPRESSOR/VEDACAO</t>
  </si>
  <si>
    <t>202604331434</t>
  </si>
  <si>
    <t>202604329054- VAZAMENTO DO LIQUIDO DE ARREFECEDOR/ DESLIGAMENTO INVOLNTARIO - MANUTENÇÃO CHEGOU NA MAQUINA A MESMA SE ENCONTRA  OPERACIONAL,SEM NECESSIDADE DA ATUAÇÃO DA MANUTENÇÃO.</t>
  </si>
  <si>
    <t>202604331434- ALARMANDO ALTA TEMPERATURA DO LIQUIDO ARREFECEDOR - SUBSTITUIDO FUSIVEL S27 VERIFICADO PARTE FISICA E COMPLETADO ELC</t>
  </si>
  <si>
    <t>Fixacão-Desgaste</t>
  </si>
  <si>
    <t>202604385812</t>
  </si>
  <si>
    <t>202604385812- BAIXO NÍVEL DO ÓLEO DA TRANSMISSÃO- COMPLETADO OLEO DA TRANSMISSÃO COM 40LITROS</t>
  </si>
  <si>
    <t>202604406654</t>
  </si>
  <si>
    <t>202604423190</t>
  </si>
  <si>
    <t>202604406654 FALHA DE COMUNICAÇÃO - TROCA DO CABO DE INTERNET</t>
  </si>
  <si>
    <t>Alerta De Proximidade  - Configuração Errada</t>
  </si>
  <si>
    <t>202604423190 QUEBRA SOL DANIFICADO -FIXADO QUEBRA SOL</t>
  </si>
  <si>
    <t>Quebra Sol</t>
  </si>
  <si>
    <t>QUEBRA-SOL</t>
  </si>
  <si>
    <t>PM 500h + 28 BLs</t>
  </si>
  <si>
    <t>202604507010</t>
  </si>
  <si>
    <t>202604507010 - VAZAMNETO DE OLEO HIDRAULICO  - SUBS TUBO DA BOMBA DE AGUA COMPLETADO 680 L DE LC.</t>
  </si>
  <si>
    <t>AVARIA NO RETROVISOR L/E  202604517799   SUBSTITUIDO RETROVISOR L/E</t>
  </si>
  <si>
    <t>CONEXOES</t>
  </si>
  <si>
    <t>202604553582 - COMPLETADO 143 L DE ÓLEO HIDRAULICO - TM_3 -   ALARME BAIXO NÍVEL DE ÓLEO DA DIREÇÃO</t>
  </si>
  <si>
    <t>202604573453</t>
  </si>
  <si>
    <t>CALIBRAR PNEU TDE E TDI- REALIZADO CALIBRAÇÃO DO PNEU TDE TDI</t>
  </si>
  <si>
    <t>202604566434 -BAIXO RENDIMENTO-SUB RELE DE ACIONAMENTO DO ECM</t>
  </si>
  <si>
    <t>202604573453- BAIXO NIVEL DE ÓLEO DA DIREÇÃO - REALIZADO COMPLEMENTO DO OLEO DA DIREÇÃO</t>
  </si>
  <si>
    <t>RODA TDE/TDI</t>
  </si>
  <si>
    <t>ECM</t>
  </si>
  <si>
    <t>202603456835</t>
  </si>
  <si>
    <t>202604574171</t>
  </si>
  <si>
    <t>202603456835 - FALHA NO LINK - (PRINCIPIO DE INCÊNDIO)</t>
  </si>
  <si>
    <t>FALHA NO VIDRO DA PORTA -SUBS MOTOR DA VIDRO DA PORTA DO OPERADOR -202604574171</t>
  </si>
  <si>
    <t>Motor do Vidro Eletrico</t>
  </si>
  <si>
    <t>set</t>
  </si>
  <si>
    <t>202604593327</t>
  </si>
  <si>
    <t>202604604310</t>
  </si>
  <si>
    <t>202604593327- BAIXO NÍVEL DE OLEO DA TRANSMISSÃO - ALARMANDO FREIOS DE FORÇA - COMPLETADO OLEO DA TRANSMISSÃO E DIREÇÃO</t>
  </si>
  <si>
    <t>202604604310- BAIXA VOLTAGEM DAS BATERIAS - CORRIGIDO CORDOALHA  E CORRIGIDO ATRITO DO SENSOR DE NIVEL DA TRANSMMISSÃO</t>
  </si>
  <si>
    <t>ALIMENTAÇÃO 8V DO SISTEMA DO FREIO - SUBS SENSOR DE TEMPERATURA DO DIFERENCIAL.</t>
  </si>
  <si>
    <t>Frenagem - Freio Traseiro</t>
  </si>
  <si>
    <t>202604665778</t>
  </si>
  <si>
    <t>202604676221</t>
  </si>
  <si>
    <t>202604686283</t>
  </si>
  <si>
    <t>202604693611</t>
  </si>
  <si>
    <t>202604699701</t>
  </si>
  <si>
    <t>202604702807</t>
  </si>
  <si>
    <t>202604703486</t>
  </si>
  <si>
    <t>202604717839</t>
  </si>
  <si>
    <t>BAIXO NÍVEL DE ÓLEO DA TRANSMISSÃO - 202604665778   COMPLETADO 60 LITROS DE OLEO DA TRANSMISSÃO MT:1150619</t>
  </si>
  <si>
    <t>202603456835 - FALHA NO LINK - (PRINCIPIO DE INCÊNDIO)    - SUBSTITUIR O COMANDO FINAL L/E   MR:1150619- REVITALIZADO PINO SUPERIOR E INFERIOR E SUBSTITUIDO TRANSMISSÃO</t>
  </si>
  <si>
    <t>Transmissao - Comando Final Te</t>
  </si>
  <si>
    <t>Comando Te</t>
  </si>
  <si>
    <t>202604676221- FALHA NO RADIO AVI- COLOCADO OUTRO RADIO AVI</t>
  </si>
  <si>
    <t>202604686283 - BAIXO NÍVEL LÍQUIDO ARREFECEDOR- CORRIGIDO CORDOALHA DO FINAL DO SENSOR DO LIQUIDO ARREFECIMENTO DO MOTOR</t>
  </si>
  <si>
    <t>Motor Combustao - Admissao</t>
  </si>
  <si>
    <t>MACHINE GEN Atraso iniciado: DESLOC BAIA - MANUTENCAO</t>
  </si>
  <si>
    <t>BAIXA PRESSÃO DO PNEU TDI / TDE</t>
  </si>
  <si>
    <t>202604693611- BAIXO NIVEL DO OLEO DA DIREÇÃO- COMPLETADO NIVEL DE OLEO HIDRAULICO E VERIFICADO OS NIVEIS</t>
  </si>
  <si>
    <t>202604699701 - REALIZAR CALIBRAÇÃO DO PNEU TEE E TEI - CALIBRADO PNEU TEE E TEI.</t>
  </si>
  <si>
    <t>202604702807- FALHA NO ARCONDICIONADO - SUBSTITUIDO RELÉ DO AC</t>
  </si>
  <si>
    <t>Rele Termico</t>
  </si>
  <si>
    <t>202604703486- FALHA DE COMUNICAÇÃO- REALIZADO ALIMENTAÇÃO E REINICIO DO EQUIPAMENTO</t>
  </si>
  <si>
    <t>Despacho - Cabo Danificado</t>
  </si>
  <si>
    <t>BLOCO NO PNEU</t>
  </si>
  <si>
    <t>202604717839 - FALHA NA SELETORA DE MARCHA - SUBS SELENOIDE DE MODULO DA ENBREAGEM DA TRANSMISSÃO</t>
  </si>
  <si>
    <t>Valvula Solenoide Marcha Abaixo</t>
  </si>
  <si>
    <t>BAIXA PRESSÃO DE AR NIVEL 3 DO  PNEU TDI</t>
  </si>
  <si>
    <t>BAIXO NIVEL DE OLEO DA DIREÇÃO</t>
  </si>
  <si>
    <t>PM 1000h + 24BLs</t>
  </si>
  <si>
    <t>PM 4000h + 30 BLs</t>
  </si>
  <si>
    <t>RODA</t>
  </si>
  <si>
    <t>RODA TEE/TEI</t>
  </si>
  <si>
    <t>RODA TDI/TDE</t>
  </si>
  <si>
    <t>SENSOR DE NIVEL</t>
  </si>
  <si>
    <t>COMANDO FINAL L/E</t>
  </si>
  <si>
    <t>SUBSTITUIR O COMANDO FINAL L/E - SUBSTITUIDO TRANSMISSÃO</t>
  </si>
  <si>
    <t>RADIO AVI</t>
  </si>
  <si>
    <t>VAZAMANTO NA RODA - SEM ATUAÇÃO DA MECANICA #DESVIOS: VAZAMANTO NA RODA - SEM ATUAÇÃO DA MECANICA, (FEITO FICHA)PARADA RELACIONADO AO COMPONENTE</t>
  </si>
  <si>
    <t>202603553120 - BAIXO NIVEL DE ÓLEO DA DIREÇÃO - COMPLETADO 40 L DE ÓLEO DA DIREÇÃO,COMPLETADO 60  L  DE ÓLEO HIDRÁULICO. #DESVIOS: PARADA RELACIONADO AO COMPONENTE</t>
  </si>
  <si>
    <t>VAZAMENTO NO COMANDO FINAL - 202603712498 #DESVIOS</t>
  </si>
  <si>
    <t>202602954576</t>
  </si>
  <si>
    <t>AGUARDANDO COMBOIO, ACIONADO 18:54 | DESVIO AG LUBRIFICACAO &gt; 30MIN</t>
  </si>
  <si>
    <t>OFICINA SEM AR NOS COMPRESSORES</t>
  </si>
  <si>
    <t>AGUARDANDO CAMINHÃO MUNCK</t>
  </si>
  <si>
    <t>AGUARDANDO DETONAÇÃO, CODIGO ACIDENTE</t>
  </si>
  <si>
    <t>BORRACHARIA TOTAL LIQUIDO</t>
  </si>
  <si>
    <t>MACHINE GEN Atraso iniciado: MPNS - Ag locomocao | DESVIO AG LOCOMOCAO &gt; 1H</t>
  </si>
  <si>
    <t>DESVIO AG LOCOMOCAO &gt; 1H</t>
  </si>
  <si>
    <t>202604770674</t>
  </si>
  <si>
    <t>202604773587</t>
  </si>
  <si>
    <t>202604773829</t>
  </si>
  <si>
    <t>202604791630</t>
  </si>
  <si>
    <t>202604791633</t>
  </si>
  <si>
    <t>202604808751</t>
  </si>
  <si>
    <t>202604770674 BAIXO NIVEL DO OLEO DA TRANSMISSÃO - COMPLETADO 40 LITROS DE OLEO DA TRANSMISSÃO</t>
  </si>
  <si>
    <t>FALHA NO SISTEMA AFEX- -EFETUADA LIMPEZA NOS CONECTORES DO PAINEL MAT 370 - 202604773587</t>
  </si>
  <si>
    <t>alarme de comando final   202604773829  SUBSTITUIDO FIO DE SINAL DO CONECTOR DO SENSOR DE TEMPERATURA DO FREIO TRASEIRO DIREITO MT: 1150581</t>
  </si>
  <si>
    <t>Sensor de Proximidade</t>
  </si>
  <si>
    <t>202604791630 - BAIXO NIVEL DE OLEO DA DIREÇÃO - COMPLETADO 40LT DDE OLEO DA DIREÇÃO</t>
  </si>
  <si>
    <t>CALIBRAR O PNEU TDI E TDE</t>
  </si>
  <si>
    <t>202604791633- IZOLAMENTO DA CABINE - REPOSICIOANDO VEDAÇÃO DA PORTA LD</t>
  </si>
  <si>
    <t>202604807919 - FALHA NA ELEVAÇÃO DO VIDRO DA PORTA DO OPERADOR. - SEM ATUAÇÃO DA MANUTENÇÃO.</t>
  </si>
  <si>
    <t>Vidro</t>
  </si>
  <si>
    <t>202604808751 - BAIXO NÍVEL DO ÓLEO DA DIREÇÃO - COMPLETADO 30L DE OLEO DA DIREÇÃO.</t>
  </si>
  <si>
    <t>202604833517 - VAZAMENTO DE LC -  REALIZADO TROCA DA MANGUEIRA DA TURBINA,COMPLETADO 15 L DE ÓLEO DO MOTOR</t>
  </si>
  <si>
    <t>202604837518</t>
  </si>
  <si>
    <t>202604842638</t>
  </si>
  <si>
    <t>202604842637</t>
  </si>
  <si>
    <t>202604853374</t>
  </si>
  <si>
    <t>202604853367</t>
  </si>
  <si>
    <t>0</t>
  </si>
  <si>
    <t>202604922425</t>
  </si>
  <si>
    <t>202604929870</t>
  </si>
  <si>
    <t>202604925728</t>
  </si>
  <si>
    <t>202604947029</t>
  </si>
  <si>
    <t>202604950622</t>
  </si>
  <si>
    <t>BAIXO NIVEL DO OLEO DA DIREÇÃO - 202604837518  COMPLETADO NÍVEL DE ÓLEO DA DIREÇÃO  MT:1150581</t>
  </si>
  <si>
    <t>202604842638 - FALHA NA PARTIDA - SUBS DOIS MOTOR DE PARDIDA</t>
  </si>
  <si>
    <t>Motor de Partida Eletrico</t>
  </si>
  <si>
    <t>202604842637 - FALHA NO FILTRO DO DIFERENCIAL- SUBSTITUIDO MOTOR DO VENTILADOR CORRIGIDO FALHA ELETRICA E DO AR CONDICIONADO</t>
  </si>
  <si>
    <t>Filtro-Vedacao</t>
  </si>
  <si>
    <t>AUSENCIA DE PARAFUSO NA ABRAÇADEIRA DO AFEX   202604853374 REALIZADO  FIXAÇÃO DAS ABRAÇADEIRAS DO CILINDRO AFEX MT:359</t>
  </si>
  <si>
    <t>VEDAÇÃO DA PORTA SOLTA   202604853367   SUBSTITUIDO  VEDAÇÃO DA PORTA MT: 1150266</t>
  </si>
  <si>
    <t>BAIXO RENDIMENTO - EQUIPAMENTO LIBERADO SEM ATUAÇÃO PELA MANUTENÇÃO EM ACORDO COM OPERAÇÃO</t>
  </si>
  <si>
    <t>Fixacão-Fixacao</t>
  </si>
  <si>
    <t>202604922425 - FALHA NA BALANÇA- CALIBRADO BALANÇA</t>
  </si>
  <si>
    <t>202604929870- BAIXO NIVEL DE OLEO DA DIREÇÃO - REALIZADO COMPLEMENTO DO OLEO DA DIREÇÃO E REALIZADO LIMPEZA NO CONECTOR DO SENSOR DE NIVEL DO OLEO DA DIREÇÃO</t>
  </si>
  <si>
    <t>202604925728 - FALHA NA BALANÇA - CALIBRADO SUSPENSÃO E BALANÇA</t>
  </si>
  <si>
    <t>BAIXA PRESSÃO TEE NIVEL 3</t>
  </si>
  <si>
    <t>202604947029 - BAIXO NIVEL DE OLEO DA DIREÇÃO  - COMPLETADO 40 L DE DIREÇÃO.</t>
  </si>
  <si>
    <t>202604947029 - BAIXO NIVEL DO OLEO DA TRANSMISSÃO - COMPLETADO 40 L DE  OLEO DA TRANSMISSÃO</t>
  </si>
  <si>
    <t>202604950622 - FALHA NO AR CONDICIONADO   - REALIZADO  LIMPEZA DA VÁLVULA DO MANIFOLD DO COMPRESSOR E COMPLETA CARGA DE GÁS  MT:1150581</t>
  </si>
  <si>
    <t>REPOSICIONAR</t>
  </si>
  <si>
    <t>(Tudo)</t>
  </si>
  <si>
    <t>202604977705</t>
  </si>
  <si>
    <t>202604959968 - BAIXO RENDIMENTO - APERTADO MANGUEIRA DA BOMBA DE TRANSFERENCIA</t>
  </si>
  <si>
    <t>202604977705 - AUSENCIA DA TAMPA DO DRENO DO TANQUE HIDRÁULICO - REPOSICIONADO BUJÃO DA TANQUE HIDRAULICO</t>
  </si>
  <si>
    <t>9131</t>
  </si>
  <si>
    <t>HMC - SIST EMBARCADO/AUTOMACAO</t>
  </si>
  <si>
    <t>202605055321</t>
  </si>
  <si>
    <t>202605062033</t>
  </si>
  <si>
    <t>202605071644</t>
  </si>
  <si>
    <t>202605080538</t>
  </si>
  <si>
    <t>CORRIGIR VAZAMENTO DE AR NO PNEU TDE</t>
  </si>
  <si>
    <t>FALHA DE COMUNICAÇÃO- REALIZADO A TROCA DO FUSIVEL DO RÁDIO AVI</t>
  </si>
  <si>
    <t>202605055321 - BAIXA PRESSÃO DO PNEU TDE - SUBSTITUIDO PNEU TDE E CORRIGIDO VAZAMENTO DE AR.</t>
  </si>
  <si>
    <t>202605062033 - FALHA HEXAGON - CORRIGIDO HEXAGON CABO FIXAÇÃO</t>
  </si>
  <si>
    <t>FALHA NO HEXAGON-SUBSTITUIDO CABO DO SENSOR DAS ANTENAS</t>
  </si>
  <si>
    <t>FALHA NO SENSOR DE APROXIMAÇÃO EXAGON - TROCADO ANTENA</t>
  </si>
  <si>
    <t>202605071644 - BAIXO RENDIMENTO DO MOTOR- ALTERADO PARÂMETRO NA CONFIGURAÇÃO DO MODO DE ANALISE.</t>
  </si>
  <si>
    <t>Motor Combustao-Desconfiguracao</t>
  </si>
  <si>
    <t>CONFERIR TORQUE NO PNEU</t>
  </si>
  <si>
    <t>202605080538 - FALHA NA ESCADA-SUBS RELÉ  DE ACIONAMENTO DA ESCADA</t>
  </si>
  <si>
    <t>RODA TDI / TDE</t>
  </si>
  <si>
    <t xml:space="preserve">BAIXO RENDIMENTO </t>
  </si>
  <si>
    <t>PM 250h + 08BLs</t>
  </si>
  <si>
    <t>VALVULA</t>
  </si>
  <si>
    <t>SEM ATUACAO</t>
  </si>
  <si>
    <t>AUSENCIA</t>
  </si>
  <si>
    <t>RELÉ</t>
  </si>
  <si>
    <t xml:space="preserve">PM 1000hs + 15 BLs </t>
  </si>
  <si>
    <t>MAU POSICIONADO</t>
  </si>
  <si>
    <t>MOTOR DO ELETROVENTILADOR</t>
  </si>
  <si>
    <t>INSTALAR</t>
  </si>
  <si>
    <t>SISTEMA DE PARTIDA</t>
  </si>
  <si>
    <t>PM 250hs + 6BLs</t>
  </si>
  <si>
    <t>202605124110</t>
  </si>
  <si>
    <t>FALHA NO AR-CONDICIONADO  202605124110   REPOSICIONADO RELE R-6 DA EMBREAGEM DO COMPRESSOR DO AR-CONDICIONADO  MT:1150582</t>
  </si>
  <si>
    <t>BAIXA PRESSÃO DO PNEU TEE  -202605130666 CALIBRADO PNEU TEE</t>
  </si>
  <si>
    <t>202605125143</t>
  </si>
  <si>
    <t>BAIXA PRESSÃO DO ACUMULADOR DE DIREÇÃO  202605125143   CORRIGIDO FALHA DE DESCONEXÃO DO SOLENOIDE DA BOMBA DE ARREFECIMENTO DOS_x000D_
FREIOS</t>
  </si>
  <si>
    <t>Sensor</t>
  </si>
  <si>
    <t>202605174127</t>
  </si>
  <si>
    <t>202605174127- BAIXO NIVEL DO OLEO DA DIREÇÃO COMPLETADO NIVEL DO OLEO DIREÇÃO E TRANSMISSÃO</t>
  </si>
  <si>
    <t>Direcao - Filtro</t>
  </si>
  <si>
    <t>Filtro-Vazamento</t>
  </si>
  <si>
    <t>202605173245 VAZAMENTO DE ÓLEO HIDRÁULICO- REALIZADO TROCA DO SUPORTE DO TANQUE DE COMBUSTIVEL</t>
  </si>
  <si>
    <t>202605198372</t>
  </si>
  <si>
    <t>202605203219</t>
  </si>
  <si>
    <t>202605203113</t>
  </si>
  <si>
    <t>202605210440</t>
  </si>
  <si>
    <t>202605212949</t>
  </si>
  <si>
    <t>202605198372 BAIXO NIVEL DE ÓLEO DA DIREÇÃO  EQUIPE CHEGOU NO EQUIPAMENTO E O SENSOR E NIVEL ESTÃO NORMAL , SEM NECESSIDADE DE ATUAÇÃO</t>
  </si>
  <si>
    <t>BAIXA PRESSÃO DO PNEU TDI  202605203219  CALIBRADO  O PNEU TRASEIRO TEE TDI  81036838</t>
  </si>
  <si>
    <t>VAZAMENTO HIDRAULICO  202605203113   SUBSTITUIDO  VEDAÇÃO DA MANGUEIRA DE LUBRIFICAÇÃO DO CONVERSOR DE TORQUE.</t>
  </si>
  <si>
    <t>202605210440 BAIXO NIVEL DO OLEO DA DIREÇÃO - SUBS PINO DO SENSOR DE NIVEL DO OLEO HIDRAULICO</t>
  </si>
  <si>
    <t>BAIXO NIVEL DE ÓLEO DA DIREÇÃO  -  202605214879   COMPLETADO 3O LITROS DE OLEO DA DIREÇÃO</t>
  </si>
  <si>
    <t>202605212949 - FALHA DE COMUNICAÇÃO-RESTAURADO AS CONFIGUGARÃOS DO RÁDIO AVI</t>
  </si>
  <si>
    <t>Rádio De Voz - Configuração Errada</t>
  </si>
  <si>
    <t>Rádio De Voz - Travado</t>
  </si>
  <si>
    <t>RODA TDI/TEE</t>
  </si>
  <si>
    <t>202605222878</t>
  </si>
  <si>
    <t>202605222878 - FALHA NA COMUNICAÇÃO DO SENSOR DO PNEU DD - SUBSTITUIDO SENSOR DO PNEU DIANTEIRO L/D.</t>
  </si>
  <si>
    <t>Roda-Fixacao</t>
  </si>
  <si>
    <t>202605232825</t>
  </si>
  <si>
    <t>202605232825- BAIXO NÍVEL DE ÓLEO DA DIREÇÃO- REALIZADO CURTO NO SENSOR DE NIVEL DE OLEO HIDRAULICO NA ALIMENTAÇÃO 8 VOLTS DO CAMINHÃO</t>
  </si>
  <si>
    <t>FALHA NO CHAVE SELETORA</t>
  </si>
  <si>
    <t>CURTO-CIRCUITO</t>
  </si>
  <si>
    <t>out</t>
  </si>
  <si>
    <t>PM 1000h + 19 BLs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</si>
</sst>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0409]dd/mm/yyyy\ hh:mm:ss"/>
    <numFmt numFmtId="165" formatCode="0.0"/>
    <numFmt numFmtId="166" formatCode="d/m/yy\ h:mm;@"/>
    <numFmt numFmtId="167" formatCode="[h]:mm:ss;@"/>
    <numFmt numFmtId="168" formatCode="mm/yy"/>
    <numFmt numFmtId="169" formatCode="0.000"/>
    <numFmt numFmtId="170" formatCode="[$-F400]h:mm:ss\ AM/PM"/>
  </numFmts>
  <fonts count="41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8"/>
      <name val="Calibri"/>
      <family val="2"/>
    </font>
    <font>
      <b/>
      <sz val="10"/>
      <color rgb="FFFFFFFF"/>
      <name val="Arial"/>
      <family val="2"/>
    </font>
    <font>
      <sz val="10"/>
      <color rgb="FF000000"/>
      <name val="Segoe U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9"/>
      <name val="Calibri"/>
      <family val="2"/>
    </font>
    <font>
      <b/>
      <sz val="9"/>
      <color rgb="FFFFFFFF"/>
      <name val="Arial"/>
      <family val="2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0"/>
      <name val="Calibri"/>
      <family val="2"/>
    </font>
    <font>
      <b/>
      <sz val="9"/>
      <color theme="0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8"/>
      <color theme="1"/>
      <name val="Arial"/>
      <family val="2"/>
    </font>
    <font>
      <sz val="8"/>
      <color rgb="FF000000"/>
      <name val="Segoe UI"/>
      <family val="2"/>
    </font>
    <font>
      <b/>
      <sz val="14"/>
      <color theme="0"/>
      <name val="Calibri"/>
      <family val="2"/>
    </font>
    <font>
      <sz val="6"/>
      <name val="Calibri"/>
      <family val="2"/>
    </font>
    <font>
      <b/>
      <sz val="6"/>
      <color theme="1"/>
      <name val="Arial"/>
      <family val="2"/>
    </font>
    <font>
      <sz val="6"/>
      <color rgb="FF000000"/>
      <name val="Segoe UI"/>
      <family val="2"/>
    </font>
    <font>
      <sz val="6"/>
      <color theme="1"/>
      <name val="Aptos Narrow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color rgb="FF333333"/>
      <name val="Arial"/>
      <family val="2"/>
    </font>
    <font>
      <b/>
      <sz val="8"/>
      <name val="Verdana"/>
      <family val="2"/>
    </font>
    <font>
      <sz val="10"/>
      <name val="Aptos Narrow"/>
      <family val="2"/>
      <scheme val="minor"/>
    </font>
    <font>
      <sz val="10"/>
      <name val="Arial"/>
      <family val="2"/>
    </font>
    <font>
      <b/>
      <sz val="24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16"/>
      <color rgb="FFFF0000"/>
      <name val="Arial"/>
      <family val="2"/>
    </font>
    <font>
      <b/>
      <sz val="22"/>
      <color theme="0" tint="-4.9989318521683403E-2"/>
      <name val="Calibri"/>
      <family val="2"/>
    </font>
    <font>
      <b/>
      <sz val="10"/>
      <name val="Verdana"/>
      <family val="2"/>
    </font>
    <font>
      <sz val="10"/>
      <color rgb="FF000000"/>
      <name val="Arial"/>
      <family val="2"/>
    </font>
    <font>
      <sz val="10"/>
      <color rgb="FF000000"/>
      <name val="Segoe UI"/>
      <family val="2"/>
    </font>
    <font>
      <b/>
      <sz val="11"/>
      <color theme="1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FC000"/>
        <bgColor rgb="FF007A7E"/>
      </patternFill>
    </fill>
    <fill>
      <patternFill patternType="solid">
        <fgColor rgb="FF008080"/>
        <bgColor rgb="FF007A7E"/>
      </patternFill>
    </fill>
    <fill>
      <patternFill patternType="solid">
        <fgColor rgb="FF007A7E"/>
        <bgColor rgb="FF007A7E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7A7E"/>
      </patternFill>
    </fill>
    <fill>
      <patternFill patternType="solid">
        <fgColor theme="0" tint="-0.34998626667073579"/>
        <bgColor rgb="FF007A7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007A7E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0000"/>
        <bgColor rgb="FF007A7E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3">
    <border>
      <left/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-0.249977111117893"/>
      </top>
      <bottom style="medium">
        <color theme="4" tint="-0.249977111117893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5" fillId="0" borderId="0"/>
  </cellStyleXfs>
  <cellXfs count="16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7" fillId="8" borderId="0" xfId="0" applyFont="1" applyFill="1"/>
    <xf numFmtId="0" fontId="7" fillId="9" borderId="0" xfId="0" applyFont="1" applyFill="1"/>
    <xf numFmtId="0" fontId="9" fillId="0" borderId="0" xfId="0" applyFont="1"/>
    <xf numFmtId="16" fontId="7" fillId="9" borderId="0" xfId="0" applyNumberFormat="1" applyFont="1" applyFill="1"/>
    <xf numFmtId="0" fontId="7" fillId="8" borderId="0" xfId="0" applyFont="1" applyFill="1" applyAlignment="1">
      <alignment vertical="center"/>
    </xf>
    <xf numFmtId="0" fontId="7" fillId="9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 wrapText="1"/>
    </xf>
    <xf numFmtId="0" fontId="10" fillId="0" borderId="9" xfId="0" applyFont="1" applyBorder="1" applyAlignment="1">
      <alignment vertical="center" wrapText="1" readingOrder="1"/>
    </xf>
    <xf numFmtId="16" fontId="7" fillId="0" borderId="9" xfId="0" applyNumberFormat="1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5" fillId="0" borderId="9" xfId="0" applyFont="1" applyBorder="1" applyAlignment="1">
      <alignment horizontal="left" vertical="center" wrapText="1" readingOrder="1"/>
    </xf>
    <xf numFmtId="0" fontId="8" fillId="3" borderId="8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/>
    </xf>
    <xf numFmtId="0" fontId="7" fillId="0" borderId="9" xfId="0" applyFont="1" applyBorder="1" applyAlignment="1">
      <alignment vertical="center"/>
    </xf>
    <xf numFmtId="0" fontId="8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13" fillId="0" borderId="0" xfId="0" applyFont="1"/>
    <xf numFmtId="0" fontId="6" fillId="0" borderId="0" xfId="0" applyFont="1"/>
    <xf numFmtId="0" fontId="17" fillId="11" borderId="9" xfId="0" applyFont="1" applyFill="1" applyBorder="1" applyAlignment="1">
      <alignment horizontal="left" vertical="top" wrapText="1" readingOrder="1"/>
    </xf>
    <xf numFmtId="0" fontId="12" fillId="5" borderId="9" xfId="0" applyFont="1" applyFill="1" applyBorder="1" applyAlignment="1">
      <alignment horizontal="left" vertical="top" wrapText="1" readingOrder="1"/>
    </xf>
    <xf numFmtId="2" fontId="12" fillId="5" borderId="9" xfId="0" applyNumberFormat="1" applyFont="1" applyFill="1" applyBorder="1" applyAlignment="1">
      <alignment horizontal="left" vertical="top" wrapText="1" readingOrder="1"/>
    </xf>
    <xf numFmtId="0" fontId="0" fillId="0" borderId="0" xfId="0" applyAlignment="1">
      <alignment horizontal="left" vertical="top" wrapText="1"/>
    </xf>
    <xf numFmtId="0" fontId="17" fillId="12" borderId="9" xfId="0" applyFont="1" applyFill="1" applyBorder="1" applyAlignment="1">
      <alignment horizontal="left" vertical="top" wrapText="1" readingOrder="1"/>
    </xf>
    <xf numFmtId="0" fontId="3" fillId="5" borderId="9" xfId="0" applyFont="1" applyFill="1" applyBorder="1" applyAlignment="1">
      <alignment horizontal="left" vertical="top" wrapText="1" readingOrder="1"/>
    </xf>
    <xf numFmtId="0" fontId="3" fillId="6" borderId="9" xfId="0" applyFont="1" applyFill="1" applyBorder="1" applyAlignment="1">
      <alignment horizontal="left" vertical="top" wrapText="1" readingOrder="1"/>
    </xf>
    <xf numFmtId="0" fontId="3" fillId="7" borderId="9" xfId="0" applyFont="1" applyFill="1" applyBorder="1" applyAlignment="1">
      <alignment horizontal="left" vertical="top" wrapText="1" readingOrder="1"/>
    </xf>
    <xf numFmtId="0" fontId="20" fillId="5" borderId="9" xfId="0" applyFont="1" applyFill="1" applyBorder="1" applyAlignment="1">
      <alignment horizontal="left" vertical="top" wrapText="1" readingOrder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1" fillId="2" borderId="9" xfId="0" applyFont="1" applyFill="1" applyBorder="1" applyAlignment="1">
      <alignment horizontal="left" vertical="top" wrapText="1"/>
    </xf>
    <xf numFmtId="0" fontId="16" fillId="14" borderId="9" xfId="0" applyFont="1" applyFill="1" applyBorder="1" applyAlignment="1">
      <alignment horizontal="left" vertical="center" wrapText="1"/>
    </xf>
    <xf numFmtId="0" fontId="17" fillId="15" borderId="9" xfId="0" applyFont="1" applyFill="1" applyBorder="1" applyAlignment="1">
      <alignment horizontal="left" vertical="top" wrapText="1" readingOrder="1"/>
    </xf>
    <xf numFmtId="0" fontId="1" fillId="0" borderId="9" xfId="0" applyFont="1" applyBorder="1" applyAlignment="1" applyProtection="1">
      <alignment horizontal="left" vertical="center" wrapText="1"/>
      <protection locked="0"/>
    </xf>
    <xf numFmtId="0" fontId="5" fillId="0" borderId="9" xfId="0" applyFont="1" applyBorder="1" applyAlignment="1" applyProtection="1">
      <alignment horizontal="left" vertical="center" wrapText="1" readingOrder="1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left" wrapText="1"/>
      <protection locked="0"/>
    </xf>
    <xf numFmtId="164" fontId="4" fillId="0" borderId="9" xfId="0" applyNumberFormat="1" applyFont="1" applyBorder="1" applyAlignment="1" applyProtection="1">
      <alignment horizontal="left" vertical="center" wrapText="1" readingOrder="1"/>
      <protection locked="0"/>
    </xf>
    <xf numFmtId="164" fontId="5" fillId="0" borderId="9" xfId="0" applyNumberFormat="1" applyFont="1" applyBorder="1" applyAlignment="1" applyProtection="1">
      <alignment horizontal="left" vertical="center" wrapText="1" readingOrder="1"/>
      <protection locked="0"/>
    </xf>
    <xf numFmtId="1" fontId="4" fillId="0" borderId="9" xfId="0" applyNumberFormat="1" applyFont="1" applyBorder="1" applyAlignment="1" applyProtection="1">
      <alignment horizontal="left" vertical="center" wrapText="1" readingOrder="1"/>
      <protection locked="0"/>
    </xf>
    <xf numFmtId="0" fontId="0" fillId="0" borderId="0" xfId="0" applyProtection="1">
      <protection locked="0"/>
    </xf>
    <xf numFmtId="2" fontId="4" fillId="13" borderId="9" xfId="0" applyNumberFormat="1" applyFont="1" applyFill="1" applyBorder="1" applyAlignment="1">
      <alignment horizontal="left" vertical="center" wrapText="1" readingOrder="1"/>
    </xf>
    <xf numFmtId="2" fontId="21" fillId="13" borderId="9" xfId="0" applyNumberFormat="1" applyFont="1" applyFill="1" applyBorder="1" applyAlignment="1">
      <alignment horizontal="left" vertical="center" wrapText="1" readingOrder="1"/>
    </xf>
    <xf numFmtId="0" fontId="23" fillId="0" borderId="0" xfId="0" applyFont="1" applyAlignment="1">
      <alignment horizontal="left" vertical="center" wrapText="1"/>
    </xf>
    <xf numFmtId="0" fontId="24" fillId="5" borderId="9" xfId="0" applyFont="1" applyFill="1" applyBorder="1" applyAlignment="1">
      <alignment horizontal="left" vertical="top" wrapText="1" readingOrder="1"/>
    </xf>
    <xf numFmtId="2" fontId="25" fillId="13" borderId="9" xfId="0" applyNumberFormat="1" applyFont="1" applyFill="1" applyBorder="1" applyAlignment="1">
      <alignment horizontal="left" vertical="center" wrapText="1" readingOrder="1"/>
    </xf>
    <xf numFmtId="0" fontId="26" fillId="0" borderId="0" xfId="0" applyFont="1" applyAlignment="1">
      <alignment horizontal="left"/>
    </xf>
    <xf numFmtId="165" fontId="21" fillId="13" borderId="9" xfId="0" applyNumberFormat="1" applyFont="1" applyFill="1" applyBorder="1" applyAlignment="1">
      <alignment horizontal="left" vertical="center" wrapText="1" readingOrder="1"/>
    </xf>
    <xf numFmtId="0" fontId="1" fillId="0" borderId="2" xfId="0" applyFont="1" applyBorder="1" applyAlignment="1">
      <alignment horizontal="center" vertical="top" wrapText="1"/>
    </xf>
    <xf numFmtId="164" fontId="4" fillId="0" borderId="9" xfId="0" applyNumberFormat="1" applyFont="1" applyBorder="1" applyAlignment="1" applyProtection="1">
      <alignment horizontal="left" vertical="top" wrapText="1" readingOrder="1"/>
      <protection locked="0"/>
    </xf>
    <xf numFmtId="0" fontId="0" fillId="0" borderId="0" xfId="0" applyAlignment="1" applyProtection="1">
      <alignment vertical="top"/>
      <protection locked="0"/>
    </xf>
    <xf numFmtId="0" fontId="0" fillId="0" borderId="0" xfId="0" applyAlignment="1">
      <alignment horizontal="left" vertical="top"/>
    </xf>
    <xf numFmtId="0" fontId="27" fillId="0" borderId="0" xfId="1" applyFont="1" applyAlignment="1">
      <alignment horizontal="left" vertical="top"/>
    </xf>
    <xf numFmtId="22" fontId="29" fillId="0" borderId="0" xfId="1" applyNumberFormat="1" applyFont="1" applyAlignment="1">
      <alignment horizontal="left" vertical="top"/>
    </xf>
    <xf numFmtId="0" fontId="27" fillId="0" borderId="0" xfId="1" applyFont="1" applyAlignment="1">
      <alignment horizontal="left" vertical="top" wrapText="1"/>
    </xf>
    <xf numFmtId="0" fontId="1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30" fillId="3" borderId="10" xfId="1" applyFont="1" applyFill="1" applyBorder="1" applyAlignment="1">
      <alignment horizontal="left" vertical="top"/>
    </xf>
    <xf numFmtId="0" fontId="31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0" fillId="0" borderId="9" xfId="0" applyBorder="1" applyAlignment="1">
      <alignment horizontal="left" vertical="top"/>
    </xf>
    <xf numFmtId="166" fontId="35" fillId="0" borderId="0" xfId="1" applyNumberFormat="1" applyFont="1" applyAlignment="1">
      <alignment horizontal="left" vertical="top"/>
    </xf>
    <xf numFmtId="0" fontId="37" fillId="3" borderId="10" xfId="1" applyFont="1" applyFill="1" applyBorder="1" applyAlignment="1">
      <alignment horizontal="left" vertical="top" wrapText="1"/>
    </xf>
    <xf numFmtId="14" fontId="32" fillId="3" borderId="10" xfId="1" applyNumberFormat="1" applyFont="1" applyFill="1" applyBorder="1" applyAlignment="1">
      <alignment horizontal="left" vertical="top" wrapText="1"/>
    </xf>
    <xf numFmtId="0" fontId="37" fillId="17" borderId="13" xfId="1" applyFont="1" applyFill="1" applyBorder="1" applyAlignment="1">
      <alignment horizontal="left" vertical="top" wrapText="1"/>
    </xf>
    <xf numFmtId="0" fontId="10" fillId="0" borderId="14" xfId="0" applyFont="1" applyBorder="1" applyAlignment="1">
      <alignment vertical="center" wrapText="1" readingOrder="1"/>
    </xf>
    <xf numFmtId="0" fontId="7" fillId="0" borderId="14" xfId="0" applyFont="1" applyBorder="1" applyAlignment="1">
      <alignment vertical="center" wrapText="1"/>
    </xf>
    <xf numFmtId="0" fontId="7" fillId="0" borderId="14" xfId="0" applyFont="1" applyBorder="1" applyAlignment="1">
      <alignment vertical="center"/>
    </xf>
    <xf numFmtId="0" fontId="38" fillId="18" borderId="9" xfId="0" applyFont="1" applyFill="1" applyBorder="1" applyAlignment="1">
      <alignment horizontal="left" vertical="center" wrapText="1" readingOrder="1"/>
    </xf>
    <xf numFmtId="164" fontId="39" fillId="0" borderId="9" xfId="0" applyNumberFormat="1" applyFont="1" applyBorder="1" applyAlignment="1">
      <alignment horizontal="left" vertical="center" wrapText="1" readingOrder="1"/>
    </xf>
    <xf numFmtId="164" fontId="39" fillId="18" borderId="9" xfId="0" applyNumberFormat="1" applyFont="1" applyFill="1" applyBorder="1" applyAlignment="1">
      <alignment horizontal="left" vertical="center" wrapText="1" readingOrder="1"/>
    </xf>
    <xf numFmtId="0" fontId="11" fillId="2" borderId="14" xfId="0" applyFont="1" applyFill="1" applyBorder="1" applyAlignment="1">
      <alignment horizontal="left" vertical="top" wrapText="1"/>
    </xf>
    <xf numFmtId="0" fontId="37" fillId="17" borderId="10" xfId="1" applyFont="1" applyFill="1" applyBorder="1" applyAlignment="1">
      <alignment horizontal="center" vertical="top" wrapText="1"/>
    </xf>
    <xf numFmtId="167" fontId="27" fillId="0" borderId="0" xfId="1" applyNumberFormat="1" applyFont="1" applyAlignment="1">
      <alignment horizontal="center" vertical="top"/>
    </xf>
    <xf numFmtId="0" fontId="0" fillId="0" borderId="0" xfId="0" applyAlignment="1">
      <alignment horizontal="center" vertical="top"/>
    </xf>
    <xf numFmtId="0" fontId="37" fillId="3" borderId="12" xfId="1" applyFont="1" applyFill="1" applyBorder="1" applyAlignment="1">
      <alignment horizontal="center" vertical="top"/>
    </xf>
    <xf numFmtId="0" fontId="27" fillId="0" borderId="0" xfId="1" applyFont="1" applyAlignment="1">
      <alignment horizontal="center" vertical="top"/>
    </xf>
    <xf numFmtId="14" fontId="28" fillId="0" borderId="0" xfId="1" applyNumberFormat="1" applyFont="1" applyAlignment="1">
      <alignment horizontal="center" vertical="top"/>
    </xf>
    <xf numFmtId="0" fontId="30" fillId="3" borderId="10" xfId="1" applyFont="1" applyFill="1" applyBorder="1" applyAlignment="1">
      <alignment horizontal="center" vertical="top"/>
    </xf>
    <xf numFmtId="164" fontId="4" fillId="0" borderId="9" xfId="0" applyNumberFormat="1" applyFont="1" applyBorder="1" applyAlignment="1" applyProtection="1">
      <alignment horizontal="center" vertical="center" wrapText="1" readingOrder="1"/>
      <protection locked="0"/>
    </xf>
    <xf numFmtId="1" fontId="4" fillId="13" borderId="9" xfId="0" applyNumberFormat="1" applyFont="1" applyFill="1" applyBorder="1" applyAlignment="1">
      <alignment horizontal="left" vertical="center" wrapText="1" readingOrder="1"/>
    </xf>
    <xf numFmtId="0" fontId="37" fillId="3" borderId="10" xfId="1" applyFont="1" applyFill="1" applyBorder="1" applyAlignment="1">
      <alignment horizontal="center" vertical="top"/>
    </xf>
    <xf numFmtId="1" fontId="37" fillId="3" borderId="11" xfId="1" applyNumberFormat="1" applyFont="1" applyFill="1" applyBorder="1" applyAlignment="1">
      <alignment horizontal="center" vertical="top" wrapText="1"/>
    </xf>
    <xf numFmtId="1" fontId="0" fillId="0" borderId="0" xfId="0" applyNumberFormat="1" applyAlignment="1">
      <alignment horizontal="center" vertical="top"/>
    </xf>
    <xf numFmtId="0" fontId="0" fillId="0" borderId="0" xfId="0" pivotButton="1"/>
    <xf numFmtId="2" fontId="0" fillId="0" borderId="0" xfId="0" applyNumberFormat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5" fontId="3" fillId="7" borderId="9" xfId="0" applyNumberFormat="1" applyFont="1" applyFill="1" applyBorder="1" applyAlignment="1">
      <alignment horizontal="center" vertical="top" wrapText="1" readingOrder="1"/>
    </xf>
    <xf numFmtId="165" fontId="0" fillId="0" borderId="0" xfId="0" applyNumberFormat="1" applyAlignment="1" applyProtection="1">
      <alignment horizontal="center"/>
      <protection locked="0"/>
    </xf>
    <xf numFmtId="2" fontId="0" fillId="0" borderId="0" xfId="0" applyNumberFormat="1" applyAlignment="1">
      <alignment horizontal="left"/>
    </xf>
    <xf numFmtId="1" fontId="0" fillId="0" borderId="0" xfId="0" applyNumberFormat="1"/>
    <xf numFmtId="0" fontId="3" fillId="19" borderId="18" xfId="0" applyFont="1" applyFill="1" applyBorder="1" applyAlignment="1">
      <alignment horizontal="center" vertical="center" wrapText="1" readingOrder="1"/>
    </xf>
    <xf numFmtId="0" fontId="37" fillId="17" borderId="12" xfId="1" applyFont="1" applyFill="1" applyBorder="1" applyAlignment="1">
      <alignment horizontal="center" vertical="top" wrapText="1"/>
    </xf>
    <xf numFmtId="166" fontId="27" fillId="0" borderId="0" xfId="1" applyNumberFormat="1" applyFont="1" applyAlignment="1">
      <alignment horizontal="center" vertical="top"/>
    </xf>
    <xf numFmtId="1" fontId="4" fillId="0" borderId="9" xfId="0" applyNumberFormat="1" applyFont="1" applyBorder="1" applyAlignment="1" applyProtection="1">
      <alignment horizontal="center" vertical="center" wrapText="1" readingOrder="1"/>
      <protection locked="0"/>
    </xf>
    <xf numFmtId="0" fontId="3" fillId="19" borderId="18" xfId="0" applyFont="1" applyFill="1" applyBorder="1" applyAlignment="1">
      <alignment horizontal="left" vertical="top" wrapText="1" readingOrder="1"/>
    </xf>
    <xf numFmtId="2" fontId="4" fillId="13" borderId="14" xfId="0" applyNumberFormat="1" applyFont="1" applyFill="1" applyBorder="1" applyAlignment="1">
      <alignment horizontal="left" vertical="center" wrapText="1" readingOrder="1"/>
    </xf>
    <xf numFmtId="2" fontId="21" fillId="13" borderId="14" xfId="0" applyNumberFormat="1" applyFont="1" applyFill="1" applyBorder="1" applyAlignment="1">
      <alignment horizontal="left" vertical="center" wrapText="1" readingOrder="1"/>
    </xf>
    <xf numFmtId="2" fontId="25" fillId="13" borderId="14" xfId="0" applyNumberFormat="1" applyFont="1" applyFill="1" applyBorder="1" applyAlignment="1">
      <alignment horizontal="left" vertical="center" wrapText="1" readingOrder="1"/>
    </xf>
    <xf numFmtId="165" fontId="21" fillId="13" borderId="14" xfId="0" applyNumberFormat="1" applyFont="1" applyFill="1" applyBorder="1" applyAlignment="1">
      <alignment horizontal="left" vertical="center" wrapText="1" readingOrder="1"/>
    </xf>
    <xf numFmtId="164" fontId="4" fillId="3" borderId="9" xfId="0" applyNumberFormat="1" applyFont="1" applyFill="1" applyBorder="1" applyAlignment="1" applyProtection="1">
      <alignment horizontal="left" vertical="center" wrapText="1" readingOrder="1"/>
      <protection locked="0"/>
    </xf>
    <xf numFmtId="169" fontId="0" fillId="0" borderId="0" xfId="0" applyNumberFormat="1"/>
    <xf numFmtId="1" fontId="4" fillId="13" borderId="14" xfId="0" applyNumberFormat="1" applyFont="1" applyFill="1" applyBorder="1" applyAlignment="1">
      <alignment horizontal="left" vertical="center" wrapText="1" readingOrder="1"/>
    </xf>
    <xf numFmtId="0" fontId="5" fillId="0" borderId="15" xfId="0" applyFont="1" applyBorder="1" applyAlignment="1" applyProtection="1">
      <alignment horizontal="left" vertical="center" wrapText="1" readingOrder="1"/>
      <protection locked="0"/>
    </xf>
    <xf numFmtId="0" fontId="5" fillId="0" borderId="14" xfId="0" applyFont="1" applyBorder="1" applyAlignment="1" applyProtection="1">
      <alignment horizontal="left" vertical="center" wrapText="1" readingOrder="1"/>
      <protection locked="0"/>
    </xf>
    <xf numFmtId="0" fontId="1" fillId="0" borderId="14" xfId="0" applyFont="1" applyBorder="1" applyAlignment="1" applyProtection="1">
      <alignment horizontal="left" vertical="center" wrapText="1"/>
      <protection locked="0"/>
    </xf>
    <xf numFmtId="164" fontId="4" fillId="0" borderId="14" xfId="0" applyNumberFormat="1" applyFont="1" applyBorder="1" applyAlignment="1" applyProtection="1">
      <alignment horizontal="left" vertical="center" wrapText="1" readingOrder="1"/>
      <protection locked="0"/>
    </xf>
    <xf numFmtId="164" fontId="5" fillId="0" borderId="14" xfId="0" applyNumberFormat="1" applyFont="1" applyBorder="1" applyAlignment="1" applyProtection="1">
      <alignment horizontal="left" vertical="center" wrapText="1" readingOrder="1"/>
      <protection locked="0"/>
    </xf>
    <xf numFmtId="1" fontId="4" fillId="0" borderId="14" xfId="0" applyNumberFormat="1" applyFont="1" applyBorder="1" applyAlignment="1" applyProtection="1">
      <alignment horizontal="left" vertical="center" wrapText="1" readingOrder="1"/>
      <protection locked="0"/>
    </xf>
    <xf numFmtId="164" fontId="4" fillId="0" borderId="14" xfId="0" applyNumberFormat="1" applyFont="1" applyBorder="1" applyAlignment="1" applyProtection="1">
      <alignment horizontal="left" vertical="top" wrapText="1" readingOrder="1"/>
      <protection locked="0"/>
    </xf>
    <xf numFmtId="0" fontId="5" fillId="0" borderId="19" xfId="0" applyFont="1" applyBorder="1" applyAlignment="1" applyProtection="1">
      <alignment horizontal="left" vertical="center" wrapText="1" readingOrder="1"/>
      <protection locked="0"/>
    </xf>
    <xf numFmtId="164" fontId="4" fillId="0" borderId="14" xfId="0" applyNumberFormat="1" applyFont="1" applyBorder="1" applyAlignment="1" applyProtection="1">
      <alignment horizontal="center" vertical="center" wrapText="1" readingOrder="1"/>
      <protection locked="0"/>
    </xf>
    <xf numFmtId="1" fontId="4" fillId="0" borderId="14" xfId="0" applyNumberFormat="1" applyFont="1" applyBorder="1" applyAlignment="1" applyProtection="1">
      <alignment horizontal="center" vertical="center" wrapText="1" readingOrder="1"/>
      <protection locked="0"/>
    </xf>
    <xf numFmtId="167" fontId="28" fillId="0" borderId="0" xfId="1" applyNumberFormat="1" applyFont="1" applyAlignment="1">
      <alignment horizontal="center" vertical="top"/>
    </xf>
    <xf numFmtId="2" fontId="40" fillId="0" borderId="0" xfId="0" applyNumberFormat="1" applyFont="1"/>
    <xf numFmtId="164" fontId="4" fillId="16" borderId="9" xfId="0" applyNumberFormat="1" applyFont="1" applyFill="1" applyBorder="1" applyAlignment="1" applyProtection="1">
      <alignment horizontal="left" vertical="center" wrapText="1" readingOrder="1"/>
      <protection locked="0"/>
    </xf>
    <xf numFmtId="170" fontId="0" fillId="0" borderId="0" xfId="0" applyNumberFormat="1"/>
    <xf numFmtId="0" fontId="40" fillId="0" borderId="0" xfId="0" applyFont="1" applyAlignment="1">
      <alignment horizontal="right" vertical="center"/>
    </xf>
    <xf numFmtId="169" fontId="40" fillId="0" borderId="0" xfId="0" applyNumberFormat="1" applyFont="1" applyAlignment="1">
      <alignment horizontal="right" vertical="center"/>
    </xf>
    <xf numFmtId="169" fontId="40" fillId="0" borderId="0" xfId="0" applyNumberFormat="1" applyFont="1"/>
    <xf numFmtId="164" fontId="4" fillId="3" borderId="14" xfId="0" applyNumberFormat="1" applyFont="1" applyFill="1" applyBorder="1" applyAlignment="1" applyProtection="1">
      <alignment horizontal="left" vertical="center" wrapText="1" readingOrder="1"/>
      <protection locked="0"/>
    </xf>
    <xf numFmtId="0" fontId="0" fillId="0" borderId="0" xfId="0" applyAlignment="1">
      <alignment horizontal="center" vertical="center"/>
    </xf>
    <xf numFmtId="169" fontId="40" fillId="22" borderId="0" xfId="0" applyNumberFormat="1" applyFont="1" applyFill="1"/>
    <xf numFmtId="169" fontId="40" fillId="0" borderId="20" xfId="0" applyNumberFormat="1" applyFont="1" applyBorder="1"/>
    <xf numFmtId="169" fontId="0" fillId="0" borderId="0" xfId="0" applyNumberFormat="1" applyAlignment="1">
      <alignment horizontal="center" vertical="center"/>
    </xf>
    <xf numFmtId="164" fontId="5" fillId="3" borderId="9" xfId="0" applyNumberFormat="1" applyFont="1" applyFill="1" applyBorder="1" applyAlignment="1" applyProtection="1">
      <alignment horizontal="left" vertical="center" wrapText="1" readingOrder="1"/>
      <protection locked="0"/>
    </xf>
    <xf numFmtId="164" fontId="5" fillId="3" borderId="14" xfId="0" applyNumberFormat="1" applyFont="1" applyFill="1" applyBorder="1" applyAlignment="1" applyProtection="1">
      <alignment horizontal="left" vertical="center" wrapText="1" readingOrder="1"/>
      <protection locked="0"/>
    </xf>
    <xf numFmtId="164" fontId="32" fillId="3" borderId="9" xfId="0" applyNumberFormat="1" applyFont="1" applyFill="1" applyBorder="1" applyAlignment="1" applyProtection="1">
      <alignment horizontal="left" vertical="center" wrapText="1" readingOrder="1"/>
      <protection locked="0"/>
    </xf>
    <xf numFmtId="169" fontId="40" fillId="22" borderId="21" xfId="0" applyNumberFormat="1" applyFont="1" applyFill="1" applyBorder="1"/>
    <xf numFmtId="0" fontId="40" fillId="0" borderId="22" xfId="0" applyFont="1" applyBorder="1" applyAlignment="1">
      <alignment horizontal="left"/>
    </xf>
    <xf numFmtId="169" fontId="40" fillId="0" borderId="22" xfId="0" applyNumberFormat="1" applyFont="1" applyBorder="1"/>
    <xf numFmtId="14" fontId="0" fillId="0" borderId="0" xfId="0" applyNumberFormat="1" applyAlignment="1">
      <alignment horizontal="left" indent="1"/>
    </xf>
    <xf numFmtId="164" fontId="5" fillId="16" borderId="9" xfId="0" applyNumberFormat="1" applyFont="1" applyFill="1" applyBorder="1" applyAlignment="1" applyProtection="1">
      <alignment horizontal="left" vertical="center" wrapText="1" readingOrder="1"/>
      <protection locked="0"/>
    </xf>
    <xf numFmtId="164" fontId="4" fillId="20" borderId="9" xfId="0" applyNumberFormat="1" applyFont="1" applyFill="1" applyBorder="1" applyAlignment="1" applyProtection="1">
      <alignment horizontal="left" vertical="top" wrapText="1" readingOrder="1"/>
      <protection locked="0"/>
    </xf>
    <xf numFmtId="164" fontId="5" fillId="2" borderId="14" xfId="0" applyNumberFormat="1" applyFont="1" applyFill="1" applyBorder="1" applyAlignment="1" applyProtection="1">
      <alignment horizontal="left" vertical="center" wrapText="1" readingOrder="1"/>
      <protection locked="0"/>
    </xf>
    <xf numFmtId="0" fontId="5" fillId="21" borderId="14" xfId="0" applyFont="1" applyFill="1" applyBorder="1" applyAlignment="1" applyProtection="1">
      <alignment horizontal="left" vertical="center" wrapText="1" readingOrder="1"/>
      <protection locked="0"/>
    </xf>
    <xf numFmtId="164" fontId="5" fillId="2" borderId="9" xfId="0" applyNumberFormat="1" applyFont="1" applyFill="1" applyBorder="1" applyAlignment="1" applyProtection="1">
      <alignment horizontal="left" vertical="center" wrapText="1" readingOrder="1"/>
      <protection locked="0"/>
    </xf>
    <xf numFmtId="164" fontId="4" fillId="16" borderId="14" xfId="0" applyNumberFormat="1" applyFont="1" applyFill="1" applyBorder="1" applyAlignment="1" applyProtection="1">
      <alignment horizontal="left" vertical="center" wrapText="1" readingOrder="1"/>
      <protection locked="0"/>
    </xf>
    <xf numFmtId="164" fontId="4" fillId="21" borderId="14" xfId="0" applyNumberFormat="1" applyFont="1" applyFill="1" applyBorder="1" applyAlignment="1" applyProtection="1">
      <alignment horizontal="left" vertical="top" wrapText="1" readingOrder="1"/>
      <protection locked="0"/>
    </xf>
    <xf numFmtId="0" fontId="5" fillId="21" borderId="9" xfId="0" applyFont="1" applyFill="1" applyBorder="1" applyAlignment="1" applyProtection="1">
      <alignment horizontal="left" vertical="center" wrapText="1" readingOrder="1"/>
      <protection locked="0"/>
    </xf>
    <xf numFmtId="0" fontId="36" fillId="4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/>
    </xf>
    <xf numFmtId="0" fontId="18" fillId="3" borderId="9" xfId="0" applyFont="1" applyFill="1" applyBorder="1" applyAlignment="1">
      <alignment horizontal="left" vertical="center"/>
    </xf>
    <xf numFmtId="0" fontId="16" fillId="10" borderId="15" xfId="0" applyFont="1" applyFill="1" applyBorder="1" applyAlignment="1">
      <alignment horizontal="left" vertical="center" wrapText="1"/>
    </xf>
    <xf numFmtId="0" fontId="16" fillId="10" borderId="17" xfId="0" applyFont="1" applyFill="1" applyBorder="1" applyAlignment="1">
      <alignment horizontal="left" vertical="center" wrapText="1"/>
    </xf>
    <xf numFmtId="0" fontId="16" fillId="10" borderId="16" xfId="0" applyFont="1" applyFill="1" applyBorder="1" applyAlignment="1">
      <alignment horizontal="left" vertical="center" wrapText="1"/>
    </xf>
    <xf numFmtId="0" fontId="22" fillId="10" borderId="9" xfId="0" applyFont="1" applyFill="1" applyBorder="1" applyAlignment="1">
      <alignment horizontal="left" vertical="center" wrapText="1"/>
    </xf>
    <xf numFmtId="0" fontId="19" fillId="3" borderId="9" xfId="0" applyFont="1" applyFill="1" applyBorder="1" applyAlignment="1">
      <alignment horizontal="left" vertical="center" wrapText="1"/>
    </xf>
    <xf numFmtId="0" fontId="33" fillId="16" borderId="15" xfId="0" applyFont="1" applyFill="1" applyBorder="1" applyAlignment="1">
      <alignment horizontal="left" vertical="top"/>
    </xf>
    <xf numFmtId="0" fontId="33" fillId="16" borderId="17" xfId="0" applyFont="1" applyFill="1" applyBorder="1" applyAlignment="1">
      <alignment horizontal="left" vertical="top"/>
    </xf>
    <xf numFmtId="0" fontId="33" fillId="16" borderId="16" xfId="0" applyFont="1" applyFill="1" applyBorder="1" applyAlignment="1">
      <alignment horizontal="left" vertical="top"/>
    </xf>
    <xf numFmtId="0" fontId="34" fillId="10" borderId="15" xfId="0" applyFont="1" applyFill="1" applyBorder="1" applyAlignment="1">
      <alignment horizontal="center" vertical="top"/>
    </xf>
    <xf numFmtId="0" fontId="34" fillId="10" borderId="17" xfId="0" applyFont="1" applyFill="1" applyBorder="1" applyAlignment="1">
      <alignment horizontal="center" vertical="top"/>
    </xf>
    <xf numFmtId="0" fontId="34" fillId="10" borderId="16" xfId="0" applyFont="1" applyFill="1" applyBorder="1" applyAlignment="1">
      <alignment horizontal="center" vertical="top"/>
    </xf>
  </cellXfs>
  <cellStyles count="2">
    <cellStyle name="Normal" xfId="0" builtinId="0"/>
    <cellStyle name="Normal 18" xfId="1" xr:uid="{446E7047-338D-4AA8-BAFF-008E81E3359C}"/>
  </cellStyles>
  <dxfs count="209"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9" formatCode="0.000"/>
    </dxf>
    <dxf>
      <numFmt numFmtId="169" formatCode="0.000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9" formatCode="0.000"/>
    </dxf>
    <dxf>
      <numFmt numFmtId="169" formatCode="0.000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9" formatCode="0.000"/>
    </dxf>
    <dxf>
      <numFmt numFmtId="169" formatCode="0.000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9" formatCode="0.000"/>
    </dxf>
    <dxf>
      <numFmt numFmtId="169" formatCode="0.000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9" formatCode="0.000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9" formatCode="0.000"/>
    </dxf>
    <dxf>
      <numFmt numFmtId="169" formatCode="0.000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9" formatCode="0.000"/>
    </dxf>
    <dxf>
      <numFmt numFmtId="169" formatCode="0.000"/>
    </dxf>
    <dxf>
      <numFmt numFmtId="2" formatCode="0.00"/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auto="1"/>
          <bgColor rgb="FFFFEFEF"/>
        </patternFill>
      </fill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ont>
        <color theme="1" tint="4.9989318521683403E-2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9" tint="0.39994506668294322"/>
        </patternFill>
      </fill>
    </dxf>
    <dxf>
      <numFmt numFmtId="169" formatCode="0.000"/>
    </dxf>
    <dxf>
      <numFmt numFmtId="169" formatCode="0.000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numFmt numFmtId="169" formatCode="0.000"/>
    </dxf>
    <dxf>
      <numFmt numFmtId="169" formatCode="0.000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numFmt numFmtId="169" formatCode="0.000"/>
    </dxf>
    <dxf>
      <numFmt numFmtId="169" formatCode="0.000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numFmt numFmtId="169" formatCode="0.000"/>
    </dxf>
    <dxf>
      <numFmt numFmtId="169" formatCode="0.000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numFmt numFmtId="169" formatCode="0.000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numFmt numFmtId="169" formatCode="0.000"/>
    </dxf>
    <dxf>
      <numFmt numFmtId="169" formatCode="0.000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numFmt numFmtId="169" formatCode="0.000"/>
    </dxf>
    <dxf>
      <numFmt numFmtId="169" formatCode="0.000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sz val="12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d/m/yy\ h:mm;@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none">
          <fgColor rgb="FF000000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[h]:mm:ss;@"/>
      <fill>
        <patternFill patternType="none">
          <fgColor rgb="FF000000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numFmt numFmtId="27" formatCode="dd/mm/yyyy\ hh:mm"/>
      <fill>
        <patternFill patternType="none">
          <fgColor rgb="FF000000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numFmt numFmtId="27" formatCode="dd/mm/yyyy\ hh:mm"/>
      <fill>
        <patternFill patternType="none">
          <fgColor rgb="FF000000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rgb="FF000000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9" formatCode="dd/mm/yyyy"/>
      <fill>
        <patternFill patternType="none">
          <fgColor rgb="FF000000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top" textRotation="0" wrapText="0" indent="0" justifyLastLine="0" shrinkToFit="0" readingOrder="0"/>
    </dxf>
    <dxf>
      <border outline="0">
        <top style="thin">
          <color rgb="FF000000"/>
        </top>
      </border>
    </dxf>
    <dxf>
      <alignment horizontal="left" vertical="top" textRotation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fill>
        <patternFill patternType="solid">
          <fgColor indexed="64"/>
          <bgColor rgb="FFFFC00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theme="0" tint="-0.499984740745262"/>
        </top>
      </border>
    </dxf>
    <dxf>
      <border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theme="0" tint="-0.499984740745262"/>
        </top>
      </border>
    </dxf>
    <dxf>
      <border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border outline="0"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theme="0" tint="-0.499984740745262"/>
        </top>
      </border>
    </dxf>
    <dxf>
      <border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theme="0" tint="-0.499984740745262"/>
        </top>
      </border>
    </dxf>
    <dxf>
      <border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numFmt numFmtId="164" formatCode="[$-10409]dd/mm/yyyy\ hh:mm:ss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numFmt numFmtId="164" formatCode="[$-10409]dd/mm/yyyy\ hh:mm:ss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numFmt numFmtId="164" formatCode="[$-10409]dd/mm/yyyy\ hh:mm:ss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numFmt numFmtId="164" formatCode="[$-10409]dd/mm/yyyy\ hh:mm:ss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[$-10409]dd/mm/yyyy\ hh:mm:ss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numFmt numFmtId="164" formatCode="[$-10409]dd/mm/yyyy\ hh:mm:ss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65" formatCode="0.0"/>
      <fill>
        <patternFill patternType="solid">
          <fgColor indexed="64"/>
          <bgColor theme="5" tint="0.79998168889431442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65" formatCode="0.0"/>
      <fill>
        <patternFill patternType="solid">
          <fgColor indexed="64"/>
          <bgColor theme="5" tint="0.79998168889431442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65" formatCode="0.0"/>
      <fill>
        <patternFill patternType="solid">
          <fgColor indexed="64"/>
          <bgColor theme="5" tint="0.79998168889431442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2" formatCode="0.00"/>
      <fill>
        <patternFill patternType="solid">
          <fgColor indexed="64"/>
          <bgColor theme="5" tint="0.79998168889431442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Segoe UI"/>
        <family val="2"/>
        <scheme val="none"/>
      </font>
      <numFmt numFmtId="2" formatCode="0.00"/>
      <fill>
        <patternFill patternType="solid">
          <fgColor indexed="64"/>
          <bgColor theme="5" tint="0.79998168889431442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2" formatCode="0.00"/>
      <fill>
        <patternFill patternType="solid">
          <fgColor indexed="64"/>
          <bgColor theme="5" tint="0.79998168889431442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numFmt numFmtId="2" formatCode="0.00"/>
      <fill>
        <patternFill patternType="solid">
          <fgColor indexed="64"/>
          <bgColor theme="5" tint="0.79998168889431442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numFmt numFmtId="2" formatCode="0.00"/>
      <fill>
        <patternFill patternType="solid">
          <fgColor indexed="64"/>
          <bgColor theme="5" tint="0.79998168889431442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numFmt numFmtId="2" formatCode="0.00"/>
      <fill>
        <patternFill patternType="solid">
          <fgColor indexed="64"/>
          <bgColor theme="5" tint="0.79998168889431442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numFmt numFmtId="2" formatCode="0.00"/>
      <fill>
        <patternFill patternType="solid">
          <fgColor indexed="64"/>
          <bgColor theme="5" tint="0.79998168889431442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numFmt numFmtId="1" formatCode="0"/>
      <fill>
        <patternFill patternType="solid">
          <fgColor indexed="64"/>
          <bgColor theme="5" tint="0.79998168889431442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theme="0" tint="-0.499984740745262"/>
        </top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border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007A7E"/>
          <bgColor rgb="FFFF0000"/>
        </patternFill>
      </fill>
      <alignment horizontal="left" vertical="top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99"/>
      <color rgb="FFFFE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dinando Magalhaes" refreshedDate="46302.920050462963" createdVersion="8" refreshedVersion="8" minRefreshableVersion="3" recordCount="1021" xr:uid="{5CE9BDD5-F731-4ADC-B012-54A16DEEE9AF}">
  <cacheSource type="worksheet">
    <worksheetSource name="TAB_HISTORICO_MANUT"/>
  </cacheSource>
  <cacheFields count="46">
    <cacheField name="dif. Mês" numFmtId="0">
      <sharedItems containsSemiMixedTypes="0" containsString="0" containsNumber="1" containsInteger="1" minValue="0" maxValue="0"/>
    </cacheField>
    <cacheField name="PRODUTO" numFmtId="0">
      <sharedItems containsNonDate="0" containsString="0" containsBlank="1"/>
    </cacheField>
    <cacheField name="DURAÇÃO - PRODUTO MANUAL" numFmtId="0">
      <sharedItems containsNonDate="0" containsString="0" containsBlank="1"/>
    </cacheField>
    <cacheField name="CARTA" numFmtId="0">
      <sharedItems containsNonDate="0" containsString="0" containsBlank="1"/>
    </cacheField>
    <cacheField name="DURAÇÃO - CARTA MANUAL" numFmtId="0">
      <sharedItems containsNonDate="0" containsString="0" containsBlank="1"/>
    </cacheField>
    <cacheField name="COMPONENTE" numFmtId="0">
      <sharedItems containsNonDate="0" containsString="0" containsBlank="1"/>
    </cacheField>
    <cacheField name="DURAÇÃO - COMP. MANUAL" numFmtId="0">
      <sharedItems containsNonDate="0" containsString="0" containsBlank="1"/>
    </cacheField>
    <cacheField name="Comentários Adicionais_x000a_(Componentes, produto e Cartas)" numFmtId="0">
      <sharedItems containsBlank="1"/>
    </cacheField>
    <cacheField name="Ajuste - Cod. Despacho" numFmtId="0">
      <sharedItems containsBlank="1"/>
    </cacheField>
    <cacheField name="AJUSTE - BUILD UP" numFmtId="0">
      <sharedItems containsBlank="1"/>
    </cacheField>
    <cacheField name="AJUSTE - SISTEMA" numFmtId="0">
      <sharedItems containsBlank="1"/>
    </cacheField>
    <cacheField name="AJUSTE - OCORRENCIA (0 / 1)" numFmtId="0">
      <sharedItems containsString="0" containsBlank="1" containsNumber="1" containsInteger="1" minValue="0" maxValue="1"/>
    </cacheField>
    <cacheField name="AJUSTE - EXPURGO (S/N)" numFmtId="0">
      <sharedItems containsBlank="1"/>
    </cacheField>
    <cacheField name="CONT. OCOR." numFmtId="1">
      <sharedItems containsMixedTypes="1" containsNumber="1" containsInteger="1" minValue="0" maxValue="1"/>
    </cacheField>
    <cacheField name="SISTEMA / PERFIL" numFmtId="2">
      <sharedItems/>
    </cacheField>
    <cacheField name="CLASSI." numFmtId="2">
      <sharedItems containsBlank="1" count="7">
        <s v="HAC - Hora Acidente"/>
        <s v="MPNS - Hora Manutenção Preventiva não Sistemática"/>
        <s v=""/>
        <s v="HMC - Hora de Manutenção Corretiva"/>
        <s v="MPS - Hora Manutenção Preventiva Sistemática"/>
        <e v="#REF!" u="1"/>
        <m u="1"/>
      </sharedItems>
    </cacheField>
    <cacheField name="BUILD UP" numFmtId="2">
      <sharedItems/>
    </cacheField>
    <cacheField name="Duração Ocorrencia" numFmtId="2">
      <sharedItems containsMixedTypes="1" containsNumber="1" minValue="0" maxValue="733.07944444444729"/>
    </cacheField>
    <cacheField name="EXPURGO Mãe" numFmtId="2">
      <sharedItems count="5">
        <s v="SIM"/>
        <s v="NÃO"/>
        <s v=""/>
        <e v="#REF!" u="1"/>
        <e v="#N/A" u="1"/>
      </sharedItems>
    </cacheField>
    <cacheField name="CHECK. EXP. MÃE" numFmtId="2">
      <sharedItems/>
    </cacheField>
    <cacheField name="EXPURGO Filhas" numFmtId="2">
      <sharedItems/>
    </cacheField>
    <cacheField name="DUR. EXP. FILHA" numFmtId="165">
      <sharedItems containsSemiMixedTypes="0" containsString="0" containsNumber="1" minValue="0" maxValue="28.827581018515048"/>
    </cacheField>
    <cacheField name="DUR. PRODUTO" numFmtId="165">
      <sharedItems containsSemiMixedTypes="0" containsString="0" containsNumber="1" containsInteger="1" minValue="0" maxValue="0"/>
    </cacheField>
    <cacheField name="DUR. COMPONENTE.PM" numFmtId="165">
      <sharedItems containsSemiMixedTypes="0" containsString="0" containsNumber="1" containsInteger="1" minValue="0" maxValue="0"/>
    </cacheField>
    <cacheField name="Hora Inicio" numFmtId="164">
      <sharedItems containsSemiMixedTypes="0" containsNonDate="0" containsDate="1" containsString="0" minDate="2026-01-01T00:00:00" maxDate="2026-10-06T23:10:30" count="1025">
        <d v="2026-01-01T00:00:00"/>
        <d v="2026-01-03T09:23:52"/>
        <d v="2026-01-03T09:37:53"/>
        <d v="2026-01-03T11:40:00"/>
        <d v="2026-01-04T20:34:00"/>
        <d v="2026-01-04T20:50:36"/>
        <d v="2026-01-05T08:14:33"/>
        <d v="2026-01-05T18:36:51"/>
        <d v="2026-01-06T13:24:52"/>
        <d v="2026-01-06T18:26:40"/>
        <d v="2026-01-06T18:46:42"/>
        <d v="2026-01-09T22:21:08"/>
        <d v="2026-01-09T22:26:39"/>
        <d v="2026-01-11T20:02:02"/>
        <d v="2026-01-11T21:16:25"/>
        <d v="2026-01-13T23:32:26"/>
        <d v="2026-01-15T22:55:55"/>
        <d v="2026-01-15T23:33:04"/>
        <d v="2026-01-17T18:33:21"/>
        <d v="2026-01-17T20:00:00"/>
        <d v="2026-01-18T03:12:59"/>
        <d v="2026-01-18T03:56:34"/>
        <d v="2026-01-18T05:10:17"/>
        <d v="2026-01-18T09:58:00"/>
        <d v="2026-01-18T10:05:11"/>
        <d v="2026-01-18T12:59:29"/>
        <d v="2026-01-19T04:32:17"/>
        <d v="2026-01-19T06:59:11"/>
        <d v="2026-01-20T13:20:07"/>
        <d v="2026-01-20T15:30:28"/>
        <d v="2026-01-20T15:36:40"/>
        <d v="2026-01-21T15:58:22"/>
        <d v="2026-01-30T11:10:05"/>
        <d v="2026-02-02T13:51:35"/>
        <d v="2026-02-02T14:17:10"/>
        <d v="2026-02-02T21:45:00"/>
        <d v="2026-02-03T16:54:57"/>
        <d v="2026-02-04T14:07:21"/>
        <d v="2026-02-09T02:24:37"/>
        <d v="2026-02-09T02:44:54"/>
        <d v="2026-02-09T09:56:41"/>
        <d v="2026-02-10T08:00:08"/>
        <d v="2026-02-13T21:47:17"/>
        <d v="2026-02-14T23:44:18"/>
        <d v="2026-02-16T09:44:55"/>
        <d v="2026-02-16T20:04:25"/>
        <d v="2026-02-17T09:45:35"/>
        <d v="2026-02-17T13:38:00"/>
        <d v="2026-02-17T19:40:14"/>
        <d v="2026-02-17T20:40:14"/>
        <d v="2026-02-17T21:05:37"/>
        <d v="2026-02-18T00:36:03"/>
        <d v="2026-02-18T03:58:24"/>
        <d v="2026-02-19T12:22:47"/>
        <d v="2026-02-19T12:50:06"/>
        <d v="2026-02-19T18:48:23"/>
        <d v="2026-02-20T12:05:51"/>
        <d v="2026-02-23T01:24:44"/>
        <d v="2026-02-26T04:20:40"/>
        <d v="2026-02-26T09:00:00"/>
        <d v="2026-02-27T12:59:38"/>
        <d v="2026-02-27T15:22:12"/>
        <d v="2026-02-27T15:32:26"/>
        <d v="2026-02-28T07:20:59"/>
        <d v="2026-03-02T10:53:00"/>
        <d v="2026-03-02T10:53:07"/>
        <d v="2026-03-02T11:07:00"/>
        <d v="2026-03-02T18:13:00"/>
        <d v="2026-03-03T03:40:00"/>
        <d v="2026-03-03T12:59:00"/>
        <d v="2026-03-04T12:59:11"/>
        <d v="2026-03-06T14:59:11"/>
        <d v="2026-03-06T15:28:00"/>
        <d v="2026-03-06T16:30:00"/>
        <d v="2026-03-06T18:00:00"/>
        <d v="2026-03-10T00:55:33"/>
        <d v="2026-03-12T19:59:52"/>
        <d v="2026-03-16T23:45:04"/>
        <d v="2026-03-18T03:12:31"/>
        <d v="2026-03-21T20:17:57"/>
        <d v="2026-03-23T23:27:44"/>
        <d v="2026-03-24T19:06:16"/>
        <d v="2026-03-25T04:43:34"/>
        <d v="2026-03-28T00:27:19"/>
        <d v="2026-03-28T21:49:40"/>
        <d v="2026-03-31T02:39:48"/>
        <d v="2026-03-31T02:49:20"/>
        <d v="2026-03-31T04:05:23"/>
        <d v="2026-03-31T08:05:23"/>
        <d v="2026-03-31T10:37:02"/>
        <d v="2026-04-01T00:00:00"/>
        <d v="2026-04-01T10:02:02"/>
        <d v="2026-04-02T22:41:29"/>
        <d v="2026-04-02T22:58:28"/>
        <d v="2026-04-03T00:13:42"/>
        <d v="2026-04-03T10:00:00"/>
        <d v="2026-04-03T10:30:00"/>
        <d v="2026-04-04T17:09:35"/>
        <d v="2026-04-06T07:21:26"/>
        <d v="2026-04-07T04:48:51"/>
        <d v="2026-04-07T04:53:47"/>
        <d v="2026-04-09T16:17:45"/>
        <d v="2026-04-09T16:19:53"/>
        <d v="2026-04-09T16:22:58"/>
        <d v="2026-04-14T20:11:10"/>
        <d v="2026-04-14T20:29:48"/>
        <d v="2026-04-15T07:09:43"/>
        <d v="2026-04-15T07:14:29"/>
        <d v="2026-04-17T04:46:00"/>
        <d v="2026-04-17T10:09:57"/>
        <d v="2026-04-17T19:04:22"/>
        <d v="2026-04-17T19:26:28"/>
        <d v="2026-04-18T14:11:00"/>
        <d v="2026-04-18T15:11:00"/>
        <d v="2026-04-18T16:53:41"/>
        <d v="2026-04-18T19:45:50"/>
        <d v="2026-04-18T23:42:00"/>
        <d v="2026-04-19T06:00:00"/>
        <d v="2026-04-19T14:52:52"/>
        <d v="2026-04-20T08:40:00"/>
        <d v="2026-04-21T21:34:00"/>
        <d v="2026-04-22T04:32:00"/>
        <d v="2026-04-22T05:02:00"/>
        <d v="2026-04-22T23:10:00"/>
        <d v="2026-04-22T23:49:02"/>
        <d v="2026-04-23T08:11:02"/>
        <d v="2026-04-23T09:24:46"/>
        <d v="2026-04-24T16:34:13"/>
        <d v="2026-04-24T17:52:24"/>
        <d v="2026-04-25T15:14:34"/>
        <d v="2026-04-25T15:17:58"/>
        <d v="2026-04-25T17:32:43"/>
        <d v="2026-04-25T23:45:26"/>
        <d v="2026-04-28T21:40:06"/>
        <d v="2026-05-02T01:54:58"/>
        <d v="2026-05-02T02:42:50"/>
        <d v="2026-05-02T03:42:50"/>
        <d v="2026-05-02T04:43:55"/>
        <d v="2026-05-02T09:00:00"/>
        <d v="2026-05-02T13:00:00"/>
        <d v="2026-05-02T14:10:29"/>
        <d v="2026-05-03T19:57:32"/>
        <d v="2026-05-04T03:24:59"/>
        <d v="2026-05-05T13:18:34"/>
        <d v="2026-05-06T05:13:37"/>
        <d v="2026-05-10T04:54:21"/>
        <d v="2026-05-12T01:41:55"/>
        <d v="2026-05-13T16:28:23"/>
        <d v="2026-05-15T01:27:06"/>
        <d v="2026-05-17T14:14:57"/>
        <d v="2026-05-18T16:27:00"/>
        <d v="2026-05-21T12:46:11"/>
        <d v="2026-05-22T06:00:00"/>
        <d v="2026-05-22T19:04:02"/>
        <d v="2026-05-25T19:44:31"/>
        <d v="2026-05-26T18:59:44"/>
        <d v="2026-05-26T22:23:51"/>
        <d v="2026-05-27T12:23:48"/>
        <d v="2026-05-29T13:29:37"/>
        <d v="2026-05-30T18:40:57"/>
        <d v="2026-05-30T23:58:55"/>
        <d v="2026-05-31T15:52:20"/>
        <d v="2026-06-02T15:22:25"/>
        <d v="2026-06-02T16:13:47"/>
        <d v="2026-06-02T20:40:42"/>
        <d v="2026-06-02T23:37:51"/>
        <d v="2026-06-03T02:04:51"/>
        <d v="2026-06-03T12:07:00"/>
        <d v="2026-06-04T18:33:30"/>
        <d v="2026-06-08T13:28:16"/>
        <d v="2026-06-08T19:18:06"/>
        <d v="2026-06-10T14:16:21"/>
        <d v="2026-06-11T09:09:35"/>
        <d v="2026-06-13T17:54:18"/>
        <d v="2026-06-13T18:27:24"/>
        <d v="2026-06-17T02:30:30"/>
        <d v="2026-06-18T09:34:54"/>
        <d v="2026-06-18T10:30:00"/>
        <d v="2026-06-19T16:14:56"/>
        <d v="2026-06-19T16:50:00"/>
        <d v="2026-06-19T22:40:59"/>
        <d v="2026-06-20T15:03:09"/>
        <d v="2026-06-20T18:30:00"/>
        <d v="2026-06-22T08:32:18"/>
        <d v="2026-06-22T09:02:00"/>
        <d v="2026-06-28T02:29:40"/>
        <d v="2026-06-28T03:36:00"/>
        <d v="2026-07-01T23:32:39"/>
        <d v="2026-07-04T05:15:50"/>
        <d v="2026-07-04T15:32:26"/>
        <d v="2026-07-05T17:45:16"/>
        <d v="2026-07-05T19:27:00"/>
        <d v="2026-07-07T19:30:08"/>
        <d v="2026-07-08T10:11:32"/>
        <d v="2026-07-08T11:11:32"/>
        <d v="2026-07-08T11:26:44"/>
        <d v="2026-07-08T13:00:00"/>
        <d v="2026-07-08T17:00:00"/>
        <d v="2026-07-09T01:41:29"/>
        <d v="2026-07-11T15:14:21"/>
        <d v="2026-07-11T18:28:32"/>
        <d v="2026-07-12T08:28:21"/>
        <d v="2026-07-14T13:26:29"/>
        <d v="2026-07-15T10:46:02"/>
        <d v="2026-07-16T16:45:06"/>
        <d v="2026-07-17T05:11:29"/>
        <d v="2026-07-20T02:00:08"/>
        <d v="2026-07-20T11:43:47"/>
        <d v="2026-07-22T21:59:01"/>
        <d v="2026-07-24T01:35:17"/>
        <d v="2026-07-24T19:48:59"/>
        <d v="2026-07-25T04:25:37"/>
        <d v="2026-07-25T21:28:44"/>
        <d v="2026-07-26T16:36:03"/>
        <d v="2026-07-27T16:20:20"/>
        <d v="2026-07-27T17:49:33"/>
        <d v="2026-07-29T02:13:59"/>
        <d v="2026-07-29T02:58:17"/>
        <d v="2026-07-29T14:19:10"/>
        <d v="2026-07-29T19:40:36"/>
        <d v="2026-08-01T09:24:16"/>
        <d v="2026-08-03T10:53:08"/>
        <d v="2026-08-03T13:19:01"/>
        <d v="2026-08-05T00:59:44"/>
        <d v="2026-08-06T03:30:56"/>
        <d v="2026-08-08T02:31:28"/>
        <d v="2026-08-08T14:39:22"/>
        <d v="2026-08-11T02:55:09"/>
        <d v="2026-08-12T11:17:21"/>
        <d v="2026-08-14T16:44:53"/>
        <d v="2026-08-17T06:38:49"/>
        <d v="2026-08-20T16:03:38"/>
        <d v="2026-08-22T05:01:50"/>
        <d v="2026-08-23T09:26:03"/>
        <d v="2026-08-23T12:37:00"/>
        <d v="2026-08-23T16:49:17"/>
        <d v="2026-08-30T15:28:47"/>
        <d v="2026-08-31T10:15:22"/>
        <d v="2026-09-01T16:21:18"/>
        <d v="2026-09-02T03:48:39"/>
        <d v="2026-09-02T05:40:31"/>
        <d v="2026-09-04T22:29:25"/>
        <d v="2026-09-06T02:49:07"/>
        <d v="2026-09-07T18:35:08"/>
        <d v="2026-09-10T14:18:46"/>
        <d v="2026-09-11T19:16:58"/>
        <d v="2026-09-13T12:42:48"/>
        <d v="2026-09-13T16:29:36"/>
        <d v="2026-09-13T19:17:53"/>
        <d v="2026-09-14T10:17:00"/>
        <d v="2026-09-15T08:30:40"/>
        <d v="2026-09-20T06:00:00"/>
        <d v="2026-09-20T08:42:24"/>
        <d v="2026-09-20T15:44:51"/>
        <d v="2026-09-28T10:17:11"/>
        <d v="2026-09-30T00:10:32"/>
        <d v="2026-10-01T22:43:45"/>
        <d v="2026-10-04T15:51:53"/>
        <d v="2026-10-05T08:59:53"/>
        <d v="2026-10-05T10:18:15"/>
        <d v="2026-10-05T11:57:35"/>
        <d v="2026-10-05T13:15:51"/>
        <d v="2026-10-06T01:03:41"/>
        <d v="2026-01-03T00:08:43"/>
        <d v="2026-01-03T08:34:35"/>
        <d v="2026-01-03T14:40:27"/>
        <d v="2026-01-03T14:40:49"/>
        <d v="2026-01-03T14:41:42"/>
        <d v="2026-01-03T15:22:03"/>
        <d v="2026-01-04T11:45:57"/>
        <d v="2026-01-05T08:11:29"/>
        <d v="2026-01-05T20:15:51"/>
        <d v="2026-01-06T06:45:25"/>
        <d v="2026-01-09T04:52:01"/>
        <d v="2026-01-11T15:00:12"/>
        <d v="2026-01-12T01:24:11"/>
        <d v="2026-01-16T00:04:45"/>
        <d v="2026-01-18T04:08:17"/>
        <d v="2026-01-18T07:29:12"/>
        <d v="2026-01-23T08:01:57"/>
        <d v="2026-01-24T03:17:04"/>
        <d v="2026-01-24T04:17:04"/>
        <d v="2026-01-24T10:02:53"/>
        <d v="2026-01-24T10:40:48"/>
        <d v="2026-01-24T15:01:48"/>
        <d v="2026-01-24T17:15:52"/>
        <d v="2026-01-25T18:04:26"/>
        <d v="2026-01-25T23:45:23"/>
        <d v="2026-01-26T00:32:33"/>
        <d v="2026-01-26T22:16:54"/>
        <d v="2026-01-28T22:52:38"/>
        <d v="2026-01-30T00:03:41"/>
        <d v="2026-01-31T01:41:28"/>
        <d v="2026-01-31T06:41:53"/>
        <d v="2026-02-02T10:21:06"/>
        <d v="2026-02-02T19:38:20"/>
        <d v="2026-02-03T04:42:25"/>
        <d v="2026-02-05T10:47:52"/>
        <d v="2026-02-05T20:48:58"/>
        <d v="2026-02-06T11:35:28"/>
        <d v="2026-02-10T08:28:45"/>
        <d v="2026-02-10T22:40:00"/>
        <d v="2026-02-11T11:04:46"/>
        <d v="2026-02-11T13:10:00"/>
        <d v="2026-02-11T14:10:00"/>
        <d v="2026-02-11T19:09:00"/>
        <d v="2026-02-12T19:00:00"/>
        <d v="2026-02-13T11:00:00"/>
        <d v="2026-02-13T19:40:00"/>
        <d v="2026-02-13T21:47:00"/>
        <d v="2026-02-13T23:21:00"/>
        <d v="2026-02-14T11:45:00"/>
        <d v="2026-02-15T11:05:02"/>
        <d v="2026-02-16T02:26:00"/>
        <d v="2026-02-16T02:52:00"/>
        <d v="2026-02-16T16:47:17"/>
        <d v="2026-02-19T11:13:04"/>
        <d v="2026-02-19T16:19:47"/>
        <d v="2026-02-21T10:49:20"/>
        <d v="2026-02-21T11:00:00"/>
        <d v="2026-02-21T18:00:00"/>
        <d v="2026-02-22T06:00:00"/>
        <d v="2026-02-22T12:45:00"/>
        <d v="2026-02-22T14:25:00"/>
        <d v="2026-02-22T15:25:00"/>
        <d v="2026-02-26T17:15:00"/>
        <d v="2026-02-27T10:54:35"/>
        <d v="2026-03-01T02:36:49"/>
        <d v="2026-03-03T15:08:33"/>
        <d v="2026-03-05T16:05:21"/>
        <d v="2026-03-05T16:05:32"/>
        <d v="2026-03-06T13:09:15"/>
        <d v="2026-03-07T08:35:56"/>
        <d v="2026-03-07T15:54:01"/>
        <d v="2026-03-07T21:40:12"/>
        <d v="2026-03-08T01:40:12"/>
        <d v="2026-03-08T02:56:29"/>
        <d v="2026-03-09T00:50:00"/>
        <d v="2026-03-09T04:20:00"/>
        <d v="2026-03-09T12:47:50"/>
        <d v="2026-03-10T16:00:55"/>
        <d v="2026-03-12T08:04:06"/>
        <d v="2026-03-12T08:11:00"/>
        <d v="2026-03-12T09:09:00"/>
        <d v="2026-03-12T10:12:23"/>
        <d v="2026-03-13T09:44:14"/>
        <d v="2026-03-13T14:58:00"/>
        <d v="2026-03-14T10:03:28"/>
        <d v="2026-03-16T15:16:05"/>
        <d v="2026-03-16T17:57:42"/>
        <d v="2026-03-17T18:59:17"/>
        <d v="2026-03-21T04:43:50"/>
        <d v="2026-03-23T16:14:16"/>
        <d v="2026-03-23T16:56:59"/>
        <d v="2026-03-23T17:00:00"/>
        <d v="2026-03-23T20:06:46"/>
        <d v="2026-03-23T21:54:25"/>
        <d v="2026-03-23T23:42:03"/>
        <d v="2026-03-24T09:28:37"/>
        <d v="2026-03-24T15:24:12"/>
        <d v="2026-03-25T12:50:50"/>
        <d v="2026-03-25T14:50:00"/>
        <d v="2026-03-25T15:29:00"/>
        <d v="2026-03-25T16:29:00"/>
        <d v="2026-03-26T08:02:24"/>
        <d v="2026-03-26T18:01:51"/>
        <d v="2026-03-27T02:34:53"/>
        <d v="2026-04-01T08:18:02"/>
        <d v="2026-04-23T03:04:50"/>
        <d v="2026-05-01T00:00:00"/>
        <d v="2026-05-01T11:44:30"/>
        <d v="2026-05-20T11:30:00"/>
        <d v="2026-05-20T18:00:00"/>
        <d v="2026-05-21T15:25:52"/>
        <d v="2026-05-21T21:40:00"/>
        <d v="2026-05-23T06:00:00"/>
        <d v="2026-05-23T19:43:28"/>
        <d v="2026-05-24T09:26:13"/>
        <d v="2026-05-24T21:26:13"/>
        <d v="2026-05-26T18:14:22"/>
        <d v="2026-05-29T19:51:43"/>
        <d v="2026-05-30T08:56:05"/>
        <d v="2026-05-30T09:01:21"/>
        <d v="2026-06-01T08:03:31"/>
        <d v="2026-06-03T10:33:22"/>
        <d v="2026-06-03T18:59:37"/>
        <d v="2026-06-03T20:37:00"/>
        <d v="2026-06-06T09:13:51"/>
        <d v="2026-06-07T20:28:06"/>
        <d v="2026-06-07T21:53:00"/>
        <d v="2026-06-09T20:20:55"/>
        <d v="2026-06-10T11:07:05"/>
        <d v="2026-06-10T11:07:31"/>
        <d v="2026-06-10T11:16:19"/>
        <d v="2026-06-11T05:45:17"/>
        <d v="2026-06-11T22:00:11"/>
        <d v="2026-06-13T22:24:22"/>
        <d v="2026-06-14T04:31:09"/>
        <d v="2026-06-14T23:14:34"/>
        <d v="2026-06-15T00:54:15"/>
        <d v="2026-06-15T08:25:32"/>
        <d v="2026-06-16T04:38:00"/>
        <d v="2026-06-16T05:27:00"/>
        <d v="2026-06-16T06:27:00"/>
        <d v="2026-06-16T14:10:45"/>
        <d v="2026-06-16T14:20:44"/>
        <d v="2026-06-16T17:09:01"/>
        <d v="2026-06-19T07:36:04"/>
        <d v="2026-06-20T01:40:42"/>
        <d v="2026-06-20T02:15:00"/>
        <d v="2026-06-20T12:40:01"/>
        <d v="2026-06-20T15:00:00"/>
        <d v="2026-06-21T02:21:16"/>
        <d v="2026-06-21T22:43:57"/>
        <d v="2026-06-22T11:20:19"/>
        <d v="2026-06-23T10:18:25"/>
        <d v="2026-06-25T08:34:16"/>
        <d v="2026-06-26T02:04:48"/>
        <d v="2026-06-28T03:10:41"/>
        <d v="2026-06-28T03:13:00"/>
        <d v="2026-06-29T12:05:25"/>
        <d v="2026-06-29T13:39:53"/>
        <d v="2026-06-30T05:04:36"/>
        <d v="2026-06-30T09:14:17"/>
        <d v="2026-07-01T21:59:38"/>
        <d v="2026-07-02T07:19:58"/>
        <d v="2026-07-02T08:19:58"/>
        <d v="2026-07-02T08:27:03"/>
        <d v="2026-07-04T02:04:28"/>
        <d v="2026-07-06T05:00:35"/>
        <d v="2026-07-10T19:28:00"/>
        <d v="2026-07-13T16:40:00"/>
        <d v="2026-08-01T00:00:00"/>
        <d v="2026-08-01T10:55:13"/>
        <d v="2026-09-01T00:00:00"/>
        <d v="2026-09-01T09:46:55"/>
        <d v="2026-09-05T03:51:19"/>
        <d v="2026-09-07T08:49:26"/>
        <d v="2026-09-08T07:54:12"/>
        <d v="2026-09-08T12:52:32"/>
        <d v="2026-09-15T18:59:08"/>
        <d v="2026-09-18T11:26:02"/>
        <d v="2026-09-18T22:44:37"/>
        <d v="2026-09-27T06:26:06"/>
        <d v="2026-09-28T08:36:41"/>
        <d v="2026-09-28T08:48:38"/>
        <d v="2026-09-28T13:28:18"/>
        <d v="2026-09-28T17:32:05"/>
        <d v="2026-10-01T10:34:09"/>
        <d v="2026-10-03T21:17:06"/>
        <d v="2026-10-05T05:26:10"/>
        <d v="2026-01-09T17:05:51"/>
        <d v="2026-01-10T21:00:32"/>
        <d v="2026-01-11T02:03:28"/>
        <d v="2026-01-11T02:47:58"/>
        <d v="2026-01-11T04:46:07"/>
        <d v="2026-01-11T08:46:07"/>
        <d v="2026-01-11T15:48:24"/>
        <d v="2026-01-11T19:54:00"/>
        <d v="2026-01-11T22:00:00"/>
        <d v="2026-01-12T04:00:00"/>
        <d v="2026-01-12T06:00:00"/>
        <d v="2026-01-12T16:11:00"/>
        <d v="2026-01-12T17:25:00"/>
        <d v="2026-01-16T19:22:59"/>
        <d v="2026-01-17T09:31:00"/>
        <d v="2026-01-24T02:39:11"/>
        <d v="2026-01-24T02:50:00"/>
        <d v="2026-01-26T07:45:11"/>
        <d v="2026-01-26T12:33:07"/>
        <d v="2026-01-26T16:42:17"/>
        <d v="2026-01-27T02:24:59"/>
        <d v="2026-01-27T14:30:00"/>
        <d v="2026-01-27T15:07:51"/>
        <d v="2026-01-27T20:58:11"/>
        <d v="2026-01-27T21:31:30"/>
        <d v="2026-01-29T10:24:50"/>
        <d v="2026-01-30T12:15:39"/>
        <d v="2026-02-03T21:42:48"/>
        <d v="2026-02-03T21:51:14"/>
        <d v="2026-02-05T20:24:31"/>
        <d v="2026-02-08T01:27:53"/>
        <d v="2026-02-08T01:35:08"/>
        <d v="2026-02-08T01:42:35"/>
        <d v="2026-02-08T04:18:43"/>
        <d v="2026-02-08T13:30:00"/>
        <d v="2026-02-10T16:15:13"/>
        <d v="2026-02-10T18:51:12"/>
        <d v="2026-02-11T03:50:02"/>
        <d v="2026-02-11T04:02:29"/>
        <d v="2026-02-14T13:41:37"/>
        <d v="2026-02-14T15:10:00"/>
        <d v="2026-02-15T01:04:35"/>
        <d v="2026-02-15T01:19:44"/>
        <d v="2026-02-15T04:33:59"/>
        <d v="2026-02-15T08:00:44"/>
        <d v="2026-02-15T12:00:44"/>
        <d v="2026-02-15T12:42:49"/>
        <d v="2026-02-16T05:12:00"/>
        <d v="2026-02-16T09:41:00"/>
        <d v="2026-02-16T13:06:05"/>
        <d v="2026-02-16T13:55:03"/>
        <d v="2026-02-16T18:25:13"/>
        <d v="2026-02-17T09:08:01"/>
        <d v="2026-02-18T06:35:44"/>
        <d v="2026-02-18T14:13:25"/>
        <d v="2026-02-18T14:16:00"/>
        <d v="2026-02-20T17:06:56"/>
        <d v="2026-02-23T05:06:53"/>
        <d v="2026-02-23T12:11:00"/>
        <d v="2026-02-23T18:55:29"/>
        <d v="2026-02-24T20:13:06"/>
        <d v="2026-02-25T14:02:05"/>
        <d v="2026-02-26T14:06:25"/>
        <d v="2026-02-27T00:43:03"/>
        <d v="2026-03-01T01:05:26"/>
        <d v="2026-03-01T02:05:26"/>
        <d v="2026-03-01T02:18:42"/>
        <d v="2026-03-01T02:59:49"/>
        <d v="2026-03-01T05:41:48"/>
        <d v="2026-03-01T06:30:00"/>
        <d v="2026-03-01T15:45:20"/>
        <d v="2026-03-02T09:26:55"/>
        <d v="2026-03-03T16:33:06"/>
        <d v="2026-03-04T12:10:39"/>
        <d v="2026-03-09T20:55:18"/>
        <d v="2026-03-10T09:05:51"/>
        <d v="2026-03-10T09:50:00"/>
        <d v="2026-03-11T12:19:53"/>
        <d v="2026-03-13T10:40:59"/>
        <d v="2026-03-18T09:06:11"/>
        <d v="2026-03-18T10:01:00"/>
        <d v="2026-03-18T11:01:00"/>
        <d v="2026-03-19T06:15:04"/>
        <d v="2026-03-19T10:27:47"/>
        <d v="2026-03-20T10:06:20"/>
        <d v="2026-03-23T06:16:59"/>
        <d v="2026-03-24T06:28:07"/>
        <d v="2026-03-25T03:08:43"/>
        <d v="2026-03-28T01:12:45"/>
        <d v="2026-04-01T07:23:29"/>
        <d v="2026-04-01T08:40:00"/>
        <d v="2026-04-01T09:10:00"/>
        <d v="2026-04-04T08:17:18"/>
        <d v="2026-04-04T08:55:42"/>
        <d v="2026-04-04T11:00:30"/>
        <d v="2026-04-04T11:40:00"/>
        <d v="2026-04-04T16:40:00"/>
        <d v="2026-04-04T17:20:06"/>
        <d v="2026-04-09T20:50:27"/>
        <d v="2026-04-11T01:32:56"/>
        <d v="2026-04-11T07:05:41"/>
        <d v="2026-04-11T07:35:00"/>
        <d v="2026-04-11T08:05:00"/>
        <d v="2026-04-11T23:30:04"/>
        <d v="2026-04-12T04:19:30"/>
        <d v="2026-04-12T13:08:29"/>
        <d v="2026-04-12T14:56:36"/>
        <d v="2026-04-14T14:20:28"/>
        <d v="2026-04-15T10:41:07"/>
        <d v="2026-04-16T18:57:17"/>
        <d v="2026-04-18T15:44:51"/>
        <d v="2026-04-19T18:26:27"/>
        <d v="2026-04-21T20:57:24"/>
        <d v="2026-04-24T10:02:12"/>
        <d v="2026-04-28T18:37:04"/>
        <d v="2026-04-29T00:34:00"/>
        <d v="2026-04-29T01:04:00"/>
        <d v="2026-04-30T16:20:07"/>
        <d v="2026-04-30T18:00:00"/>
        <d v="2026-04-30T19:00:00"/>
        <d v="2026-04-30T20:45:41"/>
        <d v="2026-04-30T22:11:22"/>
        <d v="2026-05-01T02:11:00"/>
        <d v="2026-05-01T03:45:02"/>
        <d v="2026-05-02T11:15:41"/>
        <d v="2026-05-04T11:11:22"/>
        <d v="2026-05-07T14:50:09"/>
        <d v="2026-05-13T08:10:17"/>
        <d v="2026-05-13T09:46:00"/>
        <d v="2026-05-15T06:19:15"/>
        <d v="2026-05-16T09:43:51"/>
        <d v="2026-05-16T12:40:00"/>
        <d v="2026-05-16T18:00:00"/>
        <d v="2026-05-19T11:13:56"/>
        <d v="2026-05-21T11:26:08"/>
        <d v="2026-05-21T14:38:36"/>
        <d v="2026-05-22T08:59:05"/>
        <d v="2026-05-22T23:49:00"/>
        <d v="2026-05-23T19:55:26"/>
        <d v="2026-05-24T02:06:46"/>
        <d v="2026-05-24T02:10:00"/>
        <d v="2026-05-24T06:53:57"/>
        <d v="2026-05-24T07:43:00"/>
        <d v="2026-05-26T06:20:00"/>
        <d v="2026-05-26T07:30:00"/>
        <d v="2026-05-27T11:52:56"/>
        <d v="2026-05-27T12:20:14"/>
        <d v="2026-05-27T20:29:55"/>
        <d v="2026-05-29T17:00:23"/>
        <d v="2026-05-29T18:55:50"/>
        <d v="2026-05-29T23:00:00"/>
        <d v="2026-05-30T01:08:31"/>
        <d v="2026-05-31T23:40:22"/>
        <d v="2026-06-01T00:00:00"/>
        <d v="2026-06-01T00:20:02"/>
        <d v="2026-06-01T01:38:23"/>
        <d v="2026-06-01T08:23:26"/>
        <d v="2026-06-01T09:03:55"/>
        <d v="2026-06-04T07:52:34"/>
        <d v="2026-06-04T08:52:34"/>
        <d v="2026-06-05T06:29:41"/>
        <d v="2026-06-07T06:13:03"/>
        <d v="2026-06-08T06:53:04"/>
        <d v="2026-06-08T10:02:00"/>
        <d v="2026-06-09T12:45:19"/>
        <d v="2026-06-10T06:20:00"/>
        <d v="2026-06-10T13:10:00"/>
        <d v="2026-06-11T10:57:51"/>
        <d v="2026-06-11T12:53:00"/>
        <d v="2026-06-12T06:40:53"/>
        <d v="2026-06-12T08:04:31"/>
        <d v="2026-06-15T07:29:19"/>
        <d v="2026-06-16T18:21:59"/>
        <d v="2026-06-16T18:34:35"/>
        <d v="2026-06-18T10:48:45"/>
        <d v="2026-06-20T03:23:23"/>
        <d v="2026-06-20T06:55:09"/>
        <d v="2026-06-22T08:38:24"/>
        <d v="2026-06-30T01:43:48"/>
        <d v="2026-06-30T02:09:40"/>
        <d v="2026-07-04T07:50:50"/>
        <d v="2026-07-04T10:40:19"/>
        <d v="2026-07-04T19:30:47"/>
        <d v="2026-07-08T10:54:49"/>
        <d v="2026-07-11T08:08:38"/>
        <d v="2026-07-11T11:10:33"/>
        <d v="2026-07-11T19:14:21"/>
        <d v="2026-07-11T20:14:21"/>
        <d v="2026-07-12T00:50:00"/>
        <d v="2026-07-12T01:50:00"/>
        <d v="2026-07-12T02:40:16"/>
        <d v="2026-07-12T06:40:16"/>
        <d v="2026-07-12T11:54:47"/>
        <d v="2026-07-14T21:05:13"/>
        <d v="2026-07-14T21:24:20"/>
        <d v="2026-07-16T10:44:33"/>
        <d v="2026-07-16T22:37:47"/>
        <d v="2026-07-20T06:40:00"/>
        <d v="2026-07-22T00:49:37"/>
        <d v="2026-07-22T01:42:08"/>
        <d v="2026-07-22T02:34:05"/>
        <d v="2026-07-22T04:40:24"/>
        <d v="2026-07-22T14:06:04"/>
        <d v="2026-07-22T22:00:00"/>
        <d v="2026-07-23T11:22:00"/>
        <d v="2026-07-23T13:22:00"/>
        <d v="2026-07-24T11:30:51"/>
        <d v="2026-07-24T14:20:18"/>
        <d v="2026-07-25T10:35:07"/>
        <d v="2026-07-26T15:34:05"/>
        <d v="2026-07-26T15:46:05"/>
        <d v="2026-07-30T11:16:38"/>
        <d v="2026-07-31T15:30:13"/>
        <d v="2026-08-01T12:15:22"/>
        <d v="2026-08-01T12:31:38"/>
        <d v="2026-08-02T06:22:10"/>
        <d v="2026-08-03T09:56:44"/>
        <d v="2026-08-05T11:14:19"/>
        <d v="2026-08-06T09:52:38"/>
        <d v="2026-08-07T19:53:57"/>
        <d v="2026-08-10T16:40:44"/>
        <d v="2026-08-13T07:02:27"/>
        <d v="2026-08-15T06:43:16"/>
        <d v="2026-08-18T09:03:28"/>
        <d v="2026-08-25T11:50:12"/>
        <d v="2026-08-27T05:53:16"/>
        <d v="2026-08-27T20:26:51"/>
        <d v="2026-08-31T09:58:17"/>
        <d v="2026-08-31T18:57:27"/>
        <d v="2026-09-02T19:46:06"/>
        <d v="2026-09-02T22:31:51"/>
        <d v="2026-09-03T01:04:42"/>
        <d v="2026-09-05T21:50:22"/>
        <d v="2026-09-06T03:39:14"/>
        <d v="2026-09-07T23:46:47"/>
        <d v="2026-09-09T10:18:32"/>
        <d v="2026-09-09T22:57:21"/>
        <d v="2026-09-10T22:18:16"/>
        <d v="2026-09-12T00:01:31"/>
        <d v="2026-09-12T02:43:18"/>
        <d v="2026-09-13T16:30:54"/>
        <d v="2026-09-14T08:06:57"/>
        <d v="2026-09-15T02:52:54"/>
        <d v="2026-09-15T06:57:35"/>
        <d v="2026-09-20T00:31:08"/>
        <d v="2026-09-21T15:41:42"/>
        <d v="2026-09-22T10:25:12"/>
        <d v="2026-09-24T02:03:09"/>
        <d v="2026-09-25T14:04:09"/>
        <d v="2026-09-26T08:50:56"/>
        <d v="2026-09-29T20:15:45"/>
        <d v="2026-09-29T22:19:47"/>
        <d v="2026-10-03T23:53:59"/>
        <d v="2026-10-05T18:52:51"/>
        <d v="2026-10-06T23:10:30"/>
        <d v="2026-01-01T18:28:13"/>
        <d v="2026-01-02T06:14:52"/>
        <d v="2026-01-03T09:30:34"/>
        <d v="2026-01-03T19:03:27"/>
        <d v="2026-01-04T09:20:07"/>
        <d v="2026-01-05T10:15:28"/>
        <d v="2026-01-05T18:33:04"/>
        <d v="2026-01-05T19:05:11"/>
        <d v="2026-01-09T23:01:44"/>
        <d v="2026-01-09T23:14:44"/>
        <d v="2026-01-11T08:21:37"/>
        <d v="2026-01-14T19:44:45"/>
        <d v="2026-01-14T20:08:18"/>
        <d v="2026-01-15T01:03:56"/>
        <d v="2026-01-15T04:50:24"/>
        <d v="2026-01-17T22:17:20"/>
        <d v="2026-01-19T02:51:10"/>
        <d v="2026-01-19T03:32:05"/>
        <d v="2026-01-21T20:38:04"/>
        <d v="2026-01-22T08:30:23"/>
        <d v="2026-01-22T18:27:03"/>
        <d v="2026-01-23T20:25:42"/>
        <d v="2026-01-23T20:30:00"/>
        <d v="2026-01-24T23:12:59"/>
        <d v="2026-01-24T23:34:48"/>
        <d v="2026-01-25T16:27:48"/>
        <d v="2026-01-27T02:28:51"/>
        <d v="2026-01-27T14:06:19"/>
        <d v="2026-01-27T14:11:26"/>
        <d v="2026-01-30T10:10:07"/>
        <d v="2026-01-30T13:57:36"/>
        <d v="2026-01-30T21:06:22"/>
        <d v="2026-01-31T14:14:09"/>
        <d v="2026-01-31T16:40:00"/>
        <d v="2026-02-01T00:00:00"/>
        <d v="2026-02-01T14:17:06"/>
        <d v="2026-02-01T14:50:00"/>
        <d v="2026-02-01T15:50:00"/>
        <d v="2026-02-01T19:32:03"/>
        <d v="2026-02-03T19:45:15"/>
        <d v="2026-02-03T23:20:00"/>
        <d v="2026-02-04T00:20:00"/>
        <d v="2026-02-04T13:39:00"/>
        <d v="2026-02-04T14:39:00"/>
        <d v="2026-02-05T07:56:46"/>
        <d v="2026-02-05T08:07:28"/>
        <d v="2026-02-05T10:30:54"/>
        <d v="2026-02-05T10:31:34"/>
        <d v="2026-02-05T11:32:32"/>
        <d v="2026-02-05T15:32:32"/>
        <d v="2026-02-05T16:22:38"/>
        <d v="2026-02-07T15:54:50"/>
        <d v="2026-02-07T17:11:15"/>
        <d v="2026-02-08T03:00:00"/>
        <d v="2026-02-08T04:00:00"/>
        <d v="2026-02-09T21:33:46"/>
        <d v="2026-02-10T05:15:48"/>
        <d v="2026-02-10T11:30:00"/>
        <d v="2026-02-10T15:00:00"/>
        <d v="2026-02-10T23:31:54"/>
        <d v="2026-02-11T06:34:42"/>
        <d v="2026-02-11T08:25:00"/>
        <d v="2026-02-12T03:14:19"/>
        <d v="2026-02-12T18:32:46"/>
        <d v="2026-02-12T22:12:00"/>
        <d v="2026-02-12T23:12:00"/>
        <d v="2026-02-13T00:33:00"/>
        <d v="2026-02-13T04:00:00"/>
        <d v="2026-02-13T10:30:00"/>
        <d v="2026-02-14T16:10:00"/>
        <d v="2026-02-14T18:00:00"/>
        <d v="2026-02-14T22:42:00"/>
        <d v="2026-02-15T14:51:04"/>
        <d v="2026-02-15T19:48:41"/>
        <d v="2026-02-16T10:02:04"/>
        <d v="2026-02-20T18:57:57"/>
        <d v="2026-02-21T10:25:17"/>
        <d v="2026-02-22T09:44:40"/>
        <d v="2026-02-25T03:08:59"/>
        <d v="2026-02-25T18:54:24"/>
        <d v="2026-02-27T01:04:04"/>
        <d v="2026-02-27T01:24:40"/>
        <d v="2026-02-27T18:19:55"/>
        <d v="2026-02-27T21:58:58"/>
        <d v="2026-03-01T12:36:46"/>
        <d v="2026-03-02T13:11:00"/>
        <d v="2026-03-02T14:11:00"/>
        <d v="2026-03-03T01:00:00"/>
        <d v="2026-03-06T06:00:00"/>
        <d v="2026-03-09T09:00:00"/>
        <d v="2026-03-15T20:43:00"/>
        <d v="2026-03-16T21:30:00"/>
        <d v="2026-03-16T23:00:00"/>
        <d v="2026-03-17T06:46:16"/>
        <d v="2026-03-17T13:55:18"/>
        <d v="2026-03-17T19:09:11"/>
        <d v="2026-03-17T23:35:04"/>
        <d v="2026-03-19T08:47:37"/>
        <d v="2026-03-19T12:40:40"/>
        <d v="2026-03-19T14:57:00"/>
        <d v="2026-03-20T16:15:00"/>
        <d v="2026-03-21T09:00:00"/>
        <d v="2026-03-22T05:28:08"/>
        <d v="2026-03-22T16:50:00"/>
        <d v="2026-03-23T06:49:41"/>
        <d v="2026-03-23T15:44:54"/>
        <d v="2026-03-24T02:28:24"/>
        <d v="2026-03-24T03:36:00"/>
        <d v="2026-03-25T06:00:00"/>
        <d v="2026-03-27T08:00:00"/>
        <d v="2026-03-28T13:00:00"/>
        <d v="2026-03-30T00:45:00"/>
        <d v="2026-03-30T00:50:00"/>
        <d v="2026-03-30T06:38:21"/>
        <d v="2026-03-30T07:09:27"/>
        <d v="2026-03-30T07:10:18"/>
        <d v="2026-04-01T03:41:24"/>
        <d v="2026-04-02T21:33:19"/>
        <d v="2026-04-02T22:06:49"/>
        <d v="2026-04-05T13:24:34"/>
        <d v="2026-04-05T23:29:00"/>
        <d v="2026-04-07T03:01:40"/>
        <d v="2026-04-10T01:32:48"/>
        <d v="2026-04-10T01:53:11"/>
        <d v="2026-04-10T02:41:16"/>
        <d v="2026-04-10T05:05:59"/>
        <d v="2026-04-10T09:10:38"/>
        <d v="2026-04-10T12:19:45"/>
        <d v="2026-04-11T06:37:09"/>
        <d v="2026-04-11T07:42:00"/>
        <d v="2026-04-11T08:42:00"/>
        <d v="2026-04-11T14:38:11"/>
        <d v="2026-04-12T15:07:31"/>
        <d v="2026-04-12T15:37:14"/>
        <d v="2026-04-12T19:51:08"/>
        <d v="2026-04-13T00:00:00"/>
        <d v="2026-04-13T00:30:00"/>
        <d v="2026-04-15T02:00:28"/>
        <d v="2026-04-15T02:39:33"/>
        <d v="2026-04-15T09:02:45"/>
        <d v="2026-04-15T11:29:09"/>
        <d v="2026-04-16T10:51:36"/>
        <d v="2026-04-18T18:12:09"/>
        <d v="2026-04-18T20:45:00"/>
        <d v="2026-04-21T19:30:14"/>
        <d v="2026-04-22T13:59:58"/>
        <d v="2026-04-25T03:04:22"/>
        <d v="2026-04-25T03:31:48"/>
        <d v="2026-04-25T05:03:18"/>
        <d v="2026-04-25T08:29:57"/>
        <d v="2026-04-25T11:12:15"/>
        <d v="2026-04-29T09:35:20"/>
        <d v="2026-04-29T09:49:35"/>
        <d v="2026-04-30T10:04:22"/>
        <d v="2026-05-04T06:24:49"/>
        <d v="2026-05-04T14:10:55"/>
        <d v="2026-05-04T14:43:03"/>
        <d v="2026-05-05T00:01:09"/>
        <d v="2026-05-05T09:35:13"/>
        <d v="2026-05-05T17:22:14"/>
        <d v="2026-05-08T14:05:29"/>
        <d v="2026-05-09T20:08:09"/>
        <d v="2026-05-12T19:53:10"/>
        <d v="2026-05-15T05:04:34"/>
        <d v="2026-05-15T06:00:00"/>
        <d v="2026-05-15T18:00:00"/>
        <d v="2026-05-16T10:00:00"/>
        <d v="2026-05-17T16:18:16"/>
        <d v="2026-05-17T16:18:17"/>
        <d v="2026-05-18T12:11:57"/>
        <d v="2026-05-18T16:32:30"/>
        <d v="2026-05-21T01:50:43"/>
        <d v="2026-05-21T02:20:43"/>
        <d v="2026-05-21T08:36:25"/>
        <d v="2026-05-21T08:42:13"/>
        <d v="2026-05-22T01:09:59"/>
        <d v="2026-05-22T20:44:19"/>
        <d v="2026-05-22T23:14:52"/>
        <d v="2026-05-23T07:07:17"/>
        <d v="2026-05-24T07:50:46"/>
        <d v="2026-05-24T11:58:08"/>
        <d v="2026-05-26T20:49:33"/>
        <d v="2026-05-26T21:34:00"/>
        <d v="2026-05-27T06:28:03"/>
        <d v="2026-05-27T15:08:34"/>
        <d v="2026-05-27T15:20:36"/>
        <d v="2026-05-29T08:00:35"/>
        <d v="2026-05-29T08:46:18"/>
        <d v="2026-05-30T05:36:22"/>
        <d v="2026-05-30T08:03:18"/>
        <d v="2026-05-30T08:14:12"/>
        <d v="2026-05-30T11:43:32"/>
        <d v="2026-05-31T08:12:21"/>
        <d v="2026-05-31T16:44:51"/>
        <d v="2026-06-02T03:19:53"/>
        <d v="2026-06-02T03:36:57"/>
        <d v="2026-06-02T05:22:07"/>
        <d v="2026-06-02T09:22:07"/>
        <d v="2026-06-02T11:08:17"/>
        <d v="2026-06-03T04:00:00"/>
        <d v="2026-06-03T11:30:00"/>
        <d v="2026-06-03T22:01:39"/>
        <d v="2026-06-07T05:13:58"/>
        <d v="2026-06-13T12:53:38"/>
        <d v="2026-06-15T04:46:08"/>
        <d v="2026-06-15T05:16:00"/>
        <d v="2026-06-16T19:06:44"/>
        <d v="2026-06-16T19:06:53"/>
        <d v="2026-06-17T04:28:40"/>
        <d v="2026-06-17T12:39:16"/>
        <d v="2026-06-17T18:55:30"/>
        <d v="2026-06-20T08:02:52"/>
        <d v="2026-06-20T08:41:42"/>
        <d v="2026-06-21T03:09:45"/>
        <d v="2026-06-21T15:24:38"/>
        <d v="2026-06-23T11:24:09"/>
        <d v="2026-06-26T03:37:43"/>
        <d v="2026-07-02T08:50:27"/>
        <d v="2026-07-03T18:52:05"/>
        <d v="2026-07-05T15:48:25"/>
        <d v="2026-07-06T05:26:31"/>
        <d v="2026-07-08T15:57:49"/>
        <d v="2026-07-08T20:43:19"/>
        <d v="2026-07-09T22:15:33"/>
        <d v="2026-07-13T22:07:20"/>
        <d v="2026-07-14T08:13:32"/>
        <d v="2026-07-14T09:13:32"/>
        <d v="2026-07-14T09:35:51"/>
        <d v="2026-07-14T12:20:00"/>
        <d v="2026-07-14T16:20:00"/>
        <d v="2026-07-14T16:30:46"/>
        <d v="2026-07-16T07:01:51"/>
        <d v="2026-07-16T10:28:25"/>
        <d v="2026-07-18T02:28:54"/>
        <d v="2026-07-18T18:14:55"/>
        <d v="2026-07-19T00:20:15"/>
        <d v="2026-07-21T10:16:34"/>
        <d v="2026-07-24T06:28:05"/>
        <d v="2026-07-31T07:29:09"/>
        <d v="2026-08-04T00:37:28"/>
        <d v="2026-08-04T19:24:40"/>
        <d v="2026-08-04T19:35:23"/>
        <d v="2026-08-06T15:43:29"/>
        <d v="2026-08-08T21:37:40"/>
        <d v="2026-08-10T02:09:12"/>
        <d v="2026-08-12T16:57:49"/>
        <d v="2026-08-13T04:13:13"/>
        <d v="2026-08-13T04:28:31"/>
        <d v="2026-08-13T05:26:43"/>
        <d v="2026-08-16T18:09:15"/>
        <d v="2026-08-17T10:11:44"/>
        <d v="2026-08-17T11:35:30"/>
        <d v="2026-08-17T18:19:30"/>
        <d v="2026-08-18T14:27:41"/>
        <d v="2026-08-18T17:54:34"/>
        <d v="2026-08-23T14:54:42"/>
        <d v="2026-08-24T02:10:36"/>
        <d v="2026-08-31T02:29:59"/>
        <d v="2026-08-31T19:36:43"/>
        <d v="2026-09-02T10:23:01"/>
        <d v="2026-09-04T12:53:44"/>
        <d v="2026-09-04T15:28:11"/>
        <d v="2026-09-04T21:05:00"/>
        <d v="2026-09-06T16:00:39"/>
        <d v="2026-09-07T00:56:55"/>
        <d v="2026-09-07T01:10:47"/>
        <d v="2026-09-07T02:31:19"/>
        <d v="2026-09-08T07:32:15"/>
        <d v="2026-09-08T16:34:25"/>
        <d v="2026-09-10T18:59:45"/>
        <d v="2026-09-12T01:38:16"/>
        <d v="2026-09-15T06:24:05"/>
        <d v="2026-09-15T19:02:10"/>
        <d v="2026-09-17T10:57:51"/>
        <d v="2026-09-17T12:33:56"/>
        <d v="2026-09-17T21:27:33"/>
        <d v="2026-09-18T19:51:44"/>
        <d v="2026-09-21T04:54:20"/>
        <d v="2026-09-21T21:08:45"/>
        <d v="2026-09-21T21:37:44"/>
        <d v="2026-09-23T02:49:30"/>
        <d v="2026-09-23T03:10:07"/>
        <d v="2026-09-25T03:17:34"/>
        <d v="2026-09-25T15:04:19"/>
        <d v="2026-09-25T17:08:41"/>
        <d v="2026-09-26T05:47:26"/>
        <d v="2026-09-26T09:29:26"/>
        <d v="2026-09-27T14:34:56"/>
        <d v="2026-09-28T11:27:59"/>
        <d v="2026-10-02T10:20:26"/>
        <d v="2026-10-03T05:57:40"/>
        <d v="2026-10-03T20:46:24"/>
        <d v="2026-10-04T05:54:01"/>
        <d v="2026-10-04T12:44:08"/>
        <d v="2026-10-05T15:21:58"/>
        <d v="2026-09-24T14:42:30" u="1"/>
        <d v="2026-09-20T04:51:56" u="1"/>
        <d v="2026-09-25T21:30:00" u="1"/>
        <d v="2026-09-24T14:45:09" u="1"/>
        <d v="2026-09-01T09:47:02" u="1"/>
        <d v="2026-09-02T03:14:40" u="1"/>
        <d v="2026-09-06T01:13:24" u="1"/>
        <d v="2026-09-10T04:31:44" u="1"/>
        <d v="2026-09-13T14:07:11" u="1"/>
        <d v="2026-09-14T02:16:13" u="1"/>
        <d v="2026-07-18T10:35:31" u="1"/>
        <d v="2026-07-21T10:32:00" u="1"/>
        <d v="2026-07-31T15:08:01" u="1"/>
        <d v="2026-07-08T19:33:16" u="1"/>
        <d v="2026-07-08T23:16:13" u="1"/>
        <d v="2026-07-31T20:38:39" u="1"/>
        <d v="2026-08-20T14:59:47" u="1"/>
        <d v="2026-08-19T23:59:59" u="1"/>
        <d v="2026-08-13T00:14:47" u="1"/>
        <d v="2026-07-23T23:59:59" u="1"/>
        <d v="2026-02-02T17:00:00" u="1"/>
        <d v="2026-02-02T20:52:00" u="1"/>
        <d v="2026-02-02T21:20:21" u="1"/>
        <d v="2026-07-20T11:44:08" u="1"/>
      </sharedItems>
      <fieldGroup par="45"/>
    </cacheField>
    <cacheField name="Hora Final" numFmtId="164">
      <sharedItems containsSemiMixedTypes="0" containsNonDate="0" containsDate="1" containsString="0" minDate="2026-01-01T02:24:08" maxDate="2026-10-06T23:59:59"/>
    </cacheField>
    <cacheField name="Equipamento" numFmtId="1">
      <sharedItems containsBlank="1" count="28">
        <s v="CA1014KS101"/>
        <s v="CA1014KS102"/>
        <s v="CA1014KS103"/>
        <s v="CA1014KS104"/>
        <m u="1"/>
        <s v="CA1014KS110" u="1"/>
        <s v="CA1014KS111" u="1"/>
        <s v="CA1014KS112" u="1"/>
        <s v="CA1014KS113" u="1"/>
        <s v="CA1014KS114" u="1"/>
        <s v="CA1014KS115" u="1"/>
        <s v="CA1014KS116" u="1"/>
        <s v="CA1014KS117" u="1"/>
        <s v="CA1014KS118" u="1"/>
        <s v="CA1014KS119" u="1"/>
        <s v="CA1014KS120" u="1"/>
        <s v="CA1014KS121" u="1"/>
        <s v="CA1014KS122" u="1"/>
        <s v="CA1014KS123" u="1"/>
        <s v="CA1014KS124" u="1"/>
        <s v="CA1014KS125" u="1"/>
        <s v="CA1014KS126" u="1"/>
        <s v="CA1014KS127" u="1"/>
        <s v="CA1014KS128" u="1"/>
        <s v="CA1014KS129" u="1"/>
        <s v="CA1014KS130" u="1"/>
        <s v="CA1014KS131" u="1"/>
        <s v="CA1014KS132" u="1"/>
      </sharedItems>
    </cacheField>
    <cacheField name="OM" numFmtId="1">
      <sharedItems containsBlank="1" containsMixedTypes="1" containsNumber="1" containsInteger="1" minValue="202600784594" maxValue="202603456835"/>
    </cacheField>
    <cacheField name="Cod Despacho" numFmtId="0">
      <sharedItems containsBlank="1" containsMixedTypes="1" containsNumber="1" containsInteger="1" minValue="1090" maxValue="9010"/>
    </cacheField>
    <cacheField name="Descricao Despacho" numFmtId="164">
      <sharedItems/>
    </cacheField>
    <cacheField name="Descricao Manutencao" numFmtId="164">
      <sharedItems/>
    </cacheField>
    <cacheField name="Tipo" numFmtId="164">
      <sharedItems/>
    </cacheField>
    <cacheField name="Mês" numFmtId="1">
      <sharedItems containsDate="1" containsBlank="1" containsMixedTypes="1" minDate="1899-12-31T04:01:03" maxDate="2025-01-09T23:08:56" count="139">
        <n v="1"/>
        <n v="2"/>
        <n v="3"/>
        <n v="4"/>
        <n v="5"/>
        <n v="6"/>
        <n v="7"/>
        <n v="8"/>
        <n v="9"/>
        <n v="10"/>
        <s v="" u="1"/>
        <n v="11" u="1"/>
        <n v="12" u="1"/>
        <m u="1"/>
        <d v="2025-01-07T21:11:46" u="1"/>
        <d v="2024-12-31T21:52:05" u="1"/>
        <d v="2025-01-01T08:07:45" u="1"/>
        <d v="2025-01-01T10:00:00" u="1"/>
        <d v="2025-01-05T09:06:58" u="1"/>
        <d v="2025-01-05T09:18:17" u="1"/>
        <d v="2025-01-05T09:18:49" u="1"/>
        <d v="2025-01-05T19:42:51" u="1"/>
        <d v="2025-01-06T14:07:32" u="1"/>
        <d v="2025-01-01T08:38:20" u="1"/>
        <d v="2025-01-01T12:00:00" u="1"/>
        <d v="2025-01-01T13:00:00" u="1"/>
        <d v="2025-01-02T02:23:06" u="1"/>
        <d v="2025-01-03T20:00:15" u="1"/>
        <d v="2025-01-06T16:44:26" u="1"/>
        <d v="2025-01-07T20:28:17" u="1"/>
        <d v="2025-01-07T23:56:16" u="1"/>
        <d v="2025-01-02T14:33:14" u="1"/>
        <d v="2025-01-02T19:04:30" u="1"/>
        <d v="2025-01-02T19:39:41" u="1"/>
        <d v="2025-01-06T15:52:35" u="1"/>
        <d v="2025-01-06T23:34:34" u="1"/>
        <d v="2025-01-08T13:48:03" u="1"/>
        <d v="2025-01-08T20:35:12" u="1"/>
        <d v="2025-01-08T11:20:08" u="1"/>
        <d v="2025-01-08T16:15:15" u="1"/>
        <d v="2025-01-08T18:55:58" u="1"/>
        <d v="2025-01-09T01:35:53" u="1"/>
        <d v="2025-01-09T13:30:16" u="1"/>
        <d v="2025-01-02T07:52:05" u="1"/>
        <d v="2025-01-03T09:21:33" u="1"/>
        <d v="2025-01-03T17:00:05" u="1"/>
        <d v="2025-01-03T21:00:00" u="1"/>
        <d v="2025-01-03T22:30:00" u="1"/>
        <d v="2025-01-03T22:55:43" u="1"/>
        <d v="2025-01-04T01:35:00" u="1"/>
        <d v="2025-01-04T11:00:00" u="1"/>
        <d v="2025-01-04T15:00:00" u="1"/>
        <d v="2025-01-05T00:40:00" u="1"/>
        <d v="2025-01-05T01:54:00" u="1"/>
        <d v="2025-01-07T06:40:27" u="1"/>
        <d v="2025-01-07T12:51:08" u="1"/>
        <d v="2025-01-07T12:55:15" u="1"/>
        <d v="2025-01-07T23:42:56" u="1"/>
        <d v="2025-01-02T15:27:13" u="1"/>
        <d v="2025-01-03T20:01:58" u="1"/>
        <d v="2025-01-05T00:34:13" u="1"/>
        <d v="2025-01-05T07:00:00" u="1"/>
        <d v="2025-01-05T09:31:00" u="1"/>
        <d v="2025-01-06T05:46:33" u="1"/>
        <d v="2025-01-06T10:43:08" u="1"/>
        <d v="2025-01-03T18:57:09" u="1"/>
        <d v="2025-01-07T06:58:04" u="1"/>
        <d v="2025-01-08T11:42:30" u="1"/>
        <d v="2025-01-03T08:14:40" u="1"/>
        <d v="2025-01-03T12:00:00" u="1"/>
        <d v="2025-01-01T17:30:39" u="1"/>
        <d v="2025-01-09T12:09:46" u="1"/>
        <d v="2025-01-09T20:04:56" u="1"/>
        <d v="2025-01-09T20:36:31" u="1"/>
        <d v="2025-01-06T07:04:40" u="1"/>
        <d v="2025-01-06T07:15:59" u="1"/>
        <d v="2025-01-06T13:09:36" u="1"/>
        <d v="2025-01-07T02:00:00" u="1"/>
        <d v="2025-01-07T08:55:07" u="1"/>
        <d v="2025-01-07T15:07:49" u="1"/>
        <d v="2025-01-08T15:33:59" u="1"/>
        <d v="2025-01-01T03:07:40" u="1"/>
        <d v="2025-01-01T17:01:24" u="1"/>
        <d v="2025-01-04T12:12:30" u="1"/>
        <d v="2025-01-05T10:11:11" u="1"/>
        <d v="2025-01-05T10:35:43" u="1"/>
        <d v="2025-01-06T08:44:34" u="1"/>
        <d v="2025-01-07T11:57:21" u="1"/>
        <d v="2025-01-05T19:27:51" u="1"/>
        <d v="2025-01-08T09:51:34" u="1"/>
        <d v="2025-01-08T10:14:08" u="1"/>
        <d v="2025-01-09T12:22:52" u="1"/>
        <d v="2025-01-01T19:18:43" u="1"/>
        <d v="2025-01-01T19:41:00" u="1"/>
        <d v="2025-01-01T21:10:13" u="1"/>
        <d v="2025-01-02T00:12:00" u="1"/>
        <d v="2025-01-02T00:52:51" u="1"/>
        <d v="2025-01-02T14:00:00" u="1"/>
        <d v="2025-01-03T01:30:00" u="1"/>
        <d v="2025-01-03T15:00:23" u="1"/>
        <d v="2025-01-08T05:16:41" u="1"/>
        <d v="2025-01-08T13:21:43" u="1"/>
        <d v="2025-01-08T16:24:17" u="1"/>
        <d v="2025-01-09T01:39:53" u="1"/>
        <d v="2025-01-09T01:51:38" u="1"/>
        <d v="2025-01-09T16:02:04" u="1"/>
        <d v="2025-01-09T17:49:09" u="1"/>
        <d v="2025-01-01T17:08:49" u="1"/>
        <d v="2025-01-05T06:56:44" u="1"/>
        <d v="2025-01-07T09:41:24" u="1"/>
        <d v="2025-01-08T02:00:00" u="1"/>
        <d v="2025-01-09T10:50:31" u="1"/>
        <d v="2025-01-09T15:42:53" u="1"/>
        <d v="2025-01-02T17:23:14" u="1"/>
        <d v="2025-01-08T23:30:41" u="1"/>
        <d v="2025-01-09T00:35:37" u="1"/>
        <d v="2025-01-09T09:07:08" u="1"/>
        <d v="2025-01-01T07:12:40" u="1"/>
        <d v="2025-01-03T20:53:09" u="1"/>
        <d v="2025-01-03T21:06:20" u="1"/>
        <d v="2025-01-05T14:21:01" u="1"/>
        <d v="2025-01-05T15:40:27" u="1"/>
        <d v="2025-01-08T12:47:01" u="1"/>
        <d v="2025-01-03T20:51:12" u="1"/>
        <d v="2025-01-07T11:24:17" u="1"/>
        <d v="2025-01-07T17:08:18" u="1"/>
        <d v="2025-01-07T22:54:29" u="1"/>
        <d v="2025-01-02T14:59:29" u="1"/>
        <d v="2025-01-03T05:08:18" u="1"/>
        <d v="2025-01-05T07:59:43" u="1"/>
        <d v="2025-01-06T06:57:14" u="1"/>
        <d v="2025-01-06T07:03:05" u="1"/>
        <d v="2025-01-06T07:04:39" u="1"/>
        <d v="2025-01-06T07:16:17" u="1"/>
        <d v="2025-01-09T23:08:56" u="1"/>
        <d v="2025-01-04T13:00:09" u="1"/>
        <d v="2025-01-07T22:57:50" u="1"/>
        <d v="2025-01-08T01:04:00" u="1"/>
        <d v="2025-01-08T03:11:26" u="1"/>
      </sharedItems>
    </cacheField>
    <cacheField name="Comentario" numFmtId="164">
      <sharedItems containsBlank="1"/>
    </cacheField>
    <cacheField name="Sistema2" numFmtId="0">
      <sharedItems/>
    </cacheField>
    <cacheField name="Conjunto" numFmtId="0">
      <sharedItems containsBlank="1"/>
    </cacheField>
    <cacheField name="Item" numFmtId="0">
      <sharedItems containsBlank="1"/>
    </cacheField>
    <cacheField name="Problema" numFmtId="0">
      <sharedItems containsBlank="1"/>
    </cacheField>
    <cacheField name="Solução" numFmtId="0">
      <sharedItems containsBlank="1"/>
    </cacheField>
    <cacheField name="Setor" numFmtId="0">
      <sharedItems containsBlank="1"/>
    </cacheField>
    <cacheField name="Causa" numFmtId="0">
      <sharedItems containsBlank="1"/>
    </cacheField>
    <cacheField name="Falha" numFmtId="0">
      <sharedItems containsBlank="1"/>
    </cacheField>
    <cacheField name="Expurgo filha" numFmtId="0" formula="'DUR. EXP. FILHA'*24" databaseField="0"/>
    <cacheField name="Expurgo Total" numFmtId="0" formula="'Expurgo filha'+'Duração Ocorrencia'" databaseField="0"/>
    <cacheField name="Dias (Hora Inicio)" numFmtId="0" databaseField="0">
      <fieldGroup base="24">
        <rangePr groupBy="days" startDate="2026-01-01T00:00:00" endDate="2026-10-06T23:10:30"/>
        <groupItems count="368">
          <s v="&lt;01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6/10/2026"/>
        </groupItems>
      </fieldGroup>
    </cacheField>
    <cacheField name="Meses (Hora Inicio)" numFmtId="0" databaseField="0">
      <fieldGroup base="24">
        <rangePr groupBy="months" startDate="2026-01-01T00:00:00" endDate="2026-10-06T23:10:30"/>
        <groupItems count="14">
          <s v="&lt;01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6/10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1">
  <r>
    <n v="0"/>
    <m/>
    <m/>
    <m/>
    <m/>
    <m/>
    <m/>
    <m/>
    <m/>
    <m/>
    <m/>
    <n v="0"/>
    <m/>
    <n v="0"/>
    <s v="ESTRUTURA"/>
    <x v="0"/>
    <s v="Acidente operacional"/>
    <n v="37.801388888969086"/>
    <x v="0"/>
    <s v="EXP.MAE"/>
    <s v="NÃO"/>
    <n v="0"/>
    <n v="0"/>
    <n v="0"/>
    <x v="0"/>
    <d v="2026-01-02T13:48:05"/>
    <x v="0"/>
    <m/>
    <s v="1090"/>
    <s v="HAC - Hora Acidente"/>
    <s v="HAC - EXEC MANUT ACIDENTE"/>
    <s v="Mãe"/>
    <x v="0"/>
    <s v="AVARIA NO TANQUE DE COMBUSTIVEL - 202506870735"/>
    <s v="ESTRUTURA"/>
    <s v="TANQUE DE COMBUSTIVEL"/>
    <s v="TANQUE"/>
    <s v="ACIDENTE"/>
    <s v="REPARAR"/>
    <m/>
    <m/>
    <m/>
  </r>
  <r>
    <n v="0"/>
    <m/>
    <m/>
    <m/>
    <m/>
    <m/>
    <m/>
    <m/>
    <m/>
    <m/>
    <m/>
    <m/>
    <m/>
    <n v="1"/>
    <s v="LOCOMOÇÃO"/>
    <x v="1"/>
    <s v="Man. Pneus"/>
    <n v="1.1855555553920567"/>
    <x v="1"/>
    <s v="NÃO EXP.MAE"/>
    <s v="NÃO"/>
    <n v="0"/>
    <n v="0"/>
    <n v="0"/>
    <x v="1"/>
    <d v="2026-01-03T10:35:00"/>
    <x v="0"/>
    <m/>
    <s v="8010"/>
    <s v="MPNS - Hora Manutenção Preventiva não Sistemática"/>
    <s v="MPNS - EXEC BORRACHARIA"/>
    <s v="Mãe"/>
    <x v="0"/>
    <m/>
    <s v="LOCOMOCAO"/>
    <m/>
    <m/>
    <m/>
    <m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3.9666712960752193E-2"/>
    <n v="0"/>
    <n v="0"/>
    <x v="2"/>
    <d v="2026-01-03T10:35:00"/>
    <x v="0"/>
    <m/>
    <s v="8010"/>
    <s v="MPNS - Hora Manutenção Preventiva não Sistemática"/>
    <s v="MPNS - EXEC BORRACHARIA"/>
    <s v="Filha"/>
    <x v="0"/>
    <m/>
    <s v="LOCOMOCAO"/>
    <m/>
    <m/>
    <m/>
    <m/>
    <m/>
    <m/>
    <m/>
  </r>
  <r>
    <n v="0"/>
    <m/>
    <m/>
    <m/>
    <m/>
    <m/>
    <m/>
    <m/>
    <m/>
    <m/>
    <m/>
    <m/>
    <m/>
    <n v="1"/>
    <s v="ELETRICO"/>
    <x v="3"/>
    <s v="Corretivas"/>
    <n v="4.3983333333162591"/>
    <x v="1"/>
    <s v="NÃO EXP.MAE"/>
    <s v="NÃO"/>
    <n v="0"/>
    <n v="0"/>
    <n v="0"/>
    <x v="3"/>
    <d v="2026-01-03T16:03:54"/>
    <x v="0"/>
    <s v="000000000000"/>
    <s v="9000"/>
    <s v="HMC - Hora de Manutenção Corretiva"/>
    <s v="HMC - EXEC MANUT"/>
    <s v="Mãe"/>
    <x v="0"/>
    <s v="FALHA NO FREIO RETARDO - SUBSTITUÍDO O SENSOR DE LIBERAÇÃO DO FREIO TRASEIRO LD"/>
    <s v="ELETRICO"/>
    <s v="FRENAGEM"/>
    <s v="SENSOR DE LIBERACAO"/>
    <s v="AVARIA"/>
    <s v="SUBSTITUIR"/>
    <s v="Elétrica"/>
    <s v="Propulsao Retardo - Controle Operacao"/>
    <s v="Sensor Pres. Atmosf-Queima"/>
  </r>
  <r>
    <n v="0"/>
    <m/>
    <m/>
    <m/>
    <m/>
    <m/>
    <m/>
    <m/>
    <m/>
    <m/>
    <m/>
    <m/>
    <m/>
    <n v="1"/>
    <s v="LOCOMOÇÃO"/>
    <x v="3"/>
    <s v="Man. Pneus"/>
    <n v="1.4047222223016433"/>
    <x v="1"/>
    <s v="NÃO EXP.MAE"/>
    <s v="NÃO"/>
    <n v="0"/>
    <n v="0"/>
    <n v="0"/>
    <x v="4"/>
    <d v="2026-01-04T21:58:17"/>
    <x v="0"/>
    <s v="202600046853"/>
    <s v="9010"/>
    <s v="HMC - Hora de Manutenção Corretiva"/>
    <s v="HMC - EXEC BORRACHARIA"/>
    <s v="Mãe"/>
    <x v="0"/>
    <s v="TM_3 - BAIXA PRESSÃO DE AR PNEU TRASEIRO DIREITO EXTERNO - 202600046853 - REGULARIZAR PRESSÃO DO PNEU TDE"/>
    <s v="LOCOMOCAO"/>
    <s v="RODA TDE"/>
    <s v="PNEU"/>
    <s v="BAIXA PRESSAO"/>
    <s v="CALIBRAR"/>
    <s v="Borracharia"/>
    <s v="Locomocao - Roda Tde"/>
    <s v="Pneu-Pressao"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4.6999664351460524E-2"/>
    <n v="0"/>
    <n v="0"/>
    <x v="5"/>
    <d v="2026-01-04T21:58:17"/>
    <x v="0"/>
    <s v="202600046853"/>
    <s v="9010"/>
    <s v="HMC - Hora de Manutenção Corretiva"/>
    <s v="HMC - EXEC BORRACHARIA"/>
    <s v="Filha"/>
    <x v="0"/>
    <s v="TM_3 - BAIXA PRESSÃO DE AR PNEU TRASEIRO DIREITO EXTERNO - 202600046853 - REGULARIZAR PRESSÃO DO PNEU TDE"/>
    <s v="LOCOMOCAO"/>
    <s v="RODA TDE"/>
    <s v="PNEU"/>
    <s v="BAIXA PRESSAO"/>
    <s v="CALIBRAR"/>
    <s v="Borracharia"/>
    <s v="Locomocao - Roda Tde"/>
    <s v="Pneu-Pressao"/>
  </r>
  <r>
    <n v="0"/>
    <m/>
    <m/>
    <m/>
    <m/>
    <m/>
    <m/>
    <m/>
    <m/>
    <m/>
    <m/>
    <m/>
    <m/>
    <n v="1"/>
    <s v="SISTEMA DE FREIO"/>
    <x v="3"/>
    <s v="Corretivas"/>
    <n v="6.154444444400724"/>
    <x v="1"/>
    <s v="NÃO EXP.MAE"/>
    <s v="NÃO"/>
    <n v="0"/>
    <n v="0"/>
    <n v="0"/>
    <x v="6"/>
    <d v="2026-01-05T14:23:49"/>
    <x v="0"/>
    <s v="202600057063"/>
    <s v="9000"/>
    <s v="HMC - Hora de Manutenção Corretiva"/>
    <s v="HMC - EXEC MANUT"/>
    <s v="Mãe"/>
    <x v="0"/>
    <s v="202600057063 VAZAMENTO DE DISEL - SUBS MANGUERIA DO OLEO"/>
    <s v="FRENAGEM"/>
    <s v="FREIO"/>
    <s v="MANG. FILTRO"/>
    <s v="VAZAMENTO"/>
    <s v="SUBSTITUIR"/>
    <s v="Mecânica"/>
    <s v="Motor diesel"/>
    <s v="Filtro de Combustivel"/>
  </r>
  <r>
    <n v="0"/>
    <m/>
    <m/>
    <m/>
    <m/>
    <m/>
    <m/>
    <m/>
    <m/>
    <m/>
    <m/>
    <m/>
    <m/>
    <n v="1"/>
    <s v="AR CONDICIONADO"/>
    <x v="3"/>
    <s v="Corretivas"/>
    <n v="9.1774999999324791"/>
    <x v="1"/>
    <s v="NÃO EXP.MAE"/>
    <s v="NÃO"/>
    <n v="0"/>
    <n v="0"/>
    <n v="0"/>
    <x v="7"/>
    <d v="2026-01-06T03:47:30"/>
    <x v="0"/>
    <s v="202600065845"/>
    <s v="9000"/>
    <s v="HMC - Hora de Manutenção Corretiva"/>
    <s v="HMC - EXEC MANUT"/>
    <s v="Mãe"/>
    <x v="0"/>
    <s v="FALHA NO AR CONDICIONADO - 202600065845 - SUBSTITUIDO  COMPRESSOR DO A/C MT: 1150588"/>
    <s v="AR CONDICIONADO"/>
    <s v="COMPRESSOR"/>
    <s v="COMPRESSOR "/>
    <s v="AVARIA"/>
    <s v="SUBSTITUIR"/>
    <s v="Mecânica"/>
    <s v="Ar Condicionado - Compressor"/>
    <s v="Compressor-Avaria"/>
  </r>
  <r>
    <n v="0"/>
    <m/>
    <m/>
    <m/>
    <m/>
    <m/>
    <m/>
    <m/>
    <m/>
    <m/>
    <m/>
    <m/>
    <m/>
    <n v="1"/>
    <s v="AR CONDICIONADO"/>
    <x v="3"/>
    <s v="Corretivas"/>
    <n v="3.3641666665789671"/>
    <x v="1"/>
    <s v="NÃO EXP.MAE"/>
    <s v="NÃO"/>
    <n v="0"/>
    <n v="0"/>
    <n v="0"/>
    <x v="8"/>
    <d v="2026-01-06T16:46:43"/>
    <x v="0"/>
    <s v="202600082410"/>
    <s v="9000"/>
    <s v="HMC - Hora de Manutenção Corretiva"/>
    <s v="HMC - EXEC MANUT"/>
    <s v="Mãe"/>
    <x v="0"/>
    <s v="202600082410 AR CONDICIONADO - REALIZADO LIMPEZA NO AR CONDICONADO , SUBSTITUIDO FILTRO DESSECANTE E COMPLETADO CARGA DE GÁS"/>
    <s v="AR CONDICIONADO"/>
    <s v="LINHA DE GAS"/>
    <s v="FILTRO"/>
    <s v="OBSTRUIDO"/>
    <s v="SUBSTITUIR"/>
    <s v="Mecânica"/>
    <s v="Ar Condicionado - Linha Gas"/>
    <s v="Mangueira/Fixação"/>
  </r>
  <r>
    <n v="0"/>
    <m/>
    <m/>
    <m/>
    <m/>
    <m/>
    <m/>
    <m/>
    <m/>
    <m/>
    <m/>
    <m/>
    <m/>
    <n v="1"/>
    <s v="LOCOMOÇÃO"/>
    <x v="3"/>
    <s v="Man. Pneus"/>
    <n v="1.6947222221642733"/>
    <x v="1"/>
    <s v="NÃO EXP.MAE"/>
    <s v="NÃO"/>
    <n v="0"/>
    <n v="0"/>
    <n v="0"/>
    <x v="9"/>
    <d v="2026-01-06T20:08:21"/>
    <x v="0"/>
    <s v="202600085645"/>
    <s v="9010"/>
    <s v="HMC - Hora de Manutenção Corretiva"/>
    <s v="HMC - EXEC BORRACHARIA"/>
    <s v="Mãe"/>
    <x v="0"/>
    <s v="BAIXA PRESSÃO DE AR DO PNEU - 202600085645 - REALIZADO CALIBRAGEM DO PNEU TRASEIRO DIREITO EXTERNO MT: 81036838"/>
    <s v="LOCOMOCAO"/>
    <s v="RODA TDE"/>
    <s v="PNEU"/>
    <s v="BAIXA PRESSAO"/>
    <s v="CALIBRAR"/>
    <s v="Borracharia"/>
    <s v="Locomocao - Roda Tde"/>
    <s v="Pneu-Pressao"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5.6702581015997566E-2"/>
    <n v="0"/>
    <n v="0"/>
    <x v="10"/>
    <d v="2026-01-06T20:08:21"/>
    <x v="0"/>
    <s v="202600085645"/>
    <s v="9010"/>
    <s v="HMC - Hora de Manutenção Corretiva"/>
    <s v="HMC - EXEC BORRACHARIA"/>
    <s v="Filha"/>
    <x v="0"/>
    <s v="BAIXA PRESSÃO DE AR DO PNEU - 202600085645 - REALIZADO CALIBRAGEM DO PNEU TRASEIRO DIREITO EXTERNO MT: 81036838"/>
    <s v="LOCOMOCAO"/>
    <s v="RODA TDE"/>
    <s v="PNEU"/>
    <s v="BAIXA PRESSAO"/>
    <s v="CALIBRAR"/>
    <s v="Borracharia"/>
    <s v="Locomocao - Roda Tde"/>
    <s v="Pneu-Pressao"/>
  </r>
  <r>
    <n v="0"/>
    <m/>
    <m/>
    <m/>
    <m/>
    <m/>
    <m/>
    <m/>
    <m/>
    <m/>
    <m/>
    <m/>
    <m/>
    <n v="1"/>
    <s v="LOCOMOÇÃO"/>
    <x v="1"/>
    <s v="Man. Pneus"/>
    <n v="0.46694444445893168"/>
    <x v="1"/>
    <s v="NÃO EXP.MAE"/>
    <s v="NÃO"/>
    <n v="0"/>
    <n v="0"/>
    <n v="0"/>
    <x v="11"/>
    <d v="2026-01-09T22:49:09"/>
    <x v="0"/>
    <m/>
    <s v="8010"/>
    <s v="MPNS - Hora Manutenção Preventiva não Sistemática"/>
    <s v="MPNS - EXEC BORRACHARIA"/>
    <s v="Mãe"/>
    <x v="0"/>
    <m/>
    <s v="LOCOMOCAO"/>
    <m/>
    <m/>
    <m/>
    <m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1.5623182873241603E-2"/>
    <n v="0"/>
    <n v="0"/>
    <x v="12"/>
    <d v="2026-01-09T22:49:09"/>
    <x v="0"/>
    <m/>
    <s v="8010"/>
    <s v="MPNS - Hora Manutenção Preventiva não Sistemática"/>
    <s v="MPNS - EXEC BORRACHARIA"/>
    <s v="Filha"/>
    <x v="0"/>
    <m/>
    <s v="LOCOMOCAO"/>
    <m/>
    <m/>
    <m/>
    <m/>
    <m/>
    <m/>
    <m/>
  </r>
  <r>
    <n v="0"/>
    <m/>
    <m/>
    <m/>
    <m/>
    <m/>
    <m/>
    <m/>
    <m/>
    <m/>
    <m/>
    <m/>
    <m/>
    <n v="1"/>
    <s v="LOCOMOÇÃO"/>
    <x v="3"/>
    <s v="Man. Pneus"/>
    <n v="6.2930555556085892"/>
    <x v="1"/>
    <s v="NÃO EXP.MAE"/>
    <s v="NÃO"/>
    <n v="0"/>
    <n v="0"/>
    <n v="0"/>
    <x v="13"/>
    <d v="2026-01-12T02:19:37"/>
    <x v="0"/>
    <m/>
    <s v="9010"/>
    <s v="HMC - Hora de Manutenção Corretiva"/>
    <s v="HMC - EXEC BORRACHARIA"/>
    <s v="Mãe"/>
    <x v="0"/>
    <s v="BAIXA PRESSÃO DE AR DO PNEU TRASEIRO - 202600184066 CALIBRADO PNEU (TDE) MT: 81036838"/>
    <s v="LOCOMOCAO"/>
    <s v="RODA TDE"/>
    <s v="PNEU"/>
    <s v="BAIXA PRESSAO"/>
    <s v="CALIBRAR"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0.21055515046464279"/>
    <n v="0"/>
    <n v="0"/>
    <x v="14"/>
    <d v="2026-01-12T02:19:37"/>
    <x v="0"/>
    <m/>
    <s v="9010"/>
    <s v="HMC - Hora de Manutenção Corretiva"/>
    <s v="HMC - EXEC BORRACHARIA"/>
    <s v="Filha"/>
    <x v="0"/>
    <s v="BAIXA PRESSÃO DE AR DO PNEU TRASEIRO - 202600184066 CALIBRADO PNEU (TDE) MT: 81036838"/>
    <s v="LOCOMOCAO"/>
    <s v="RODA TDE"/>
    <s v="PNEU"/>
    <s v="BAIXA PRESSAO"/>
    <s v="CALIBRAR"/>
    <m/>
    <m/>
    <m/>
  </r>
  <r>
    <n v="0"/>
    <m/>
    <m/>
    <m/>
    <m/>
    <m/>
    <m/>
    <m/>
    <m/>
    <m/>
    <m/>
    <m/>
    <m/>
    <n v="1"/>
    <s v="COMUNICACAO"/>
    <x v="3"/>
    <s v="Acessórios"/>
    <n v="1.4705555554828607"/>
    <x v="0"/>
    <s v="EXP.MAE"/>
    <s v="NÃO"/>
    <n v="0"/>
    <n v="0"/>
    <n v="0"/>
    <x v="15"/>
    <d v="2026-01-14T01:00:40"/>
    <x v="0"/>
    <s v="202600221471"/>
    <s v="9032"/>
    <s v="HMC - Hora de Manutenção Corretiva"/>
    <s v="HMC - EXEC TERCEIROS TRABALHANDO"/>
    <s v="Mãe"/>
    <x v="0"/>
    <s v="falha no exagon/ERRO DE COMUNICAÇÃO - 202600221471 REALIZADO LIMPEZA NA PORTA FUSIVEL MT: 938"/>
    <s v="COMUNICACAO"/>
    <s v="COMUNICACAO"/>
    <s v="PORTA FUSIVEL"/>
    <s v="SUJEIRA"/>
    <s v="LIMPAR"/>
    <s v="Automação"/>
    <s v="Rádio Lte - Fonte Queimada"/>
    <s v="Rádio - Sem Alimentação"/>
  </r>
  <r>
    <n v="0"/>
    <m/>
    <m/>
    <m/>
    <m/>
    <m/>
    <m/>
    <m/>
    <m/>
    <m/>
    <m/>
    <m/>
    <s v="NÃO"/>
    <n v="1"/>
    <s v="LOCOMOÇÃO"/>
    <x v="1"/>
    <s v="Man. Pneus"/>
    <n v="3.1433333333116025"/>
    <x v="1"/>
    <s v="NÃO EXP.MAE"/>
    <s v="NÃO"/>
    <n v="0"/>
    <n v="0"/>
    <n v="0"/>
    <x v="16"/>
    <d v="2026-01-16T02:04:31"/>
    <x v="0"/>
    <m/>
    <s v="8110"/>
    <s v="MPNS - Hora Manutenção Preventiva não Sistemática"/>
    <s v="MPNS - AG BORRACHARIA"/>
    <s v="Mãe"/>
    <x v="0"/>
    <s v="BAIXA PRESSÃO DO PNEU, PDE"/>
    <s v="LOCOMOCAO"/>
    <s v="RODA DE"/>
    <s v="PNEU"/>
    <s v="BAIXA PRESSAO"/>
    <s v="CALIBRAR"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0.10517069444176741"/>
    <n v="0"/>
    <n v="0"/>
    <x v="17"/>
    <d v="2026-01-16T02:04:31"/>
    <x v="0"/>
    <m/>
    <s v="8110"/>
    <s v="MPNS - Hora Manutenção Preventiva não Sistemática"/>
    <s v="MPNS - AG BORRACHARIA"/>
    <s v="Filha"/>
    <x v="0"/>
    <s v="BAIXA PRESSÃO DO PNEU, PDE"/>
    <s v="LOCOMOCAO"/>
    <s v="RODA DE"/>
    <s v="PNEU"/>
    <s v="BAIXA PRESSAO"/>
    <s v="CALIBRAR"/>
    <m/>
    <m/>
    <m/>
  </r>
  <r>
    <n v="0"/>
    <m/>
    <m/>
    <m/>
    <m/>
    <m/>
    <m/>
    <m/>
    <m/>
    <m/>
    <m/>
    <m/>
    <m/>
    <n v="1"/>
    <s v="MOTOR DE COMBUSTÃO"/>
    <x v="3"/>
    <s v="Corretivas"/>
    <n v="3.4966666666441597"/>
    <x v="1"/>
    <s v="NÃO EXP.MAE"/>
    <s v="NÃO"/>
    <n v="0"/>
    <n v="0"/>
    <n v="0"/>
    <x v="18"/>
    <d v="2026-01-17T22:03:09"/>
    <x v="0"/>
    <s v="202600308019"/>
    <s v="9000"/>
    <s v="HMC - Hora de Manutenção Corretiva"/>
    <s v="HMC - EXEC MANUT"/>
    <s v="Mãe"/>
    <x v="0"/>
    <s v="BAIXA PRESSÃO DO OLEO DO MOTOR  - 202600308019 ( agrd comboio 19:50)  COMPLETADO NIVEL DO OLEO HD MT: 1150588"/>
    <s v="MOTOR DE COMBUSTAO"/>
    <s v="LUBRIFICACAO"/>
    <s v="OLEO"/>
    <s v="BAIXO NIVEL"/>
    <s v="COMPLETAR"/>
    <s v="Mecânica"/>
    <s v="Estrutura - Tanque Oleo"/>
    <s v="Ole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5.9999999997671694E-2"/>
    <n v="0"/>
    <n v="0"/>
    <x v="19"/>
    <d v="2026-01-17T21:26:24"/>
    <x v="0"/>
    <s v="202600308019"/>
    <s v="9000"/>
    <s v="HMC - Hora de Manutenção Corretiva"/>
    <s v="HMC - AG LUBRIFICACAO"/>
    <s v="Filha"/>
    <x v="0"/>
    <s v="BAIXA PRESSÃO DO OLEO DO MOTOR  - 202600308019 ( agrd comboio 19:50)  COMPLETADO NIVEL DO OLEO HD MT: 1150588"/>
    <s v="MOTOR DE COMBUSTAO"/>
    <s v="LUBRIFICACAO"/>
    <s v="OLEO"/>
    <s v="BAIXO NIVEL"/>
    <s v="COMPLETAR"/>
    <s v="Mecânica"/>
    <s v="Estrutura - Tanque Oleo"/>
    <s v="Oleo"/>
  </r>
  <r>
    <n v="0"/>
    <m/>
    <m/>
    <m/>
    <m/>
    <m/>
    <m/>
    <m/>
    <m/>
    <m/>
    <m/>
    <m/>
    <s v="NÃO"/>
    <n v="1"/>
    <s v="REVISÃO PREVENTIVA"/>
    <x v="4"/>
    <s v="Preventivas"/>
    <n v="0.72638888895744458"/>
    <x v="1"/>
    <s v="NÃO EXP.MAE"/>
    <s v="NÃO"/>
    <n v="0"/>
    <n v="0"/>
    <n v="0"/>
    <x v="20"/>
    <d v="2026-01-18T03:56:34"/>
    <x v="0"/>
    <m/>
    <s v="7116"/>
    <s v="MPS - Hora Manutenção Preventiva Sistemática"/>
    <s v="MPS - AG LOCOMOCAO"/>
    <s v="Mãe"/>
    <x v="0"/>
    <s v="TROCA DA MANGUEIRA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1.2286111110588536"/>
    <x v="1"/>
    <s v="NÃO EXP.MAE"/>
    <s v="NÃO"/>
    <n v="0"/>
    <n v="0"/>
    <n v="0"/>
    <x v="21"/>
    <d v="2026-01-18T05:10:17"/>
    <x v="0"/>
    <m/>
    <s v="7000"/>
    <s v="MPS - Hora Manutenção Preventiva Sistemática"/>
    <s v="MPS - EXEC MANUT"/>
    <s v="Mãe"/>
    <x v="0"/>
    <s v="PM: 500h + 09 BL's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4.7952777778264135"/>
    <x v="0"/>
    <s v="EXP.MAE"/>
    <s v="NÃO"/>
    <n v="0"/>
    <n v="0"/>
    <n v="0"/>
    <x v="22"/>
    <d v="2026-01-18T09:58:00"/>
    <x v="0"/>
    <m/>
    <s v="7111"/>
    <s v="MPS - Hora Manutenção Preventiva Sistemática"/>
    <s v="MPS - AG LAVADOR"/>
    <s v="Mãe"/>
    <x v="0"/>
    <s v="PM: 500h + 09 BL's"/>
    <s v="PREVENTIVA"/>
    <s v="500 HORAS"/>
    <m/>
    <m/>
    <m/>
    <m/>
    <m/>
    <m/>
  </r>
  <r>
    <n v="0"/>
    <m/>
    <m/>
    <m/>
    <m/>
    <m/>
    <m/>
    <m/>
    <m/>
    <m/>
    <m/>
    <m/>
    <s v="NÃO"/>
    <n v="0"/>
    <s v="REVISÃO PREVENTIVA"/>
    <x v="4"/>
    <s v="Preventivas"/>
    <n v="0.11972222226904705"/>
    <x v="1"/>
    <s v="NÃO EXP.MAE"/>
    <s v="NÃO"/>
    <n v="0"/>
    <n v="0"/>
    <n v="0"/>
    <x v="23"/>
    <d v="2026-01-18T10:05:11"/>
    <x v="0"/>
    <m/>
    <s v="7111"/>
    <s v="MPS - Hora Manutenção Preventiva Sistemática"/>
    <s v="MPS - AG LAVADOR"/>
    <s v="Mãe"/>
    <x v="0"/>
    <s v="PM: 500h + 09 BL's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2.904999999969732"/>
    <x v="1"/>
    <s v="NÃO EXP.MAE"/>
    <s v="NÃO"/>
    <n v="0"/>
    <n v="0"/>
    <n v="0"/>
    <x v="24"/>
    <d v="2026-01-18T12:59:29"/>
    <x v="0"/>
    <m/>
    <s v="7011"/>
    <s v="MPS - Hora Manutenção Preventiva Sistemática"/>
    <s v="MPS - EXEC LAVADOR"/>
    <s v="Mãe"/>
    <x v="0"/>
    <s v="PM: 500h + 09 BL's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12.292222222255077"/>
    <x v="1"/>
    <s v="NÃO EXP.MAE"/>
    <s v="NÃO"/>
    <n v="0"/>
    <n v="0"/>
    <n v="0"/>
    <x v="25"/>
    <d v="2026-01-19T01:17:01"/>
    <x v="0"/>
    <m/>
    <s v="7000"/>
    <s v="MPS - Hora Manutenção Preventiva Sistemática"/>
    <s v="MPS - EXEC MANUT"/>
    <s v="Mãe"/>
    <x v="0"/>
    <s v="PM: 500h + 09 BL's"/>
    <s v="PREVENTIVA"/>
    <s v="500 HORAS"/>
    <m/>
    <m/>
    <m/>
    <m/>
    <m/>
    <m/>
  </r>
  <r>
    <n v="0"/>
    <m/>
    <m/>
    <m/>
    <m/>
    <m/>
    <m/>
    <m/>
    <m/>
    <m/>
    <m/>
    <m/>
    <m/>
    <n v="1"/>
    <s v="LOCOMOÇÃO"/>
    <x v="3"/>
    <s v="Man. Pneus"/>
    <n v="12.427777777716983"/>
    <x v="1"/>
    <s v="NÃO EXP.MAE"/>
    <s v="NÃO"/>
    <n v="0"/>
    <n v="0"/>
    <n v="0"/>
    <x v="26"/>
    <d v="2026-01-19T16:57:57"/>
    <x v="0"/>
    <s v="202600328535"/>
    <s v="9010"/>
    <s v="HMC - Hora de Manutenção Corretiva"/>
    <s v="HMC - EXEC BORRACHARIA"/>
    <s v="Mãe"/>
    <x v="0"/>
    <s v="202600328535 BAIXA PRESSÃO DE AR NO PNEU (TDE) ( AG. MAU TEMPO) CALIBRADO PNEU TDE"/>
    <s v="LOCOMOCAO"/>
    <s v="RODA TDE"/>
    <s v="PNEU"/>
    <s v="BAIXA PRESSAO"/>
    <s v="CALIBRAR"/>
    <s v="Borracharia"/>
    <s v="Locomocao - Roda Tde"/>
    <s v="Pneu-Pressao"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0.41581273148040054"/>
    <n v="0"/>
    <n v="0"/>
    <x v="27"/>
    <d v="2026-01-19T16:57:57"/>
    <x v="0"/>
    <s v="202600328535"/>
    <s v="9010"/>
    <s v="HMC - Hora de Manutenção Corretiva"/>
    <s v="HMC - EXEC BORRACHARIA"/>
    <s v="Filha"/>
    <x v="0"/>
    <s v="202600328535 BAIXA PRESSÃO DE AR NO PNEU (TDE) ( AG. MAU TEMPO) CALIBRADO PNEU TDE"/>
    <s v="LOCOMOCAO"/>
    <s v="RODA TDE"/>
    <s v="PNEU"/>
    <s v="BAIXA PRESSAO"/>
    <s v="CALIBRAR"/>
    <s v="Borracharia"/>
    <s v="Locomocao - Roda Tde"/>
    <s v="Pneu-Pressao"/>
  </r>
  <r>
    <n v="0"/>
    <m/>
    <m/>
    <m/>
    <m/>
    <m/>
    <m/>
    <m/>
    <m/>
    <m/>
    <m/>
    <m/>
    <m/>
    <n v="1"/>
    <s v="INSPEÇÃO SENSITIVA"/>
    <x v="1"/>
    <s v="Inspeção"/>
    <n v="1.4266666666371748"/>
    <x v="1"/>
    <s v="NÃO EXP.MAE"/>
    <s v="NÃO"/>
    <n v="0"/>
    <n v="0"/>
    <n v="0"/>
    <x v="28"/>
    <d v="2026-01-20T14:45:43"/>
    <x v="0"/>
    <m/>
    <s v="8001"/>
    <s v="MPNS - Hora Manutenção Preventiva não Sistemática"/>
    <s v="MPNS - EXEC MECANICA"/>
    <s v="Mãe"/>
    <x v="0"/>
    <s v="MACHINE GEN Started a delay: MPNS - Exec mecanica"/>
    <s v="INSPEÇÃO"/>
    <m/>
    <m/>
    <m/>
    <m/>
    <m/>
    <m/>
    <m/>
  </r>
  <r>
    <n v="0"/>
    <m/>
    <m/>
    <m/>
    <m/>
    <m/>
    <m/>
    <m/>
    <m/>
    <m/>
    <m/>
    <m/>
    <m/>
    <n v="1"/>
    <s v="LOCOMOÇÃO"/>
    <x v="1"/>
    <s v="Man. Pneus"/>
    <n v="0.5249999999650754"/>
    <x v="1"/>
    <s v="NÃO EXP.MAE"/>
    <s v="NÃO"/>
    <n v="0"/>
    <n v="0"/>
    <n v="0"/>
    <x v="29"/>
    <d v="2026-01-20T16:01:58"/>
    <x v="0"/>
    <m/>
    <s v="8010"/>
    <s v="MPNS - Hora Manutenção Preventiva não Sistemática"/>
    <s v="MPNS - EXEC BORRACHARIA"/>
    <s v="Mãe"/>
    <x v="0"/>
    <s v="MACHINE GEN Started a delay: MPNS - Exec borracharia"/>
    <s v="LOCOMOCAO"/>
    <m/>
    <m/>
    <m/>
    <m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1.7565624999406282E-2"/>
    <n v="0"/>
    <n v="0"/>
    <x v="30"/>
    <d v="2026-01-20T16:01:58"/>
    <x v="0"/>
    <m/>
    <s v="8010"/>
    <s v="MPNS - Hora Manutenção Preventiva não Sistemática"/>
    <s v="MPNS - EXEC BORRACHARIA"/>
    <s v="Filha"/>
    <x v="0"/>
    <s v="MACHINE GEN Started a delay: MPNS - Exec borracharia"/>
    <s v="LOCOMOCAO"/>
    <m/>
    <m/>
    <m/>
    <m/>
    <m/>
    <m/>
    <m/>
  </r>
  <r>
    <n v="0"/>
    <m/>
    <m/>
    <m/>
    <m/>
    <m/>
    <m/>
    <m/>
    <m/>
    <m/>
    <m/>
    <m/>
    <m/>
    <n v="1"/>
    <s v="ELETRICO"/>
    <x v="3"/>
    <s v="Corretivas"/>
    <n v="12.159166666679084"/>
    <x v="1"/>
    <s v="NÃO EXP.MAE"/>
    <s v="NÃO"/>
    <n v="0"/>
    <n v="0"/>
    <n v="0"/>
    <x v="31"/>
    <d v="2026-01-22T04:07:55"/>
    <x v="0"/>
    <s v="202600397699"/>
    <s v="9000"/>
    <s v="HMC - Hora de Manutenção Corretiva"/>
    <s v="HMC - EXEC MANUT"/>
    <s v="Mãe"/>
    <x v="0"/>
    <s v="SEM PARTIDA - REALIZAR SUBSTITUIÇÃO DAS BATERIAS - 202600397699"/>
    <s v="ELETRICO"/>
    <s v="BATERIA"/>
    <s v="BATERIA"/>
    <s v="BAIXA TENSAO"/>
    <s v="SUBSTITUIR"/>
    <s v="Elétrica"/>
    <s v="Eletrico - Bateria"/>
    <s v="Bateria"/>
  </r>
  <r>
    <n v="0"/>
    <m/>
    <m/>
    <m/>
    <m/>
    <m/>
    <m/>
    <m/>
    <m/>
    <m/>
    <m/>
    <m/>
    <m/>
    <n v="1"/>
    <s v="INSPEÇÃO SENSITIVA"/>
    <x v="1"/>
    <s v="Inspeção"/>
    <n v="0.55583333334652707"/>
    <x v="1"/>
    <s v="NÃO EXP.MAE"/>
    <s v="NÃO"/>
    <n v="0"/>
    <n v="0"/>
    <n v="0"/>
    <x v="32"/>
    <d v="2026-01-30T11:43:26"/>
    <x v="0"/>
    <m/>
    <s v="8001"/>
    <s v="MPNS - Hora Manutenção Preventiva não Sistemática"/>
    <s v="MPNS - EXEC MECANICA"/>
    <s v="Mãe"/>
    <x v="0"/>
    <s v="MACHINE GEN Started a delay: HMC - Exec terceiros trabalhando"/>
    <s v="INSPEÇÃO"/>
    <m/>
    <m/>
    <m/>
    <m/>
    <m/>
    <m/>
    <m/>
  </r>
  <r>
    <n v="0"/>
    <m/>
    <m/>
    <m/>
    <m/>
    <m/>
    <m/>
    <m/>
    <m/>
    <m/>
    <m/>
    <m/>
    <s v="NÃO"/>
    <n v="1"/>
    <s v="REVISÃO PREVENTIVA"/>
    <x v="4"/>
    <s v="Preventivas"/>
    <n v="0.42638888902729377"/>
    <x v="1"/>
    <s v="NÃO EXP.MAE"/>
    <s v="NÃO"/>
    <n v="0"/>
    <n v="0"/>
    <n v="0"/>
    <x v="33"/>
    <d v="2026-02-02T14:17:10"/>
    <x v="0"/>
    <m/>
    <s v="7116"/>
    <s v="MPS - Hora Manutenção Preventiva Sistemática"/>
    <s v="MPS - AG LOCOMOCAO"/>
    <s v="Mãe"/>
    <x v="1"/>
    <s v="PM: 250h + 19 BL's"/>
    <s v="PREVENTIVA"/>
    <s v="PITSTOP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10.174722222145647"/>
    <x v="1"/>
    <s v="NÃO EXP.MAE"/>
    <s v="NÃO"/>
    <n v="0"/>
    <n v="0"/>
    <n v="0"/>
    <x v="34"/>
    <d v="2026-02-03T00:27:39"/>
    <x v="0"/>
    <m/>
    <s v="7000"/>
    <s v="MPS - Hora Manutenção Preventiva Sistemática"/>
    <s v="MPS - EXEC MANUT"/>
    <s v="Mãe"/>
    <x v="1"/>
    <s v="PM: 250h + 19 BL's"/>
    <s v="PREVENTIVA"/>
    <s v="PITSTOP"/>
    <m/>
    <m/>
    <m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0.12986000000091735"/>
    <n v="0"/>
    <n v="0"/>
    <x v="35"/>
    <d v="2026-02-03T00:52:00"/>
    <x v="0"/>
    <m/>
    <s v="7000"/>
    <s v="MPS - Hora Manutenção Preventiva Sistemática"/>
    <s v="MPS - EXEC MANUT"/>
    <s v="Filha"/>
    <x v="1"/>
    <s v="Comboio reabastecer"/>
    <s v="PREVENTIVA"/>
    <s v="PITSTOP"/>
    <m/>
    <m/>
    <m/>
    <m/>
    <m/>
    <m/>
  </r>
  <r>
    <n v="0"/>
    <m/>
    <m/>
    <m/>
    <m/>
    <m/>
    <m/>
    <m/>
    <m/>
    <m/>
    <m/>
    <m/>
    <m/>
    <n v="1"/>
    <s v="SISTEMA ALERTA DE FADIGA"/>
    <x v="1"/>
    <s v="Acessórios"/>
    <n v="0.46250000002328306"/>
    <x v="0"/>
    <s v="EXP.MAE"/>
    <s v="NÃO"/>
    <n v="0"/>
    <n v="0"/>
    <n v="0"/>
    <x v="36"/>
    <d v="2026-02-03T17:22:42"/>
    <x v="0"/>
    <m/>
    <s v="8032"/>
    <s v="MPNS - Hora Manutenção Preventiva não Sistemática"/>
    <s v="MPNS - EXEC TERCEIROS TRABALHANDO"/>
    <s v="Mãe"/>
    <x v="1"/>
    <s v="PROJETO CREARE"/>
    <s v="SISTEMA ALERTA DE FADIGA"/>
    <s v="CREARE"/>
    <s v="CREARE"/>
    <s v="FALHA"/>
    <s v="CORRIGIR"/>
    <m/>
    <m/>
    <m/>
  </r>
  <r>
    <n v="0"/>
    <m/>
    <m/>
    <m/>
    <m/>
    <m/>
    <m/>
    <m/>
    <m/>
    <m/>
    <m/>
    <m/>
    <m/>
    <n v="1"/>
    <s v="ELETRICO"/>
    <x v="3"/>
    <s v="Corretivas"/>
    <n v="3.1438888888224028"/>
    <x v="1"/>
    <s v="NÃO EXP.MAE"/>
    <s v="NÃO"/>
    <n v="0"/>
    <n v="0"/>
    <n v="0"/>
    <x v="37"/>
    <d v="2026-02-04T17:15:59"/>
    <x v="0"/>
    <m/>
    <s v="9000"/>
    <s v="HMC - Hora de Manutenção Corretiva"/>
    <s v="HMC - EXEC MANUT"/>
    <s v="Mãe"/>
    <x v="1"/>
    <s v="TM3- BAIXA PRESSÃO DO ÓLEO DO MOTOR- CORRIGIDO LINHA DE SINAL DO SENSOR DE PRESSÃO ATMOSFERICA"/>
    <s v="ELETRICO"/>
    <s v="MOTOR DE COMBUSTAO"/>
    <s v="SENSOR DE PRESSAO ATM"/>
    <s v="MAU CONTATO"/>
    <s v="CORRIGIR"/>
    <m/>
    <m/>
    <m/>
  </r>
  <r>
    <n v="0"/>
    <m/>
    <m/>
    <m/>
    <m/>
    <m/>
    <m/>
    <m/>
    <m/>
    <m/>
    <m/>
    <m/>
    <m/>
    <n v="1"/>
    <s v="LOCOMOÇÃO"/>
    <x v="1"/>
    <s v="Man. Pneus"/>
    <n v="0.65750000003026798"/>
    <x v="1"/>
    <s v="NÃO EXP.MAE"/>
    <s v="NÃO"/>
    <n v="0"/>
    <n v="0"/>
    <n v="0"/>
    <x v="38"/>
    <d v="2026-02-09T03:04:04"/>
    <x v="0"/>
    <m/>
    <s v="8010"/>
    <s v="MPNS - Hora Manutenção Preventiva não Sistemática"/>
    <s v="MPNS - EXEC BORRACHARIA"/>
    <s v="Mãe"/>
    <x v="1"/>
    <s v="MACHINE GEN Started a delay: MPNS - Exec borracharia"/>
    <s v="LOCOMOCAO"/>
    <m/>
    <m/>
    <m/>
    <m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1.3314358802745119E-2"/>
    <n v="0"/>
    <n v="0"/>
    <x v="39"/>
    <d v="2026-02-09T03:04:04"/>
    <x v="0"/>
    <m/>
    <s v="8010"/>
    <s v="MPNS - Hora Manutenção Preventiva não Sistemática"/>
    <s v="MPNS - EXEC BORRACHARIA"/>
    <s v="Filha"/>
    <x v="1"/>
    <s v="MACHINE GEN Started a delay: MPNS - Exec borracharia"/>
    <s v="LOCOMOCAO"/>
    <m/>
    <m/>
    <m/>
    <m/>
    <m/>
    <m/>
    <m/>
  </r>
  <r>
    <n v="0"/>
    <m/>
    <m/>
    <m/>
    <m/>
    <m/>
    <m/>
    <m/>
    <m/>
    <m/>
    <m/>
    <m/>
    <m/>
    <n v="1"/>
    <s v="SISTEMA DE FREIO"/>
    <x v="3"/>
    <s v="Corretivas"/>
    <n v="3.1463888888829388"/>
    <x v="1"/>
    <s v="NÃO EXP.MAE"/>
    <s v="NÃO"/>
    <n v="0"/>
    <n v="0"/>
    <n v="0"/>
    <x v="40"/>
    <d v="2026-02-09T13:05:28"/>
    <x v="0"/>
    <s v="000000000000"/>
    <s v="9000"/>
    <s v="HMC - Hora de Manutenção Corretiva"/>
    <s v="HMC - EXEC MANUT"/>
    <s v="Mãe"/>
    <x v="1"/>
    <s v="FALHA NO ACUMULADOR DO FREIO.- NÃO ENCONTRADO FALHA"/>
    <s v="FRENAGEM"/>
    <s v="ACUMULADOR"/>
    <s v="ACUMULADOR"/>
    <s v="NAO IDENTIFICADO "/>
    <m/>
    <m/>
    <m/>
    <m/>
  </r>
  <r>
    <n v="0"/>
    <m/>
    <m/>
    <m/>
    <m/>
    <m/>
    <m/>
    <m/>
    <m/>
    <m/>
    <m/>
    <m/>
    <m/>
    <n v="1"/>
    <s v="MOTOR DE COMBUSTÃO"/>
    <x v="3"/>
    <s v="Corretivas"/>
    <n v="2.1661111110588536"/>
    <x v="1"/>
    <s v="NÃO EXP.MAE"/>
    <s v="NÃO"/>
    <n v="0"/>
    <n v="0"/>
    <n v="0"/>
    <x v="41"/>
    <d v="2026-02-10T10:10:06"/>
    <x v="0"/>
    <s v="202600754418"/>
    <s v="9000"/>
    <s v="HMC - Hora de Manutenção Corretiva"/>
    <s v="HMC - EXEC MANUT"/>
    <s v="Mãe"/>
    <x v="1"/>
    <s v="VAZAMENTO DE LC - SUBSTITUIDO TUBO DO LIQUIDO ARREFECEDOR E COMPLETADO NIVEL 202600754418"/>
    <s v="MOTOR DE COMBUSTAO"/>
    <s v="ARREFECIMENTO"/>
    <s v="TUBO DO TRC"/>
    <s v="FIXACAO"/>
    <s v="FIXAR"/>
    <m/>
    <m/>
    <m/>
  </r>
  <r>
    <n v="0"/>
    <m/>
    <m/>
    <m/>
    <m/>
    <m/>
    <m/>
    <m/>
    <m/>
    <m/>
    <m/>
    <m/>
    <m/>
    <n v="1"/>
    <s v="ELEVAÇÃO"/>
    <x v="3"/>
    <s v="Corretivas"/>
    <n v="2.721666666737292"/>
    <x v="1"/>
    <s v="NÃO EXP.MAE"/>
    <s v="NÃO"/>
    <n v="0"/>
    <n v="0"/>
    <n v="0"/>
    <x v="42"/>
    <d v="2026-02-14T00:30:35"/>
    <x v="0"/>
    <s v="202600834848"/>
    <s v="9000"/>
    <s v="HMC - Hora de Manutenção Corretiva"/>
    <s v="HMC - EXEC MANUT"/>
    <s v="Mãe"/>
    <x v="1"/>
    <s v="VAZAMENTO HIDRÁULICO - SUBSTITUIR ORING DA MANGUEIRA DA TELA DE ELEVAÇÃO  E COMPLETAR ÓLEO HIDRÁULICO - 202600834848"/>
    <s v="ELEVACAO"/>
    <s v="HIDRAULICO"/>
    <s v="ORING DA MANG."/>
    <s v="VAZAMENTO"/>
    <s v="SUBSTITUIR"/>
    <s v="Mecânica"/>
    <s v="Hidraulico Cavalo - Tanque Oleo"/>
    <s v="Ole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3.680555555911269E-2"/>
    <n v="0"/>
    <n v="0"/>
    <x v="42"/>
    <d v="2026-02-13T22:40:17"/>
    <x v="0"/>
    <s v="202600834848"/>
    <s v="9000"/>
    <s v="HMC - Hora de Manutenção Corretiva"/>
    <s v="HMC - AG MAU TEMPO"/>
    <s v="Filha"/>
    <x v="1"/>
    <s v="VAZAMENTO HIDRÁULICO - SUBSTITUIR ORING DA MANGUEIRA DA TELA DE ELEVAÇÃO  E COMPLETAR ÓLEO HIDRÁULICO - 202600834848"/>
    <s v="ELEVACAO"/>
    <s v="HIDRAULICO"/>
    <s v="ORING DA MANG."/>
    <s v="INSPEÇÃO"/>
    <s v="SUBSTITUIR"/>
    <s v="Mecânica"/>
    <s v="Hidraulico Cavalo - Tanque Oleo"/>
    <s v="Oleo"/>
  </r>
  <r>
    <n v="0"/>
    <m/>
    <m/>
    <m/>
    <m/>
    <m/>
    <m/>
    <m/>
    <m/>
    <m/>
    <m/>
    <m/>
    <m/>
    <n v="1"/>
    <s v="COMUNICACAO"/>
    <x v="1"/>
    <s v="Acessórios"/>
    <n v="2.1294444445520639"/>
    <x v="0"/>
    <s v="EXP.MAE"/>
    <s v="NÃO"/>
    <n v="0"/>
    <n v="0"/>
    <n v="0"/>
    <x v="43"/>
    <d v="2026-02-15T01:52:04"/>
    <x v="0"/>
    <m/>
    <s v="8032"/>
    <s v="MPNS - Hora Manutenção Preventiva não Sistemática"/>
    <s v="MPNS - EXEC TERCEIROS TRABALHANDO"/>
    <s v="Mãe"/>
    <x v="1"/>
    <m/>
    <s v="COMUNICACAO"/>
    <s v="COMUNICACAO"/>
    <s v="COMUNICACAO"/>
    <s v="COMUNICACAO"/>
    <s v="COMUNICACAO"/>
    <m/>
    <m/>
    <m/>
  </r>
  <r>
    <n v="0"/>
    <m/>
    <m/>
    <m/>
    <m/>
    <m/>
    <m/>
    <m/>
    <m/>
    <m/>
    <m/>
    <m/>
    <m/>
    <n v="1"/>
    <s v="ELETRICO"/>
    <x v="3"/>
    <s v="Corretivas"/>
    <n v="5.7933333333930932"/>
    <x v="1"/>
    <s v="NÃO EXP.MAE"/>
    <s v="NÃO"/>
    <n v="0"/>
    <n v="0"/>
    <n v="0"/>
    <x v="44"/>
    <d v="2026-02-16T15:32:31"/>
    <x v="0"/>
    <s v="202600869917"/>
    <s v="9000"/>
    <s v="HMC - Hora de Manutenção Corretiva"/>
    <s v="HMC - EXEC MANUT"/>
    <s v="Mãe"/>
    <x v="1"/>
    <s v="202600869917- BAIXA PRESSÃO DO ACUMULO DO FREIO SECUNDÁRIO- CORRIGIDO FALHA NO SENSOR DO FREIO SECUNDARIO"/>
    <s v="ELETRICO"/>
    <s v="FRENAGEM"/>
    <s v="SENSOR DE PRESSAO"/>
    <s v="AVARIA"/>
    <s v="SUBSTITUIR"/>
    <s v="Mecânica"/>
    <s v="Frenagem - Freio"/>
    <s v="Atuador"/>
  </r>
  <r>
    <n v="0"/>
    <m/>
    <m/>
    <m/>
    <m/>
    <m/>
    <m/>
    <m/>
    <m/>
    <m/>
    <m/>
    <m/>
    <m/>
    <n v="1"/>
    <s v="ELETRICO"/>
    <x v="3"/>
    <s v="Corretivas"/>
    <n v="2.283888888952788"/>
    <x v="1"/>
    <s v="NÃO EXP.MAE"/>
    <s v="NÃO"/>
    <n v="0"/>
    <n v="0"/>
    <n v="0"/>
    <x v="45"/>
    <d v="2026-02-16T22:21:27"/>
    <x v="0"/>
    <s v="202600875434"/>
    <s v="9000"/>
    <s v="HMC - Hora de Manutenção Corretiva"/>
    <s v="HMC - EXEC MANUT"/>
    <s v="Mãe"/>
    <x v="1"/>
    <s v="FALHA NA PARTIDA - 202600875434 REALIZADO DUBLAGEM E ESCOVAÇÃO DO SISTEMA DE COMBUSTÍVE MATR. 1150581"/>
    <s v="ELETRICO"/>
    <s v="BATERIA"/>
    <s v="BATERIA"/>
    <s v="BAIXA VOLTAGEM"/>
    <s v="DUBLAR"/>
    <s v="Elétrica"/>
    <s v="Eletrico - Bateria"/>
    <s v="Bateria"/>
  </r>
  <r>
    <n v="0"/>
    <m/>
    <m/>
    <m/>
    <m/>
    <m/>
    <m/>
    <m/>
    <m/>
    <m/>
    <m/>
    <m/>
    <m/>
    <n v="1"/>
    <s v="LOCOMOÇÃO"/>
    <x v="4"/>
    <s v="Man. Pneus"/>
    <n v="7.536388888838701"/>
    <x v="1"/>
    <s v="NÃO EXP.MAE"/>
    <s v="NÃO"/>
    <n v="0"/>
    <n v="0"/>
    <n v="0"/>
    <x v="46"/>
    <d v="2026-02-17T17:17:46"/>
    <x v="0"/>
    <m/>
    <s v="7010"/>
    <s v="MPS - Hora Manutenção Preventiva Sistemática"/>
    <s v="MPS - EXEC BORRACHARIA"/>
    <s v="Mãe"/>
    <x v="1"/>
    <s v="MACHINE GEN Started a delay: MPS - Exec borracharia"/>
    <s v="LOCOMOCAO"/>
    <m/>
    <m/>
    <m/>
    <m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0.15261187319993041"/>
    <n v="0"/>
    <n v="0"/>
    <x v="47"/>
    <d v="2026-02-17T17:17:46"/>
    <x v="0"/>
    <m/>
    <s v="7010"/>
    <s v="MPS - Hora Manutenção Preventiva Sistemática"/>
    <s v="MPS - EXEC BORRACHARIA"/>
    <s v="Filha"/>
    <x v="1"/>
    <s v="MACHINE GEN Started a delay: MPS - Exec borracharia"/>
    <s v="LOCOMOCAO"/>
    <m/>
    <m/>
    <m/>
    <m/>
    <m/>
    <m/>
    <m/>
  </r>
  <r>
    <n v="0"/>
    <m/>
    <m/>
    <m/>
    <m/>
    <m/>
    <m/>
    <m/>
    <m/>
    <m/>
    <m/>
    <m/>
    <s v="NÃO"/>
    <n v="1"/>
    <s v="REVISÃO PREVENTIVA"/>
    <x v="4"/>
    <s v="Preventivas"/>
    <n v="0.99999999994179234"/>
    <x v="1"/>
    <s v="NÃO EXP.MAE"/>
    <s v="NÃO"/>
    <n v="0"/>
    <n v="0"/>
    <n v="0"/>
    <x v="48"/>
    <d v="2026-02-17T20:40:14"/>
    <x v="0"/>
    <m/>
    <s v="7116"/>
    <s v="MPS - Hora Manutenção Preventiva Sistemática"/>
    <s v="MPS - AG LOCOMOCAO"/>
    <s v="Mãe"/>
    <x v="1"/>
    <s v="PM: 2000h + 04 BL's"/>
    <s v="PREVENTIVA"/>
    <s v="20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0.42305555561324582"/>
    <x v="0"/>
    <s v="EXP.MAE"/>
    <s v="NÃO"/>
    <n v="0"/>
    <n v="0"/>
    <n v="0"/>
    <x v="49"/>
    <d v="2026-02-17T21:05:37"/>
    <x v="0"/>
    <m/>
    <s v="7116"/>
    <s v="MPS - Hora Manutenção Preventiva Sistemática"/>
    <s v="MPS - AG LOCOMOCAO"/>
    <s v="Mãe"/>
    <x v="1"/>
    <s v="PM: 2000h + 04 BL's"/>
    <s v="PREVENTIVA"/>
    <s v="20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3.5072222222224809"/>
    <x v="1"/>
    <s v="NÃO EXP.MAE"/>
    <s v="NÃO"/>
    <n v="0"/>
    <n v="0"/>
    <n v="0"/>
    <x v="50"/>
    <d v="2026-02-18T00:36:03"/>
    <x v="0"/>
    <m/>
    <s v="7000"/>
    <s v="MPS - Hora Manutenção Preventiva Sistemática"/>
    <s v="MPS - EXEC MANUT"/>
    <s v="Mãe"/>
    <x v="1"/>
    <s v="PM: 2000h + 04 BL's"/>
    <s v="PREVENTIVA"/>
    <s v="20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3.372499999939464"/>
    <x v="1"/>
    <s v="NÃO EXP.MAE"/>
    <s v="NÃO"/>
    <n v="0"/>
    <n v="0"/>
    <n v="0"/>
    <x v="51"/>
    <d v="2026-02-18T03:58:24"/>
    <x v="0"/>
    <m/>
    <s v="7011"/>
    <s v="MPS - Hora Manutenção Preventiva Sistemática"/>
    <s v="MPS - EXEC LAVADOR"/>
    <s v="Mãe"/>
    <x v="1"/>
    <s v="PM: 2000h + 04 BL's"/>
    <s v="PREVENTIVA"/>
    <s v="20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24.487222222262062"/>
    <x v="1"/>
    <s v="NÃO EXP.MAE"/>
    <s v="NÃO"/>
    <n v="0"/>
    <n v="0"/>
    <n v="0"/>
    <x v="52"/>
    <d v="2026-02-19T04:27:38"/>
    <x v="0"/>
    <m/>
    <s v="7000"/>
    <s v="MPS - Hora Manutenção Preventiva Sistemática"/>
    <s v="MPS - EXEC MANUT"/>
    <s v="Mãe"/>
    <x v="1"/>
    <s v="PM: 2000h + 04 BL's"/>
    <s v="PREVENTIVA"/>
    <s v="2000 HORAS"/>
    <m/>
    <m/>
    <m/>
    <m/>
    <m/>
    <m/>
  </r>
  <r>
    <n v="0"/>
    <m/>
    <m/>
    <m/>
    <m/>
    <m/>
    <m/>
    <m/>
    <m/>
    <m/>
    <m/>
    <m/>
    <m/>
    <n v="1"/>
    <s v="LOCOMOÇÃO"/>
    <x v="1"/>
    <s v="Man. Pneus"/>
    <n v="0.88583333330461755"/>
    <x v="1"/>
    <s v="NÃO EXP.MAE"/>
    <s v="NÃO"/>
    <n v="0"/>
    <n v="0"/>
    <n v="0"/>
    <x v="53"/>
    <d v="2026-02-19T13:15:56"/>
    <x v="0"/>
    <m/>
    <s v="8010"/>
    <s v="MPNS - Hora Manutenção Preventiva não Sistemática"/>
    <s v="MPNS - EXEC BORRACHARIA"/>
    <s v="Mãe"/>
    <x v="1"/>
    <s v="MACHINE GEN Started a delay: MPNS - Exec borracharia"/>
    <s v="LOCOMOCAO"/>
    <m/>
    <m/>
    <m/>
    <m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1.7938114200660493E-2"/>
    <n v="0"/>
    <n v="0"/>
    <x v="54"/>
    <d v="2026-02-19T13:15:56"/>
    <x v="0"/>
    <m/>
    <s v="8010"/>
    <s v="MPNS - Hora Manutenção Preventiva não Sistemática"/>
    <s v="MPNS - EXEC BORRACHARIA"/>
    <s v="Filha"/>
    <x v="1"/>
    <s v="MACHINE GEN Started a delay: MPNS - Exec borracharia"/>
    <s v="LOCOMOCAO"/>
    <m/>
    <m/>
    <m/>
    <m/>
    <m/>
    <m/>
    <m/>
  </r>
  <r>
    <n v="0"/>
    <m/>
    <m/>
    <m/>
    <m/>
    <m/>
    <m/>
    <m/>
    <m/>
    <m/>
    <m/>
    <m/>
    <m/>
    <n v="1"/>
    <s v="SISTEMA ALERTA DE FADIGA"/>
    <x v="1"/>
    <s v="Acessórios"/>
    <n v="1.6419444442726672"/>
    <x v="0"/>
    <s v="EXP.MAE"/>
    <s v="NÃO"/>
    <n v="0"/>
    <n v="0"/>
    <n v="0"/>
    <x v="55"/>
    <d v="2026-02-19T20:26:54"/>
    <x v="0"/>
    <m/>
    <s v="8032"/>
    <s v="MPNS - Hora Manutenção Preventiva não Sistemática"/>
    <s v="MPNS - EXEC TERCEIROS TRABALHANDO"/>
    <s v="Mãe"/>
    <x v="1"/>
    <s v="CREARE"/>
    <s v="SISTEMA ALERTA DE FADIGA"/>
    <m/>
    <m/>
    <m/>
    <m/>
    <m/>
    <m/>
    <m/>
  </r>
  <r>
    <n v="0"/>
    <m/>
    <m/>
    <m/>
    <m/>
    <m/>
    <m/>
    <m/>
    <m/>
    <m/>
    <m/>
    <m/>
    <m/>
    <n v="1"/>
    <s v="INSPEÇÃO SENSITIVA"/>
    <x v="1"/>
    <s v="Inspeção"/>
    <n v="0.75944444455672055"/>
    <x v="1"/>
    <s v="NÃO EXP.MAE"/>
    <s v="NÃO"/>
    <n v="0"/>
    <n v="0"/>
    <n v="0"/>
    <x v="56"/>
    <d v="2026-02-20T12:51:25"/>
    <x v="0"/>
    <m/>
    <s v="8006"/>
    <s v="MPNS - Hora Manutenção Preventiva não Sistemática"/>
    <s v="MPNS - EXEC PREDITIVA"/>
    <s v="Mãe"/>
    <x v="1"/>
    <s v="MACHINE GEN Started a delay: MPNS - Exec preditiva"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MOTOR DE COMBUSTÃO"/>
    <x v="3"/>
    <s v="Corretivas"/>
    <n v="1.0441666666301899"/>
    <x v="1"/>
    <s v="NÃO EXP.MAE"/>
    <s v="NÃO"/>
    <n v="0"/>
    <n v="0"/>
    <n v="0"/>
    <x v="57"/>
    <d v="2026-02-23T02:27:23"/>
    <x v="0"/>
    <m/>
    <s v="9000"/>
    <s v="HMC - Hora de Manutenção Corretiva"/>
    <s v="HMC - EXEC MANUT"/>
    <s v="Mãe"/>
    <x v="1"/>
    <s v="202600982587 BAIXO NIVEL DO LIQUIDO ARREFECEDOR - COMPLETADO 190 LC E 65 DE OLEO HIDRAULICO"/>
    <s v="MOTOR DE COMBUSTAO"/>
    <s v="ARREFECIMENTO"/>
    <s v="LIQUIDO ARREFECIMENTO"/>
    <s v="BAIXO NIVEL"/>
    <s v="COMPLETAR"/>
    <s v="Mecânica"/>
    <s v="Motor Combustao - Arrefecimento"/>
    <s v="Liquido Arrefecimento-Nivel Baixo"/>
  </r>
  <r>
    <n v="0"/>
    <m/>
    <m/>
    <m/>
    <m/>
    <m/>
    <m/>
    <m/>
    <m/>
    <m/>
    <m/>
    <m/>
    <m/>
    <n v="1"/>
    <s v="MOTOR DE COMBUSTÃO"/>
    <x v="3"/>
    <s v="Corretivas"/>
    <n v="5.8130555555108003"/>
    <x v="1"/>
    <s v="NÃO EXP.MAE"/>
    <s v="NÃO"/>
    <n v="0"/>
    <n v="0"/>
    <n v="0"/>
    <x v="58"/>
    <d v="2026-02-26T10:09:27"/>
    <x v="0"/>
    <s v="AL2013KS18_x0009_&quot;"/>
    <s v="9000"/>
    <s v="HMC - Hora de Manutenção Corretiva"/>
    <s v="HMC - EXEC MANUT"/>
    <s v="Mãe"/>
    <x v="1"/>
    <s v="BAIXO NIVEL DO LIQUIDO AREFECEDO-202601061364 - COMPLETADO 180 LITRO DE ELC (MSR: Foi Substituido a vedação do tubo do TRC)"/>
    <s v="MOTOR DE COMBUSTAO"/>
    <s v="ARREFECIMENTO"/>
    <s v="LIQUIDO ARREFECIMENTO"/>
    <s v="BAIXO NIVEL"/>
    <s v="COMPLETAR"/>
    <s v="Mecânica"/>
    <s v="Motor Combustao - Arrefecimento"/>
    <s v="Conexões;Vedaçã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4.1666666664241347E-2"/>
    <n v="0"/>
    <n v="0"/>
    <x v="59"/>
    <d v="2026-02-26T10:00:00"/>
    <x v="0"/>
    <s v="AL2013KS18_x0009_&quot;"/>
    <s v="9000"/>
    <s v="HMC - Hora de Manutenção Corretiva"/>
    <s v="HMC - AG LUBRIFICACAO"/>
    <s v="Filha"/>
    <x v="1"/>
    <s v="BAIXO NIVEL DO LIQUIDO AREFECEDO-202601061364 - COMPLETADO 180 LITRO DE ELC (MSR: Foi Substituido a vedação do tubo do TRC)"/>
    <s v="MOTOR DE COMBUSTAO"/>
    <s v="ARREFECIMENTO"/>
    <s v="LIQUIDO ARREFECIMENTO"/>
    <s v="BAIXO NIVEL"/>
    <s v="COMPLETAR"/>
    <s v="Mecânica"/>
    <s v="Motor Combustao - Arrefecimento"/>
    <s v="Conexões;Vedação"/>
  </r>
  <r>
    <n v="0"/>
    <m/>
    <m/>
    <m/>
    <m/>
    <m/>
    <m/>
    <m/>
    <m/>
    <m/>
    <m/>
    <m/>
    <m/>
    <n v="1"/>
    <s v="ELETRICO"/>
    <x v="3"/>
    <s v="Corretivas"/>
    <n v="1.2294444444123656"/>
    <x v="1"/>
    <s v="NÃO EXP.MAE"/>
    <s v="NÃO"/>
    <n v="0"/>
    <n v="0"/>
    <n v="0"/>
    <x v="60"/>
    <d v="2026-02-27T14:13:24"/>
    <x v="0"/>
    <s v="202601081585"/>
    <s v="9000"/>
    <s v="HMC - Hora de Manutenção Corretiva"/>
    <s v="HMC - EXEC MANUT"/>
    <s v="Mãe"/>
    <x v="1"/>
    <s v="FALHA NA PARTIDA DO MOTOR - REALIZAR LIMPEZA E REAPERTO DOS TERMINAIS DA BATERIA  - 202601081585"/>
    <s v="ELETRICO"/>
    <s v="BATERIA"/>
    <s v="TERMINAL"/>
    <s v="SUJEIRA"/>
    <s v="LIMPAR"/>
    <s v="Elétrica"/>
    <s v="Eletrico - Bateria"/>
    <s v="Terminal-Corrosao"/>
  </r>
  <r>
    <n v="0"/>
    <m/>
    <m/>
    <m/>
    <m/>
    <m/>
    <m/>
    <m/>
    <m/>
    <m/>
    <m/>
    <m/>
    <s v="NÃO"/>
    <n v="1"/>
    <s v="LOCOMOÇÃO"/>
    <x v="1"/>
    <s v="Man. Pneus"/>
    <n v="0.33194444433320314"/>
    <x v="1"/>
    <s v="NÃO EXP.MAE"/>
    <s v="NÃO"/>
    <n v="0"/>
    <n v="0"/>
    <n v="0"/>
    <x v="61"/>
    <d v="2026-02-27T15:42:07"/>
    <x v="0"/>
    <m/>
    <s v="8110"/>
    <s v="MPNS - Hora Manutenção Preventiva não Sistemática"/>
    <s v="MPNS - AG BORRACHARIA"/>
    <s v="Mãe"/>
    <x v="1"/>
    <s v="MACHINE GEN Atraso iniciado: HMC - Exec borracharia"/>
    <s v="LOCOMOCAO"/>
    <m/>
    <m/>
    <m/>
    <m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6.7218659969512373E-3"/>
    <n v="0"/>
    <n v="0"/>
    <x v="62"/>
    <d v="2026-02-27T15:42:07"/>
    <x v="0"/>
    <m/>
    <s v="8110"/>
    <s v="MPNS - Hora Manutenção Preventiva não Sistemática"/>
    <s v="MPNS - AG BORRACHARIA"/>
    <s v="Filha"/>
    <x v="1"/>
    <s v="MACHINE GEN Atraso iniciado: HMC - Exec borracharia"/>
    <s v="LOCOMOCAO"/>
    <m/>
    <m/>
    <m/>
    <m/>
    <m/>
    <m/>
    <m/>
  </r>
  <r>
    <n v="0"/>
    <m/>
    <m/>
    <m/>
    <m/>
    <m/>
    <m/>
    <m/>
    <m/>
    <m/>
    <m/>
    <m/>
    <m/>
    <n v="1"/>
    <s v="HIDRAULICO"/>
    <x v="3"/>
    <s v="Corretivas"/>
    <n v="4.6300000000046566"/>
    <x v="1"/>
    <s v="NÃO EXP.MAE"/>
    <s v="NÃO"/>
    <n v="0"/>
    <n v="0"/>
    <n v="0"/>
    <x v="63"/>
    <d v="2026-02-28T11:58:47"/>
    <x v="0"/>
    <s v="202601091933"/>
    <s v="9000"/>
    <s v="HMC - Hora de Manutenção Corretiva"/>
    <s v="HMC - EXEC MANUT"/>
    <s v="Mãe"/>
    <x v="1"/>
    <s v="202601091933- VAZAMENTO DE OLEO HIDRAULICO - SUBSTITUIDO TUBO DA PONTIOLHA PILOTO"/>
    <s v="HIDRAULICO"/>
    <s v="ELEVACAO"/>
    <s v="TUBO PILOTO"/>
    <s v="AVARIA"/>
    <s v="SUBSTITUIR"/>
    <s v="Mecânica"/>
    <s v="Motor Combustao - Combustivel"/>
    <s v="Tubo de Pressa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2.2222222221898846E-2"/>
    <n v="0"/>
    <n v="0"/>
    <x v="64"/>
    <d v="2026-03-02T11:25:00"/>
    <x v="0"/>
    <s v="202601127254"/>
    <s v="9000"/>
    <s v="HMC - Hora de Manutenção Corretiva"/>
    <s v="HMC - AG LUBRIFICACAO"/>
    <s v="Filha"/>
    <x v="2"/>
    <s v="VAZAMENTO DE ELC - 202601127254"/>
    <s v="MOTOR DE COMBUSTAO"/>
    <s v="ARREFECIMENTO"/>
    <s v="VEDACAO DO TRC"/>
    <s v="VAZAMENTO"/>
    <s v="SUBSTITUIR"/>
    <m/>
    <m/>
    <m/>
  </r>
  <r>
    <n v="0"/>
    <m/>
    <m/>
    <m/>
    <m/>
    <m/>
    <m/>
    <m/>
    <m/>
    <m/>
    <m/>
    <m/>
    <m/>
    <n v="1"/>
    <s v="MOTOR DE COMBUSTÃO"/>
    <x v="3"/>
    <s v="Corretivas"/>
    <n v="18.698611111147329"/>
    <x v="1"/>
    <s v="NÃO EXP.MAE"/>
    <s v="NÃO"/>
    <n v="0"/>
    <n v="0"/>
    <n v="0"/>
    <x v="65"/>
    <d v="2026-03-03T05:35:02"/>
    <x v="0"/>
    <s v="202601127254"/>
    <s v="9000"/>
    <s v="HMC - Hora de Manutenção Corretiva"/>
    <s v="HMC - EXEC MANUT"/>
    <s v="Mãe"/>
    <x v="2"/>
    <s v="VAZAMENTO DE ELC - 202601127254"/>
    <s v="MOTOR DE COMBUSTAO"/>
    <s v="ARREFECIMENTO"/>
    <s v="VEDACAO DO TRC"/>
    <s v="VAZAMENTO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17569444444961846"/>
    <n v="0"/>
    <n v="0"/>
    <x v="66"/>
    <d v="2026-03-02T15:20:00"/>
    <x v="0"/>
    <s v="202601127254"/>
    <s v="9000"/>
    <s v="HMC - Hora de Manutenção Corretiva"/>
    <s v="HMC - AG CONDICAO SEGURA"/>
    <s v="Filha"/>
    <x v="2"/>
    <s v="VAZAMENTO DE ELC - 202601127254"/>
    <s v="MOTOR DE COMBUSTAO"/>
    <s v="ARREFECIMENTO"/>
    <s v="VEDACAO DO TRC"/>
    <s v="VAZAMENTO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8.4722222221898846E-2"/>
    <n v="0"/>
    <n v="0"/>
    <x v="67"/>
    <d v="2026-03-02T20:15:00"/>
    <x v="0"/>
    <s v="202601127254"/>
    <s v="9000"/>
    <s v="HMC - Hora de Manutenção Corretiva"/>
    <s v="HMC - AG MAU TEMPO"/>
    <s v="Filha"/>
    <x v="2"/>
    <s v="VAZAMENTO DE ELC - 202601127254"/>
    <s v="MOTOR DE COMBUSTAO"/>
    <s v="ARREFECIMENTO"/>
    <s v="VEDACAO DO TRC"/>
    <s v="VAZAMENTO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1.3194444443797693E-2"/>
    <n v="0"/>
    <n v="0"/>
    <x v="68"/>
    <d v="2026-03-03T03:59:00"/>
    <x v="0"/>
    <s v="202601127254"/>
    <s v="9000"/>
    <s v="HMC - Hora de Manutenção Corretiva"/>
    <s v="HMC - AG LUBRIFICACAO"/>
    <s v="Filha"/>
    <x v="2"/>
    <s v="VAZAMENTO DE ELC - 202601127254"/>
    <s v="MOTOR DE COMBUSTAO"/>
    <s v="ARREFECIMENTO"/>
    <s v="VEDACAO DO TRC"/>
    <s v="VAZAMENTO"/>
    <s v="SUBSTITUIR"/>
    <s v="Mecânica"/>
    <s v="Motor Combustao - Arrefecimento"/>
    <s v="Vedacao"/>
  </r>
  <r>
    <n v="0"/>
    <m/>
    <m/>
    <m/>
    <m/>
    <m/>
    <m/>
    <m/>
    <m/>
    <m/>
    <m/>
    <m/>
    <m/>
    <n v="1"/>
    <s v="INSPEÇÃO SENSITIVA"/>
    <x v="1"/>
    <s v="Inspeção"/>
    <n v="0.88750000001164153"/>
    <x v="1"/>
    <s v="NÃO EXP.MAE"/>
    <s v="NÃO"/>
    <n v="0"/>
    <n v="0"/>
    <n v="0"/>
    <x v="69"/>
    <d v="2026-03-03T13:52:15"/>
    <x v="0"/>
    <m/>
    <s v="8006"/>
    <s v="MPNS - Hora Manutenção Preventiva não Sistemática"/>
    <s v="MPNS - EXEC PREDITIVA"/>
    <s v="Mãe"/>
    <x v="2"/>
    <s v="MACHINE GEN Started a delay: MPNS - Exec preditiva"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ELETRICO"/>
    <x v="3"/>
    <s v="Corretivas"/>
    <n v="6.4611111109843478"/>
    <x v="1"/>
    <s v="NÃO EXP.MAE"/>
    <s v="NÃO"/>
    <n v="0"/>
    <n v="0"/>
    <n v="0"/>
    <x v="70"/>
    <d v="2026-03-04T19:26:51"/>
    <x v="0"/>
    <s v="202601172422"/>
    <s v="9000"/>
    <s v="HMC - Hora de Manutenção Corretiva"/>
    <s v="HMC - EXEC MANUT"/>
    <s v="Mãe"/>
    <x v="2"/>
    <s v="FALHA NA ELEVAÇÃO DA ESCADA 202601172422 - SUBSTITUIDO MOTOR DA ESCADA"/>
    <s v="ELETRICO"/>
    <s v="ESCADA RETRATIL"/>
    <s v="MOTOR DE ACIONAMENTO"/>
    <s v="AVARIA"/>
    <s v="SUBSTITUIR"/>
    <s v="Mecânica"/>
    <s v="Estrutura"/>
    <s v="Escada"/>
  </r>
  <r>
    <n v="0"/>
    <m/>
    <m/>
    <m/>
    <m/>
    <m/>
    <m/>
    <m/>
    <m/>
    <m/>
    <m/>
    <m/>
    <s v="NÃO"/>
    <n v="1"/>
    <s v="REVISÃO PREVENTIVA"/>
    <x v="4"/>
    <s v="Preventivas"/>
    <n v="0.48027777776587754"/>
    <x v="1"/>
    <s v="NÃO EXP.MAE"/>
    <s v="NÃO"/>
    <n v="0"/>
    <n v="0"/>
    <n v="0"/>
    <x v="71"/>
    <d v="2026-03-06T15:28:00"/>
    <x v="0"/>
    <m/>
    <s v="7116"/>
    <s v="MPS - Hora Manutenção Preventiva Sistemática"/>
    <s v="MPS - AG LOCOMOCAO"/>
    <s v="Mãe"/>
    <x v="2"/>
    <s v="PM: 250h + 02 BL's"/>
    <s v="PREVENTIVA"/>
    <s v="PITSTOP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1.03333333338378"/>
    <x v="1"/>
    <s v="NÃO EXP.MAE"/>
    <s v="NÃO"/>
    <n v="0"/>
    <n v="0"/>
    <n v="0"/>
    <x v="72"/>
    <d v="2026-03-06T16:30:00"/>
    <x v="0"/>
    <m/>
    <s v="7000"/>
    <s v="MPS - Hora Manutenção Preventiva Sistemática"/>
    <s v="MPS - EXEC MANUT"/>
    <s v="Mãe"/>
    <x v="2"/>
    <s v="PM: 250h + 02 BL's"/>
    <s v="PREVENTIVA"/>
    <s v="PITSTOP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1.5"/>
    <x v="0"/>
    <s v="EXP.MAE"/>
    <s v="NÃO"/>
    <n v="0"/>
    <n v="0"/>
    <n v="0"/>
    <x v="73"/>
    <d v="2026-03-06T18:00:00"/>
    <x v="0"/>
    <m/>
    <s v="7000"/>
    <s v="MPS - Hora Manutenção Preventiva Sistemática"/>
    <s v="MPS - AG MAU TEMPO"/>
    <s v="Mãe"/>
    <x v="2"/>
    <s v="PM: 250h + 02 BL's"/>
    <s v="PREVENTIVA"/>
    <s v="PITSTOP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4.6722222221433185"/>
    <x v="1"/>
    <s v="NÃO EXP.MAE"/>
    <s v="NÃO"/>
    <n v="0"/>
    <n v="0"/>
    <n v="0"/>
    <x v="74"/>
    <d v="2026-03-06T22:40:20"/>
    <x v="0"/>
    <m/>
    <s v="7000"/>
    <s v="MPS - Hora Manutenção Preventiva Sistemática"/>
    <s v="MPS - EXEC MANUT"/>
    <s v="Mãe"/>
    <x v="2"/>
    <s v="PM: 250h + 02 BL's"/>
    <s v="PREVENTIVA"/>
    <s v="PITSTOP"/>
    <m/>
    <m/>
    <m/>
    <m/>
    <m/>
    <m/>
  </r>
  <r>
    <n v="0"/>
    <m/>
    <m/>
    <m/>
    <m/>
    <m/>
    <m/>
    <m/>
    <m/>
    <m/>
    <m/>
    <m/>
    <m/>
    <n v="1"/>
    <s v="LOCOMOÇÃO"/>
    <x v="1"/>
    <s v="Man. Pneus"/>
    <n v="0.6222222222131677"/>
    <x v="1"/>
    <s v="NÃO EXP.MAE"/>
    <s v="NÃO"/>
    <n v="0"/>
    <n v="0"/>
    <n v="0"/>
    <x v="75"/>
    <d v="2026-03-10T01:32:53"/>
    <x v="0"/>
    <m/>
    <s v="8010"/>
    <s v="MPNS - Hora Manutenção Preventiva não Sistemática"/>
    <s v="MPNS - EXEC BORRACHARIA"/>
    <s v="Mãe"/>
    <x v="2"/>
    <s v="MACHINE GEN Started a delay: MPNS - Exec borracharia"/>
    <s v="LOCOMOCAO"/>
    <m/>
    <m/>
    <m/>
    <m/>
    <m/>
    <m/>
    <m/>
  </r>
  <r>
    <n v="0"/>
    <m/>
    <m/>
    <m/>
    <m/>
    <m/>
    <m/>
    <m/>
    <m/>
    <m/>
    <m/>
    <m/>
    <m/>
    <n v="1"/>
    <s v="ELETRICO"/>
    <x v="3"/>
    <s v="Corretivas"/>
    <n v="1.4208333333372138"/>
    <x v="1"/>
    <s v="NÃO EXP.MAE"/>
    <s v="NÃO"/>
    <n v="0"/>
    <n v="0"/>
    <n v="0"/>
    <x v="76"/>
    <d v="2026-03-12T21:25:07"/>
    <x v="0"/>
    <s v="202601330137"/>
    <s v="9000"/>
    <s v="HMC - Hora de Manutenção Corretiva"/>
    <s v="HMC - EXEC MANUT"/>
    <s v="Mãe"/>
    <x v="2"/>
    <s v="BAIXA PRESSÃO DO MOTOR - 202601330137  SUBSTITUIDO SENSOR DE ENTRADA SCF 1150588"/>
    <s v="ELETRICO"/>
    <s v="MOTOR DE COMBUSTAO"/>
    <s v="SENSOR DE ENTRADA SCF"/>
    <s v="AVARIA"/>
    <s v="SUBSTITUIR"/>
    <s v="Elétrica"/>
    <s v="Eletrico - Motor Combustao"/>
    <s v="Sensor de Temperatura de Combustivel"/>
  </r>
  <r>
    <n v="0"/>
    <m/>
    <m/>
    <m/>
    <m/>
    <m/>
    <m/>
    <m/>
    <m/>
    <m/>
    <m/>
    <m/>
    <m/>
    <n v="1"/>
    <s v="DIRECAO"/>
    <x v="3"/>
    <s v="Corretivas"/>
    <n v="0.61277777783107013"/>
    <x v="1"/>
    <s v="NÃO EXP.MAE"/>
    <s v="NÃO"/>
    <n v="0"/>
    <n v="0"/>
    <n v="0"/>
    <x v="77"/>
    <d v="2026-03-17T00:21:50"/>
    <x v="0"/>
    <s v="202601393264"/>
    <s v="9000"/>
    <s v="HMC - Hora de Manutenção Corretiva"/>
    <s v="HMC - EXEC MANUT"/>
    <s v="Mãe"/>
    <x v="2"/>
    <s v="BAIXO NIVEL DO ÓLEO DA TRANSMISSÃO - COMPLETAR NIVEL DO ÓLEO DA TRANSMISSÃO E VERIFICAR DEMAIS NÍVEIS - 202601393264"/>
    <s v="DIRECAO"/>
    <s v="TANQUE HIDRAULICO"/>
    <s v="OLEO"/>
    <s v="BAIXO NIVEL"/>
    <s v="COMPLETAR"/>
    <s v="Mecânica"/>
    <s v="Transmis Forca - Tanque"/>
    <s v="Oleo"/>
  </r>
  <r>
    <n v="0"/>
    <m/>
    <m/>
    <m/>
    <m/>
    <m/>
    <m/>
    <m/>
    <m/>
    <m/>
    <m/>
    <m/>
    <m/>
    <n v="1"/>
    <s v="LOCOMOÇÃO"/>
    <x v="1"/>
    <s v="Man. Pneus"/>
    <n v="0.44499999994877726"/>
    <x v="1"/>
    <s v="NÃO EXP.MAE"/>
    <s v="NÃO"/>
    <n v="0"/>
    <n v="0"/>
    <n v="0"/>
    <x v="78"/>
    <d v="2026-03-18T03:39:13"/>
    <x v="0"/>
    <m/>
    <s v="8010"/>
    <s v="MPNS - Hora Manutenção Preventiva não Sistemática"/>
    <s v="MPNS - EXEC BORRACHARIA"/>
    <s v="Mãe"/>
    <x v="2"/>
    <s v="MACHINE GEN Atraso iniciado: HMC - Exec borracharia"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COMUNICACAO"/>
    <x v="3"/>
    <s v="Acessórios"/>
    <n v="0.68777777772629634"/>
    <x v="0"/>
    <s v="EXP.MAE"/>
    <s v="NÃO"/>
    <n v="0"/>
    <n v="0"/>
    <n v="0"/>
    <x v="79"/>
    <d v="2026-03-21T20:59:13"/>
    <x v="0"/>
    <s v="202601488516"/>
    <s v="9032"/>
    <s v="HMC - Hora de Manutenção Corretiva"/>
    <s v="HMC - EXEC TERCEIROS TRABALHANDO"/>
    <s v="Mãe"/>
    <x v="2"/>
    <s v="FALHA DE COMUNICAÇÃO E GPS - APERTAR CONEXÕES - 202601488516"/>
    <s v="COMUNICACAO"/>
    <s v="GPS"/>
    <s v="CABO/FIACAO"/>
    <s v="FOLGA"/>
    <s v="APERTAR"/>
    <s v="Elétrica"/>
    <s v="Comunicacao - Despacho"/>
    <s v="Cabo-Isolacao"/>
  </r>
  <r>
    <n v="0"/>
    <m/>
    <m/>
    <m/>
    <m/>
    <m/>
    <m/>
    <m/>
    <m/>
    <m/>
    <m/>
    <m/>
    <m/>
    <n v="1"/>
    <s v="ESTRUTURA"/>
    <x v="3"/>
    <s v="Corretivas"/>
    <n v="1.5494444444775581"/>
    <x v="1"/>
    <s v="NÃO EXP.MAE"/>
    <s v="NÃO"/>
    <n v="0"/>
    <n v="0"/>
    <n v="0"/>
    <x v="80"/>
    <d v="2026-03-24T01:00:42"/>
    <x v="0"/>
    <s v="202601519898"/>
    <s v="9000"/>
    <s v="HMC - Hora de Manutenção Corretiva"/>
    <s v="HMC - EXEC MANUT"/>
    <s v="Mãe"/>
    <x v="2"/>
    <s v="VAZAMENTO NA RODA INTERNA - INÍCIO DE VAZAMENTO NÃO CRÍTICO PELO DUAL CONE DO COMANDO FINAL TRASEIRO L/D - 202601519898"/>
    <s v="ESTRUTURA"/>
    <s v="CUBO DE RODA"/>
    <s v="DUAL CONE"/>
    <s v="VAZAMENTO"/>
    <s v="MONITORAR"/>
    <s v="Mecânica"/>
    <s v="Locomocao - Roda Tdi"/>
    <s v="Vedacao"/>
  </r>
  <r>
    <n v="0"/>
    <m/>
    <m/>
    <m/>
    <m/>
    <m/>
    <m/>
    <m/>
    <m/>
    <m/>
    <m/>
    <m/>
    <m/>
    <n v="1"/>
    <s v="COMBATE INCENDIO"/>
    <x v="3"/>
    <s v="Acessórios"/>
    <n v="1.7974999998696148"/>
    <x v="0"/>
    <s v="EXP.MAE"/>
    <s v="NÃO"/>
    <n v="0"/>
    <n v="0"/>
    <n v="0"/>
    <x v="81"/>
    <d v="2026-03-24T20:54:07"/>
    <x v="0"/>
    <s v="202601540601"/>
    <s v="9032"/>
    <s v="HMC - Hora de Manutenção Corretiva"/>
    <s v="HMC - EXEC TERCEIROS TRABALHANDO"/>
    <s v="Mãe"/>
    <x v="2"/>
    <s v="FALHA NO AFEX 202601540601  REALIZADO  LIMPEZA NOS CONECTORES 1053"/>
    <s v="SISTEMA AFEX"/>
    <s v="COMBATE INCENDIO"/>
    <s v="CONECTORES"/>
    <s v="SUJEIRA"/>
    <s v="LIMPAR"/>
    <s v="Automação"/>
    <s v="Rádio De Voz - Conector Danificado"/>
    <s v="Rádio De Voz - Falha Comunicação"/>
  </r>
  <r>
    <n v="0"/>
    <m/>
    <m/>
    <m/>
    <m/>
    <m/>
    <m/>
    <m/>
    <m/>
    <m/>
    <m/>
    <m/>
    <m/>
    <n v="1"/>
    <s v="LOCOMOÇÃO"/>
    <x v="1"/>
    <s v="Man. Pneus"/>
    <n v="0.57083333336049691"/>
    <x v="1"/>
    <s v="NÃO EXP.MAE"/>
    <s v="NÃO"/>
    <n v="0"/>
    <n v="0"/>
    <n v="0"/>
    <x v="82"/>
    <d v="2026-03-25T05:17:49"/>
    <x v="0"/>
    <m/>
    <s v="8010"/>
    <s v="MPNS - Hora Manutenção Preventiva não Sistemática"/>
    <s v="MPNS - EXEC BORRACHARIA"/>
    <s v="Mãe"/>
    <x v="2"/>
    <m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COMUNICACAO"/>
    <x v="1"/>
    <s v="Acessórios"/>
    <n v="7.9727777777588926"/>
    <x v="0"/>
    <s v="EXP.MAE"/>
    <s v="NÃO"/>
    <n v="0"/>
    <n v="0"/>
    <n v="0"/>
    <x v="83"/>
    <d v="2026-03-28T08:25:41"/>
    <x v="0"/>
    <m/>
    <s v="8032"/>
    <s v="MPNS - Hora Manutenção Preventiva não Sistemática"/>
    <s v="MPNS - EXEC TERCEIROS TRABALHANDO"/>
    <s v="Mãe"/>
    <x v="2"/>
    <s v="MACHINE GEN Started a delay: MPNS - Exec terceiros trabalhando"/>
    <s v="COMUNICACAO"/>
    <s v="COMUNICACAO"/>
    <s v="COMUNICACAO"/>
    <s v="COMUNICACAO"/>
    <s v="COMUNICACAO"/>
    <s v="COMUNICACAO"/>
    <s v="COMUNICACAO"/>
    <s v="COMUNICACAO"/>
  </r>
  <r>
    <n v="0"/>
    <m/>
    <m/>
    <m/>
    <m/>
    <m/>
    <m/>
    <m/>
    <m/>
    <m/>
    <m/>
    <m/>
    <m/>
    <n v="1"/>
    <s v="MOTOR DE COMBUSTÃO"/>
    <x v="3"/>
    <s v="Corretivas"/>
    <n v="5.0258333333185874"/>
    <x v="1"/>
    <s v="NÃO EXP.MAE"/>
    <s v="NÃO"/>
    <n v="0"/>
    <n v="0"/>
    <n v="0"/>
    <x v="84"/>
    <d v="2026-03-29T02:51:13"/>
    <x v="0"/>
    <m/>
    <s v="9000"/>
    <s v="HMC - Hora de Manutenção Corretiva"/>
    <s v="HMC - EXEC MANUT"/>
    <s v="Mãe"/>
    <x v="2"/>
    <s v="ALTA TEMPERATURA DO ÓLEO DO CONVERSOR DE TORQUE - BAIXO RENDIMENTO"/>
    <s v="MOTOR DE COMBUSTAO"/>
    <s v="COMBUSTIVEL"/>
    <s v="FILTRO"/>
    <s v="AVARIA"/>
    <s v="SUBSTITUIR"/>
    <s v="Mecânica"/>
    <s v="Transmis Forca - Bomba Conversor"/>
    <s v="Bomba-Desgaste"/>
  </r>
  <r>
    <n v="0"/>
    <m/>
    <m/>
    <m/>
    <m/>
    <m/>
    <m/>
    <m/>
    <m/>
    <m/>
    <m/>
    <m/>
    <s v="NÃO"/>
    <n v="1"/>
    <s v="REVISÃO PREVENTIVA"/>
    <x v="4"/>
    <s v="Preventivas"/>
    <n v="0.15888888883637264"/>
    <x v="1"/>
    <s v="NÃO EXP.MAE"/>
    <s v="NÃO"/>
    <n v="0"/>
    <n v="0"/>
    <n v="0"/>
    <x v="85"/>
    <d v="2026-03-31T02:49:20"/>
    <x v="0"/>
    <m/>
    <s v="7116"/>
    <s v="MPS - Hora Manutenção Preventiva Sistemática"/>
    <s v="MPS - AG LOCOMOCAO"/>
    <s v="Mãe"/>
    <x v="2"/>
    <s v="PM 500h + 25BLs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1.2674999999580905"/>
    <x v="1"/>
    <s v="NÃO EXP.MAE"/>
    <s v="NÃO"/>
    <n v="0"/>
    <n v="0"/>
    <n v="0"/>
    <x v="86"/>
    <d v="2026-03-31T04:05:23"/>
    <x v="0"/>
    <m/>
    <s v="7000"/>
    <s v="MPS - Hora Manutenção Preventiva Sistemática"/>
    <s v="MPS - EXEC MANUT"/>
    <s v="Mãe"/>
    <x v="2"/>
    <s v="PM 500h + 25BLs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4.0000000001164153"/>
    <x v="1"/>
    <s v="NÃO EXP.MAE"/>
    <s v="NÃO"/>
    <n v="0"/>
    <n v="0"/>
    <n v="0"/>
    <x v="87"/>
    <d v="2026-03-31T08:05:23"/>
    <x v="0"/>
    <m/>
    <s v="7011"/>
    <s v="MPS - Hora Manutenção Preventiva Sistemática"/>
    <s v="MPS - EXEC LAVADOR"/>
    <s v="Mãe"/>
    <x v="2"/>
    <s v="PM 500h + 25BLs"/>
    <s v="PREVENTIVA"/>
    <s v="500 HORAS"/>
    <m/>
    <m/>
    <m/>
    <m/>
    <m/>
    <m/>
  </r>
  <r>
    <n v="0"/>
    <m/>
    <m/>
    <m/>
    <m/>
    <m/>
    <m/>
    <m/>
    <m/>
    <m/>
    <m/>
    <m/>
    <s v="SIM"/>
    <n v="0"/>
    <s v="REVISÃO PREVENTIVA"/>
    <x v="4"/>
    <s v="Preventivas"/>
    <n v="2.527499999909196"/>
    <x v="0"/>
    <s v="EXP.MAE"/>
    <s v="NÃO"/>
    <n v="0"/>
    <n v="0"/>
    <n v="0"/>
    <x v="88"/>
    <d v="2026-03-31T10:37:02"/>
    <x v="0"/>
    <m/>
    <s v="7011"/>
    <s v="MPS - Hora Manutenção Preventiva Sistemática"/>
    <s v="MPS - EXEC LAVADOR"/>
    <s v="Mãe"/>
    <x v="2"/>
    <s v="PM 500h + 25BLs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13.382499999948777"/>
    <x v="1"/>
    <s v="NÃO EXP.MAE"/>
    <s v="NÃO"/>
    <n v="0"/>
    <n v="0"/>
    <n v="0"/>
    <x v="89"/>
    <d v="2026-03-31T23:59:59"/>
    <x v="0"/>
    <m/>
    <s v="7000"/>
    <s v="MPS - Hora Manutenção Preventiva Sistemática"/>
    <s v="MPS - EXEC MANUT"/>
    <s v="Mãe"/>
    <x v="2"/>
    <s v="PM 500h + 25BLs"/>
    <s v="PREVENTIVA"/>
    <s v="500 HORAS"/>
    <m/>
    <m/>
    <m/>
    <m/>
    <m/>
    <m/>
  </r>
  <r>
    <n v="0"/>
    <m/>
    <m/>
    <m/>
    <m/>
    <m/>
    <m/>
    <m/>
    <m/>
    <m/>
    <m/>
    <m/>
    <m/>
    <n v="1"/>
    <s v="REVISÃO PREVENTIVA"/>
    <x v="4"/>
    <s v="Preventivas"/>
    <n v="2.1222222222131677"/>
    <x v="1"/>
    <s v="NÃO EXP.MAE"/>
    <s v="NÃO"/>
    <n v="0"/>
    <n v="0"/>
    <n v="0"/>
    <x v="90"/>
    <d v="2026-04-01T02:07:20"/>
    <x v="0"/>
    <m/>
    <s v="7000"/>
    <s v="MPS - Hora Manutenção Preventiva Sistemática"/>
    <s v="MPS - EXEC MANUT"/>
    <s v="Mãe"/>
    <x v="3"/>
    <s v="PM 500h + 25BLs"/>
    <s v="PREVENTIVA"/>
    <s v="500 HORAS"/>
    <m/>
    <m/>
    <m/>
    <m/>
    <m/>
    <m/>
  </r>
  <r>
    <n v="0"/>
    <m/>
    <m/>
    <m/>
    <m/>
    <m/>
    <m/>
    <m/>
    <m/>
    <m/>
    <m/>
    <m/>
    <m/>
    <n v="1"/>
    <s v="HIDRAULICO"/>
    <x v="3"/>
    <s v="Corretivas"/>
    <n v="1.7069444444496185"/>
    <x v="1"/>
    <s v="NÃO EXP.MAE"/>
    <s v="NÃO"/>
    <n v="0"/>
    <n v="0"/>
    <n v="0"/>
    <x v="91"/>
    <d v="2026-04-01T11:44:27"/>
    <x v="0"/>
    <s v="202601691176"/>
    <s v="9000"/>
    <s v="HMC - Hora de Manutenção Corretiva"/>
    <s v="HMC - EXEC MANUT"/>
    <s v="Mãe"/>
    <x v="3"/>
    <s v="202601691176 VAZAMENTO HIDRÁULICO NO TUBO DO ÓLEO PILOTO DO GRUPO DE ELEVAÇÃO - SUB TUBO PILOTO DO OLEO DE ELEVA"/>
    <s v="HIDRAULICO"/>
    <s v="ELEVACAO"/>
    <s v="TUBO PILOTO"/>
    <s v="AVARIA"/>
    <s v="SUBSTITUIR"/>
    <s v="Mecânica"/>
    <s v="Direcao - Piloto"/>
    <s v="Mangueira Piloto-Vazamento"/>
  </r>
  <r>
    <n v="0"/>
    <m/>
    <m/>
    <m/>
    <m/>
    <m/>
    <m/>
    <m/>
    <m/>
    <m/>
    <m/>
    <m/>
    <m/>
    <n v="1"/>
    <s v="LOCOMOÇÃO"/>
    <x v="1"/>
    <s v="Man. Pneus"/>
    <n v="1.284444444347173"/>
    <x v="1"/>
    <s v="NÃO EXP.MAE"/>
    <s v="NÃO"/>
    <n v="0"/>
    <n v="0"/>
    <n v="0"/>
    <x v="92"/>
    <d v="2026-04-02T23:58:33"/>
    <x v="0"/>
    <m/>
    <s v="8010"/>
    <s v="MPNS - Hora Manutenção Preventiva não Sistemática"/>
    <s v="MPNS - EXEC BORRACHARIA"/>
    <s v="Mãe"/>
    <x v="3"/>
    <m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NÃO"/>
    <n v="0"/>
    <n v="0"/>
    <n v="0"/>
    <x v="93"/>
    <d v="2026-04-02T23:58:33"/>
    <x v="0"/>
    <m/>
    <s v="8010"/>
    <s v="MPNS - Hora Manutenção Preventiva não Sistemática"/>
    <s v="MPNS - EXEC BORRACHARIA"/>
    <s v="Filha"/>
    <x v="3"/>
    <m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TREM DE FORÇA"/>
    <x v="3"/>
    <s v="Corretivas"/>
    <n v="17.481666666688398"/>
    <x v="1"/>
    <s v="NÃO EXP.MAE"/>
    <s v="NÃO"/>
    <n v="0"/>
    <n v="0"/>
    <n v="0"/>
    <x v="94"/>
    <d v="2026-04-03T17:42:36"/>
    <x v="0"/>
    <s v="202601721885"/>
    <s v="9000"/>
    <s v="HMC - Hora de Manutenção Corretiva"/>
    <s v="HMC - EXEC MANUT"/>
    <s v="Mãe"/>
    <x v="3"/>
    <s v="VAZAMENTO DE OLEO - 202601721885 - SUBSTITUÍDO MANGUEIRA DE RETORNO DO CONVERSOR DE TORQUE -  SUBSTITUÍDO MANGUEIRA HIDRÁULICA QUE SAI DO TANQUE PARA O FILTRO"/>
    <s v="TREM DE FORCA"/>
    <s v="CONVERSOR DE TORQUE"/>
    <s v="MANGUEIRA"/>
    <s v="VAZAMENTO"/>
    <s v="SUBSTITUIR"/>
    <s v="Mecânica"/>
    <s v="Transmis Forca - Conversor Torque"/>
    <s v="Mangueira"/>
  </r>
  <r>
    <n v="0"/>
    <m/>
    <m/>
    <m/>
    <m/>
    <m/>
    <m/>
    <m/>
    <m/>
    <m/>
    <m/>
    <m/>
    <s v="NÃO"/>
    <s v=""/>
    <s v=""/>
    <x v="2"/>
    <s v=""/>
    <s v=""/>
    <x v="2"/>
    <s v="NÃO EXP.MAE"/>
    <s v="NÃO"/>
    <n v="0"/>
    <n v="0"/>
    <n v="0"/>
    <x v="95"/>
    <d v="2026-04-03T11:00:00"/>
    <x v="0"/>
    <s v="202601721885"/>
    <s v="9000"/>
    <s v="HMC - Hora de Manutenção Corretiva"/>
    <s v="HMC - AG LUBRIFICACAO"/>
    <s v="Filha"/>
    <x v="3"/>
    <s v="AGUARDANDO COMBOIO"/>
    <s v="TREM DE FORCA"/>
    <s v="CONVERSOR DE TORQUE"/>
    <s v="MANGUEIRA"/>
    <s v="VAZAMENTO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2.0833333335758653E-2"/>
    <n v="0"/>
    <n v="0"/>
    <x v="96"/>
    <d v="2026-04-03T11:00:00"/>
    <x v="0"/>
    <s v="202601721885"/>
    <s v="9000"/>
    <s v="HMC - Hora de Manutenção Corretiva"/>
    <s v="HMC - AG LUBRIFICACAO"/>
    <s v="Filha"/>
    <x v="3"/>
    <s v="AGUARDANDO COMBOIO"/>
    <s v="TREM DE FORCA"/>
    <s v="CONVERSOR DE TORQUE"/>
    <s v="MANGUEIRA"/>
    <s v="VAZAMENTO"/>
    <s v="SUBSTITUIR"/>
    <m/>
    <m/>
    <m/>
  </r>
  <r>
    <n v="0"/>
    <m/>
    <m/>
    <m/>
    <m/>
    <m/>
    <m/>
    <m/>
    <m/>
    <m/>
    <m/>
    <m/>
    <m/>
    <n v="1"/>
    <s v="COMBATE INCENDIO"/>
    <x v="3"/>
    <s v="Acessórios"/>
    <n v="4.473611111054197"/>
    <x v="0"/>
    <s v="EXP.MAE"/>
    <s v="NÃO"/>
    <n v="0"/>
    <n v="0"/>
    <n v="0"/>
    <x v="97"/>
    <d v="2026-04-04T21:38:00"/>
    <x v="0"/>
    <s v="202601740892"/>
    <s v="9032"/>
    <s v="HMC - Hora de Manutenção Corretiva"/>
    <s v="HMC - EXEC TERCEIROS TRABALHANDO"/>
    <s v="Mãe"/>
    <x v="3"/>
    <s v="LUZ DO ATUADOR ELÉTRICO DO AFEX (ATUADA) - CONFECCIONAR PINO DO CONECTOR DO ATUADOR DO AFEX - 202601740892"/>
    <s v="SISTEMA AFEX"/>
    <s v="COMBATE INCENDIO"/>
    <s v="CABO/FIACAO"/>
    <s v="MAU CONTATO"/>
    <s v="CORRIGIR"/>
    <s v="Elétrica"/>
    <s v="Combate Incendio - Acionamento Automatico"/>
    <s v="Sensor de Chama"/>
  </r>
  <r>
    <n v="0"/>
    <m/>
    <m/>
    <m/>
    <m/>
    <m/>
    <m/>
    <m/>
    <m/>
    <m/>
    <m/>
    <m/>
    <m/>
    <n v="1"/>
    <s v="LOCOMOÇÃO"/>
    <x v="4"/>
    <s v="Man. Pneus"/>
    <n v="5.7641666667186655"/>
    <x v="1"/>
    <s v="NÃO EXP.MAE"/>
    <s v="NÃO"/>
    <n v="0"/>
    <n v="0"/>
    <n v="0"/>
    <x v="98"/>
    <d v="2026-04-06T13:07:17"/>
    <x v="0"/>
    <m/>
    <s v="7010"/>
    <s v="MPS - Hora Manutenção Preventiva Sistemática"/>
    <s v="MPS - EXEC BORRACHARIA"/>
    <s v="Mãe"/>
    <x v="3"/>
    <m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LOCOMOÇÃO"/>
    <x v="1"/>
    <s v="Man. Pneus"/>
    <n v="0.373333333467599"/>
    <x v="1"/>
    <s v="NÃO EXP.MAE"/>
    <s v="NÃO"/>
    <n v="0"/>
    <n v="0"/>
    <n v="0"/>
    <x v="99"/>
    <d v="2026-04-07T05:11:15"/>
    <x v="0"/>
    <m/>
    <s v="8010"/>
    <s v="MPNS - Hora Manutenção Preventiva não Sistemática"/>
    <s v="MPNS - EXEC BORRACHARIA"/>
    <s v="Mãe"/>
    <x v="3"/>
    <m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NÃO"/>
    <n v="0"/>
    <n v="0"/>
    <n v="0"/>
    <x v="100"/>
    <d v="2026-04-07T05:11:15"/>
    <x v="0"/>
    <m/>
    <s v="8010"/>
    <s v="MPNS - Hora Manutenção Preventiva não Sistemática"/>
    <s v="MPNS - EXEC BORRACHARIA"/>
    <s v="Filha"/>
    <x v="3"/>
    <m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SISTEMA ALERTA DE FADIGA"/>
    <x v="1"/>
    <s v="Acessórios"/>
    <n v="3.5555555659811944E-2"/>
    <x v="0"/>
    <s v="EXP.MAE"/>
    <s v="NÃO"/>
    <n v="0"/>
    <n v="0"/>
    <n v="0"/>
    <x v="101"/>
    <d v="2026-04-09T16:19:53"/>
    <x v="0"/>
    <m/>
    <s v="8023"/>
    <s v="MPNS - Hora Manutenção Preventiva não Sistemática"/>
    <s v="MPNS - EXEC GARANTIA / ASSIST TECNICA"/>
    <s v="Mãe"/>
    <x v="3"/>
    <s v="MACHINE GEN Started a delay: MPNS - Exec garantia/assist tecnica"/>
    <s v="SISTEMA ALERTA DE FADIGA"/>
    <s v="SISTEMA ALERTA DE FADIGA"/>
    <s v="SISTEMA ALERTA DE FADIGA"/>
    <s v="SISTEMA ALERTA DE FADIGA"/>
    <s v="SISTEMA ALERTA DE FADIGA"/>
    <m/>
    <m/>
    <m/>
  </r>
  <r>
    <n v="0"/>
    <m/>
    <m/>
    <m/>
    <m/>
    <m/>
    <m/>
    <m/>
    <m/>
    <m/>
    <m/>
    <m/>
    <m/>
    <n v="0"/>
    <s v="SISTEMA ALERTA DE FADIGA"/>
    <x v="1"/>
    <s v="Acessórios"/>
    <n v="5.1388888852670789E-2"/>
    <x v="0"/>
    <s v="EXP.MAE"/>
    <s v="NÃO"/>
    <n v="0"/>
    <n v="0"/>
    <n v="0"/>
    <x v="102"/>
    <d v="2026-04-09T16:22:58"/>
    <x v="0"/>
    <m/>
    <s v="8009"/>
    <s v="MPNS - Hora Manutenção Preventiva não Sistemática"/>
    <s v="MPNS - EXEC DIAGNOSTICO TECNICO"/>
    <s v="Mãe"/>
    <x v="3"/>
    <s v="MACHINE GEN Started a delay: MPNS - Exec diagnostico tecnico"/>
    <s v="SISTEMA ALERTA DE FADIGA"/>
    <s v="SISTEMA ALERTA DE FADIGA"/>
    <s v="SISTEMA ALERTA DE FADIGA"/>
    <s v="SISTEMA ALERTA DE FADIGA"/>
    <s v="SISTEMA ALERTA DE FADIGA"/>
    <m/>
    <m/>
    <m/>
  </r>
  <r>
    <n v="0"/>
    <m/>
    <m/>
    <m/>
    <m/>
    <m/>
    <m/>
    <m/>
    <m/>
    <m/>
    <m/>
    <m/>
    <m/>
    <n v="0"/>
    <s v="SISTEMA ALERTA DE FADIGA"/>
    <x v="1"/>
    <s v="Acessórios"/>
    <n v="4.5505555554991588"/>
    <x v="0"/>
    <s v="EXP.MAE"/>
    <s v="NÃO"/>
    <n v="0"/>
    <n v="0"/>
    <n v="0"/>
    <x v="103"/>
    <d v="2026-04-09T20:56:00"/>
    <x v="0"/>
    <m/>
    <s v="8032"/>
    <s v="MPNS - Hora Manutenção Preventiva não Sistemática"/>
    <s v="MPNS - EXEC TERCEIROS TRABALHANDO"/>
    <s v="Mãe"/>
    <x v="3"/>
    <s v="CREARE"/>
    <s v="SISTEMA ALERTA DE FADIGA"/>
    <s v="SISTEMA ALERTA DE FADIGA"/>
    <s v="SISTEMA ALERTA DE FADIGA"/>
    <s v="SISTEMA ALERTA DE FADIGA"/>
    <s v="SISTEMA ALERTA DE FADIGA"/>
    <m/>
    <m/>
    <m/>
  </r>
  <r>
    <n v="0"/>
    <m/>
    <m/>
    <m/>
    <m/>
    <m/>
    <m/>
    <m/>
    <m/>
    <m/>
    <m/>
    <m/>
    <m/>
    <n v="1"/>
    <s v="REVISÃO PREVENTIVA"/>
    <x v="4"/>
    <s v="Preventivas"/>
    <n v="0.31055555550847203"/>
    <x v="0"/>
    <s v="EXP.MAE"/>
    <s v="NÃO"/>
    <n v="0"/>
    <n v="0"/>
    <n v="0"/>
    <x v="104"/>
    <d v="2026-04-14T20:29:48"/>
    <x v="0"/>
    <m/>
    <s v="7116"/>
    <s v="MPS - Hora Manutenção Preventiva Sistemática"/>
    <s v="MPS - AG LOCOMOCAO"/>
    <s v="Mãe"/>
    <x v="3"/>
    <s v="PM: 250h + 04 BL's"/>
    <s v="PREVENTIVA"/>
    <s v="PITSTOP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8.3830555555759929"/>
    <x v="1"/>
    <s v="NÃO EXP.MAE"/>
    <s v="NÃO"/>
    <n v="0"/>
    <n v="0"/>
    <n v="0"/>
    <x v="105"/>
    <d v="2026-04-15T04:52:47"/>
    <x v="0"/>
    <m/>
    <s v="7000"/>
    <s v="MPS - Hora Manutenção Preventiva Sistemática"/>
    <s v="MPS - EXEC MANUT"/>
    <s v="Mãe"/>
    <x v="3"/>
    <s v="PM: 250h + 04 BL's"/>
    <s v="PREVENTIVA"/>
    <s v="PITSTOP"/>
    <m/>
    <m/>
    <m/>
    <m/>
    <m/>
    <m/>
  </r>
  <r>
    <n v="0"/>
    <m/>
    <m/>
    <m/>
    <m/>
    <m/>
    <m/>
    <m/>
    <m/>
    <m/>
    <m/>
    <m/>
    <m/>
    <n v="1"/>
    <s v="LOCOMOÇÃO"/>
    <x v="4"/>
    <s v="Man. Pneus"/>
    <n v="0.36111111100763083"/>
    <x v="1"/>
    <s v="NÃO EXP.MAE"/>
    <s v="NÃO"/>
    <n v="0"/>
    <n v="0"/>
    <n v="0"/>
    <x v="106"/>
    <d v="2026-04-15T07:31:23"/>
    <x v="0"/>
    <m/>
    <s v="7010"/>
    <s v="MPS - Hora Manutenção Preventiva Sistemática"/>
    <s v="MPS - EXEC BORRACHARIA"/>
    <s v="Mãe"/>
    <x v="3"/>
    <s v="MACHINE GEN Started a delay: MPS - Exec borracharia"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NÃO"/>
    <n v="0"/>
    <n v="0"/>
    <n v="0"/>
    <x v="107"/>
    <d v="2026-04-15T07:31:23"/>
    <x v="0"/>
    <m/>
    <s v="7010"/>
    <s v="MPS - Hora Manutenção Preventiva Sistemática"/>
    <s v="MPS - EXEC BORRACHARIA"/>
    <s v="Filha"/>
    <x v="3"/>
    <m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TREM DE FORÇA"/>
    <x v="3"/>
    <s v="Corretivas"/>
    <n v="0.46694444445893168"/>
    <x v="1"/>
    <s v="NÃO EXP.MAE"/>
    <s v="NÃO"/>
    <n v="0"/>
    <n v="0"/>
    <n v="0"/>
    <x v="108"/>
    <d v="2026-04-17T05:14:01"/>
    <x v="0"/>
    <s v="202601979199"/>
    <s v="9000"/>
    <s v="HMC - Hora de Manutenção Corretiva"/>
    <s v="HMC - EXEC MANUT"/>
    <s v="Mãe"/>
    <x v="3"/>
    <s v="202601979199- BAIXO NIVEL DO OLEO DA TRANSMISSÃO- COMPLETADO 39LT DE OLEO DA TRANSMISSÃO"/>
    <s v="TREM DE FORCA"/>
    <s v="TRANSMISSAO"/>
    <s v="OLEO"/>
    <s v="BAIXO NIVEL"/>
    <s v="COMPLETAR"/>
    <s v="Mecânica"/>
    <s v="Transmissao - Lubrificacao"/>
    <s v="Oleo"/>
  </r>
  <r>
    <n v="0"/>
    <m/>
    <m/>
    <m/>
    <m/>
    <m/>
    <m/>
    <m/>
    <m/>
    <m/>
    <m/>
    <m/>
    <m/>
    <n v="1"/>
    <s v="INSPEÇÃO SENSITIVA"/>
    <x v="4"/>
    <s v="Inspeção"/>
    <n v="1.3616666668094695"/>
    <x v="1"/>
    <s v="NÃO EXP.MAE"/>
    <s v="NÃO"/>
    <n v="0"/>
    <n v="0"/>
    <n v="0"/>
    <x v="109"/>
    <d v="2026-04-17T11:31:39"/>
    <x v="0"/>
    <m/>
    <s v="7005"/>
    <s v="MPS - Hora Manutenção Preventiva Sistemática"/>
    <s v="MPS-EXEC INSP MECANICA"/>
    <s v="Mãe"/>
    <x v="3"/>
    <s v="MACHINE GEN Atraso iniciado: MPNS - Exec mecanica"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s v="NÃO"/>
    <n v="1"/>
    <s v="TREM DE FORÇA"/>
    <x v="1"/>
    <s v="Reparo Programado"/>
    <n v="0.36833333334652707"/>
    <x v="1"/>
    <s v="NÃO EXP.MAE"/>
    <s v="NÃO"/>
    <n v="0"/>
    <n v="0"/>
    <n v="0"/>
    <x v="110"/>
    <d v="2026-04-17T19:26:28"/>
    <x v="0"/>
    <m/>
    <s v="8116"/>
    <s v="MPNS - Hora Manutenção Preventiva não Sistemática"/>
    <s v="MPNS - AG LOCOMOCAO"/>
    <s v="Mãe"/>
    <x v="3"/>
    <m/>
    <s v="TREM DE FORCA"/>
    <s v="COMANDO FINAL LD"/>
    <s v="COMANDO FINAL"/>
    <s v="AVARIA"/>
    <s v="SUBSTITUIR"/>
    <m/>
    <m/>
    <m/>
  </r>
  <r>
    <n v="0"/>
    <m/>
    <m/>
    <m/>
    <m/>
    <m/>
    <m/>
    <m/>
    <m/>
    <m/>
    <m/>
    <m/>
    <m/>
    <n v="0"/>
    <s v="TREM DE FORÇA"/>
    <x v="1"/>
    <s v="Reparo Programado"/>
    <n v="21.453611111151986"/>
    <x v="1"/>
    <s v="NÃO EXP.MAE"/>
    <s v="NÃO"/>
    <n v="0"/>
    <n v="0"/>
    <n v="0"/>
    <x v="111"/>
    <d v="2026-04-18T16:53:41"/>
    <x v="0"/>
    <m/>
    <s v="8001"/>
    <s v="MPNS - Hora Manutenção Preventiva não Sistemática"/>
    <s v="MPNS - EXEC MECANICA"/>
    <s v="Mãe"/>
    <x v="3"/>
    <s v="PNEU CORTE TDI 202601992253 SUBSTITUIR COMANDO FINAL - 202601820533"/>
    <s v="TREM DE FORCA"/>
    <s v="COMANDO FINAL LD"/>
    <s v="COMANDO FINAL"/>
    <s v="AVARIA"/>
    <s v="SUBSTITUIR"/>
    <m/>
    <m/>
    <m/>
  </r>
  <r>
    <n v="0"/>
    <m/>
    <m/>
    <m/>
    <m/>
    <m/>
    <m/>
    <m/>
    <m/>
    <m/>
    <m/>
    <m/>
    <s v="NÃO"/>
    <s v=""/>
    <s v=""/>
    <x v="2"/>
    <s v=""/>
    <s v=""/>
    <x v="2"/>
    <s v="NÃO EXP.MAE"/>
    <s v="NÃO"/>
    <n v="0"/>
    <n v="0"/>
    <n v="0"/>
    <x v="112"/>
    <d v="2026-04-18T16:10:00"/>
    <x v="0"/>
    <m/>
    <s v="8001"/>
    <s v="MPNS - Hora Manutenção Preventiva não Sistemática"/>
    <s v="MPNS - AG LOCOMOCAO"/>
    <s v="Filha"/>
    <x v="3"/>
    <s v="AGUARDANDO LOCOMOÇÃO"/>
    <s v="TREM DE FORCA"/>
    <s v="COMANDO FINAL LD"/>
    <s v="COMANDO FINAL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4.0972222217533272E-2"/>
    <n v="0"/>
    <n v="0"/>
    <x v="113"/>
    <d v="2026-04-18T16:10:00"/>
    <x v="0"/>
    <m/>
    <s v="8001"/>
    <s v="MPNS - Hora Manutenção Preventiva não Sistemática"/>
    <s v="MPNS - AG LOCOMOCAO"/>
    <s v="Filha"/>
    <x v="3"/>
    <s v="AGUARDANDO LOCOMOÇÃO"/>
    <s v="TREM DE FORCA"/>
    <s v="COMANDO FINAL LD"/>
    <s v="COMANDO FINAL"/>
    <s v="AVARIA"/>
    <s v="SUBSTITUIR"/>
    <m/>
    <m/>
    <m/>
  </r>
  <r>
    <n v="0"/>
    <m/>
    <m/>
    <m/>
    <m/>
    <m/>
    <m/>
    <m/>
    <m/>
    <m/>
    <m/>
    <m/>
    <s v="SIM"/>
    <n v="1"/>
    <s v="TREM DE FORÇA"/>
    <x v="1"/>
    <s v="Reparo Programado"/>
    <n v="2.8691666666418314"/>
    <x v="0"/>
    <s v="EXP.MAE"/>
    <s v="NÃO"/>
    <n v="0"/>
    <n v="0"/>
    <n v="0"/>
    <x v="114"/>
    <d v="2026-04-18T19:45:50"/>
    <x v="0"/>
    <n v="202602003290"/>
    <s v="8111"/>
    <s v="MPNS - Hora Manutenção Preventiva não Sistemática"/>
    <s v="MPNS - AG LAVADOR"/>
    <s v="Mãe"/>
    <x v="3"/>
    <s v="SUBSTITUIR COMANDO FINAL 202602003290"/>
    <s v="TREM DE FORCA"/>
    <s v="COMANDO FINAL LD"/>
    <s v="COMANDO FINAL"/>
    <s v="AVARIA"/>
    <s v="SUBSTITUIR"/>
    <m/>
    <m/>
    <m/>
  </r>
  <r>
    <n v="0"/>
    <m/>
    <m/>
    <m/>
    <m/>
    <m/>
    <m/>
    <m/>
    <m/>
    <m/>
    <m/>
    <m/>
    <m/>
    <n v="0"/>
    <s v="TREM DE FORÇA"/>
    <x v="1"/>
    <s v="Reparo Programado"/>
    <n v="3.9361111111356877"/>
    <x v="1"/>
    <s v="NÃO EXP.MAE"/>
    <s v="NÃO"/>
    <n v="0"/>
    <n v="0"/>
    <n v="0"/>
    <x v="115"/>
    <d v="2026-04-18T23:42:00"/>
    <x v="0"/>
    <n v="202602003290"/>
    <s v="8011"/>
    <s v="MPNS - Hora Manutenção Preventiva não Sistemática"/>
    <s v="MNPS - EXEC LAVADOR"/>
    <s v="Mãe"/>
    <x v="3"/>
    <s v="SUBSTITUIR COMANDO FINAL 202602003290"/>
    <s v="TREM DE FORCA"/>
    <s v="COMANDO FINAL LD"/>
    <s v="COMANDO FINAL"/>
    <s v="AVARIA"/>
    <s v="SUBSTITUIR"/>
    <m/>
    <m/>
    <m/>
  </r>
  <r>
    <n v="0"/>
    <m/>
    <m/>
    <m/>
    <m/>
    <m/>
    <m/>
    <m/>
    <m/>
    <s v="Componente (Major e Minor)"/>
    <m/>
    <m/>
    <m/>
    <n v="0"/>
    <s v="TREM DE FORÇA"/>
    <x v="1"/>
    <s v="Componente (Major e Minor)"/>
    <n v="96.067222222220153"/>
    <x v="1"/>
    <s v="NÃO EXP.MAE"/>
    <s v="NÃO"/>
    <n v="0"/>
    <n v="0"/>
    <n v="0"/>
    <x v="116"/>
    <d v="2026-04-22T23:46:02"/>
    <x v="0"/>
    <n v="202602003290"/>
    <s v="8001"/>
    <s v="MPNS - Hora Manutenção Preventiva não Sistemática"/>
    <s v="MPNS - EXEC MECANICA"/>
    <s v="Mãe"/>
    <x v="3"/>
    <s v="SUBSTITUIR COMANDO FINAL 202602003290"/>
    <s v="TREM DE FORCA"/>
    <s v="COMANDO FINAL LD"/>
    <s v="COMANDO FINAL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33333333333575865"/>
    <n v="0"/>
    <n v="0"/>
    <x v="117"/>
    <d v="2026-04-19T14:00:00"/>
    <x v="0"/>
    <n v="202602003290"/>
    <s v="8001"/>
    <s v="MPNS - Hora Manutenção Preventiva não Sistemática"/>
    <s v="MPNS - AG MAU TEMPO"/>
    <s v="Filha"/>
    <x v="3"/>
    <s v="AGUARDANDO MAU TEMPO"/>
    <s v="TREM DE FORCA"/>
    <s v="COMANDO FINAL LD"/>
    <s v="COMANDO FINAL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NÃO"/>
    <n v="0"/>
    <n v="0"/>
    <n v="0"/>
    <x v="118"/>
    <d v="2026-04-19T18:00:00"/>
    <x v="0"/>
    <n v="202602003290"/>
    <s v="8001"/>
    <s v="MPNS - Hora Manutenção Preventiva não Sistemática"/>
    <s v="MPNS - EXEC BORRACHARIA"/>
    <s v="Filha"/>
    <x v="3"/>
    <m/>
    <s v="TREM DE FORCA"/>
    <s v="COMANDO FINAL LD"/>
    <s v="COMANDO FINAL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2.7777777781011537E-2"/>
    <n v="0"/>
    <n v="0"/>
    <x v="119"/>
    <d v="2026-04-20T09:20:00"/>
    <x v="0"/>
    <n v="202602003290"/>
    <s v="8001"/>
    <s v="MPNS - Hora Manutenção Preventiva não Sistemática"/>
    <s v="MPNS - AG RECURSO/FERRAMENTAL"/>
    <s v="Filha"/>
    <x v="3"/>
    <s v="AGUARDANDO RECURSO"/>
    <s v="TREM DE FORCA"/>
    <s v="COMANDO FINAL LD"/>
    <s v="COMANDO FINAL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6.9444444445252884E-2"/>
    <n v="0"/>
    <n v="0"/>
    <x v="120"/>
    <d v="2026-04-21T23:14:00"/>
    <x v="0"/>
    <n v="202602003290"/>
    <s v="8001"/>
    <s v="MPNS - Hora Manutenção Preventiva não Sistemática"/>
    <s v="MPNS - AG LUBRIFICACAO"/>
    <s v="Filha"/>
    <x v="3"/>
    <s v="AGUARDANDO COMBOIO"/>
    <s v="TREM DE FORCA"/>
    <s v="COMANDO FINAL LD"/>
    <s v="COMANDO FINAL"/>
    <s v="AVARIA"/>
    <s v="SUBSTITUIR"/>
    <m/>
    <m/>
    <m/>
  </r>
  <r>
    <n v="0"/>
    <m/>
    <m/>
    <m/>
    <m/>
    <m/>
    <m/>
    <m/>
    <m/>
    <m/>
    <m/>
    <m/>
    <s v="NÃO"/>
    <s v=""/>
    <s v=""/>
    <x v="2"/>
    <s v=""/>
    <s v=""/>
    <x v="2"/>
    <s v="NÃO EXP.MAE"/>
    <s v="NÃO"/>
    <n v="0"/>
    <n v="0"/>
    <n v="0"/>
    <x v="121"/>
    <d v="2026-04-22T05:28:00"/>
    <x v="0"/>
    <n v="202602003290"/>
    <s v="8001"/>
    <s v="MPNS - Hora Manutenção Preventiva não Sistemática"/>
    <s v="MPNS - AG LUBRIFICACAO"/>
    <s v="Filha"/>
    <x v="3"/>
    <s v="AGUARDANDO COMBOIO"/>
    <s v="TREM DE FORCA"/>
    <s v="COMANDO FINAL LD"/>
    <s v="COMANDO FINAL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1.8055555556202307E-2"/>
    <n v="0"/>
    <n v="0"/>
    <x v="122"/>
    <d v="2026-04-22T05:28:00"/>
    <x v="0"/>
    <n v="202602003290"/>
    <s v="8001"/>
    <s v="MPNS - Hora Manutenção Preventiva não Sistemática"/>
    <s v="MPNS - AG LUBRIFICACAO"/>
    <s v="Filha"/>
    <x v="3"/>
    <s v="AGUARDANDO COMBOIO"/>
    <s v="TREM DE FORCA"/>
    <s v="COMANDO FINAL LD"/>
    <s v="COMANDO FINAL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1.597222221607808E-2"/>
    <n v="0"/>
    <n v="0"/>
    <x v="123"/>
    <d v="2026-04-22T23:33:00"/>
    <x v="0"/>
    <n v="202602003290"/>
    <s v="8001"/>
    <s v="MPNS - Hora Manutenção Preventiva não Sistemática"/>
    <s v="MPNS - AG LUBRIFICACAO"/>
    <s v="Filha"/>
    <x v="3"/>
    <s v="AGUARDANDO COMBOIO"/>
    <s v="TREM DE FORCA"/>
    <s v="COMANDO FINAL LD"/>
    <s v="COMANDO FINAL"/>
    <s v="AVARIA"/>
    <s v="SUBSTITUIR"/>
    <m/>
    <m/>
    <m/>
  </r>
  <r>
    <n v="0"/>
    <m/>
    <m/>
    <m/>
    <m/>
    <m/>
    <m/>
    <m/>
    <m/>
    <m/>
    <m/>
    <n v="0"/>
    <m/>
    <n v="0"/>
    <s v="TREM DE FORÇA"/>
    <x v="1"/>
    <s v="Reparo Programado"/>
    <n v="8.3666666666977108"/>
    <x v="0"/>
    <s v="EXP.MAE"/>
    <s v="NÃO"/>
    <n v="0"/>
    <n v="0"/>
    <n v="0"/>
    <x v="124"/>
    <d v="2026-04-23T08:11:02"/>
    <x v="0"/>
    <m/>
    <s v="7000"/>
    <s v="MPNS - Hora Manutenção Preventiva não Sistemática"/>
    <s v="MPNS - AG LOCOMOCAO"/>
    <s v="Mãe"/>
    <x v="3"/>
    <s v="SUBSTITUIR COMANDO FINAL L/D (MSR: houve alteração no HM, para alinha com gpv)"/>
    <s v="TREM DE FORCA"/>
    <s v="COMANDO FINAL LD"/>
    <s v="COMANDO FINAL"/>
    <s v="VAZAMENTO"/>
    <s v="SUBSTITUIR"/>
    <m/>
    <m/>
    <m/>
  </r>
  <r>
    <n v="0"/>
    <m/>
    <m/>
    <m/>
    <m/>
    <m/>
    <m/>
    <m/>
    <m/>
    <m/>
    <m/>
    <m/>
    <m/>
    <n v="1"/>
    <s v="LOCOMOÇÃO"/>
    <x v="3"/>
    <s v="Man. Pneus"/>
    <n v="5.5777777777402662"/>
    <x v="1"/>
    <s v="NÃO EXP.MAE"/>
    <s v="NÃO"/>
    <n v="0"/>
    <n v="0"/>
    <n v="0"/>
    <x v="125"/>
    <d v="2026-04-23T13:45:42"/>
    <x v="0"/>
    <n v="202601729918"/>
    <s v="9010"/>
    <s v="HMC - Hora de Manutenção Corretiva"/>
    <s v="HMC - EXEC BORRACHARIA"/>
    <s v="Mãe"/>
    <x v="3"/>
    <s v="SUBSTITUIR PNEU TDI -  SUBSTITUIDO PNEU TDI - 202602090259"/>
    <s v="LOCOMOCAO"/>
    <s v="RODA TDI"/>
    <s v="PNEU"/>
    <s v="AVARIA"/>
    <s v="SUBSTITUIR"/>
    <s v="Borracharia"/>
    <s v="Locomocao - Roda Tdi"/>
    <s v="Pneu-Desgaste"/>
  </r>
  <r>
    <n v="0"/>
    <m/>
    <m/>
    <m/>
    <m/>
    <m/>
    <m/>
    <m/>
    <m/>
    <m/>
    <m/>
    <m/>
    <m/>
    <s v=""/>
    <s v=""/>
    <x v="2"/>
    <s v=""/>
    <s v=""/>
    <x v="2"/>
    <s v="NÃO EXP.MAE"/>
    <s v="NÃO"/>
    <n v="0"/>
    <n v="0"/>
    <n v="0"/>
    <x v="126"/>
    <d v="2026-04-23T13:45:42"/>
    <x v="0"/>
    <n v="202601729918"/>
    <s v="9010"/>
    <s v="HMC - Hora de Manutenção Corretiva"/>
    <s v="HMC - EXEC BORRACHARIA"/>
    <s v="Filha"/>
    <x v="3"/>
    <s v="SUBSTITUIR PNEU TDI -  SUBSTITUIDO PNEU TDI - 202602090259"/>
    <s v="LOCOMOCAO"/>
    <s v="RODA TDI"/>
    <s v="PNEU"/>
    <s v="AVARIA"/>
    <s v="SUBSTITUIR"/>
    <m/>
    <m/>
    <m/>
  </r>
  <r>
    <n v="0"/>
    <m/>
    <m/>
    <m/>
    <m/>
    <m/>
    <m/>
    <m/>
    <m/>
    <m/>
    <m/>
    <m/>
    <m/>
    <n v="1"/>
    <s v="LOCOMOÇÃO"/>
    <x v="3"/>
    <s v="Man. Pneus"/>
    <n v="5.9152777777053416"/>
    <x v="1"/>
    <s v="NÃO EXP.MAE"/>
    <s v="NÃO"/>
    <n v="0"/>
    <n v="0"/>
    <n v="0"/>
    <x v="127"/>
    <d v="2026-04-24T22:29:08"/>
    <x v="0"/>
    <n v="202601729918"/>
    <s v="9010"/>
    <s v="HMC - Hora de Manutenção Corretiva"/>
    <s v="HMC - EXEC BORRACHARIA"/>
    <s v="Mãe"/>
    <x v="3"/>
    <s v="TORQUEAR RODA DO PNEU TDI  - 202602112950  TORQUEADO  TODAS AS PORCAS DA RODA TDI. MT:81036838"/>
    <s v="LOCOMOCAO"/>
    <s v="RODA TDI"/>
    <s v="PNEU"/>
    <s v="FOLGA"/>
    <s v="TORQUEAR"/>
    <s v="Borracharia"/>
    <s v="Locomocao - Roda Tdi"/>
    <s v="Pneu-Fixacao"/>
  </r>
  <r>
    <n v="0"/>
    <m/>
    <m/>
    <m/>
    <m/>
    <m/>
    <m/>
    <m/>
    <m/>
    <m/>
    <m/>
    <m/>
    <m/>
    <s v=""/>
    <s v=""/>
    <x v="2"/>
    <s v=""/>
    <s v=""/>
    <x v="2"/>
    <s v="NÃO EXP.MAE"/>
    <s v="NÃO"/>
    <n v="0"/>
    <n v="0"/>
    <n v="0"/>
    <x v="128"/>
    <d v="2026-04-24T22:29:08"/>
    <x v="0"/>
    <n v="202601729918"/>
    <s v="9010"/>
    <s v="HMC - Hora de Manutenção Corretiva"/>
    <s v="HMC - EXEC BORRACHARIA"/>
    <s v="Filha"/>
    <x v="3"/>
    <s v="TORQUEAR RODA DO PNEU TDI  - 202602112950  TORQUEADO  TODAS AS PORCAS DA RODA TDI. MT:81036838"/>
    <s v="LOCOMOCAO"/>
    <s v="RODA TDI"/>
    <s v="PNEU"/>
    <s v="FOLGA"/>
    <s v="TORQUEAR"/>
    <m/>
    <m/>
    <m/>
  </r>
  <r>
    <n v="0"/>
    <m/>
    <m/>
    <m/>
    <m/>
    <m/>
    <m/>
    <m/>
    <m/>
    <m/>
    <m/>
    <m/>
    <m/>
    <n v="1"/>
    <s v="LOCOMOÇÃO"/>
    <x v="1"/>
    <s v="Man. Pneus"/>
    <n v="0.25722222228068858"/>
    <x v="1"/>
    <s v="NÃO EXP.MAE"/>
    <s v="NÃO"/>
    <n v="0"/>
    <n v="0"/>
    <n v="0"/>
    <x v="129"/>
    <d v="2026-04-25T15:30:00"/>
    <x v="0"/>
    <n v="202601729918"/>
    <s v="8010"/>
    <s v="MPNS - Hora Manutenção Preventiva não Sistemática"/>
    <s v="MPNS - EXEC BORRACHARIA"/>
    <s v="Mãe"/>
    <x v="3"/>
    <m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NÃO"/>
    <n v="0"/>
    <n v="0"/>
    <n v="0"/>
    <x v="130"/>
    <d v="2026-04-25T15:30:00"/>
    <x v="0"/>
    <n v="202601729918"/>
    <s v="8010"/>
    <s v="MPNS - Hora Manutenção Preventiva não Sistemática"/>
    <s v="MPNS - EXEC BORRACHARIA"/>
    <s v="Filha"/>
    <x v="3"/>
    <m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ELETRICO"/>
    <x v="3"/>
    <s v="Corretivas"/>
    <n v="6.2119444443960674"/>
    <x v="1"/>
    <s v="NÃO EXP.MAE"/>
    <s v="NÃO"/>
    <n v="0"/>
    <n v="0"/>
    <n v="0"/>
    <x v="131"/>
    <d v="2026-04-25T23:45:26"/>
    <x v="0"/>
    <n v="202601729918"/>
    <s v="9000"/>
    <s v="HMC - Hora de Manutenção Corretiva"/>
    <s v="HMC - EXEC MANUT"/>
    <s v="Mãe"/>
    <x v="3"/>
    <s v="BAIXA PRESSÃO DO ÓLEO DO MOTOR - 202602123195  SUBSTITUIDO 4 BATERIAS, SUBSTITUIDO 2 CABOS JUMPS E REALIZADO A CORREÇÃO DA CFM  MT:1150266"/>
    <s v="ELETRICO"/>
    <s v="BATERIA"/>
    <s v="BATERIA"/>
    <s v="AVARIA"/>
    <s v="SUBSTITUIR"/>
    <s v="Elétrica"/>
    <s v="Eletrico - Bateria"/>
    <s v="Bateria"/>
  </r>
  <r>
    <n v="0"/>
    <m/>
    <m/>
    <m/>
    <m/>
    <m/>
    <m/>
    <m/>
    <m/>
    <m/>
    <m/>
    <m/>
    <m/>
    <n v="0"/>
    <s v="COMBATE INCENDIO"/>
    <x v="3"/>
    <s v="Acessórios"/>
    <n v="3.3338888888829388"/>
    <x v="0"/>
    <s v="EXP.MAE"/>
    <s v="NÃO"/>
    <n v="0"/>
    <n v="0"/>
    <n v="0"/>
    <x v="132"/>
    <d v="2026-04-26T03:05:28"/>
    <x v="0"/>
    <n v="202601729918"/>
    <s v="9032"/>
    <s v="HMC - Hora de Manutenção Corretiva"/>
    <s v="HMC - EXEC TERCEIROS TRABALHANDO"/>
    <s v="Mãe"/>
    <x v="3"/>
    <s v="FALHA NO AFEX - 202602124803  REPOSICIONADO CABO DE ALIMENTAÇÃO AFEX MT:1053"/>
    <s v="SISTEMA AFEX"/>
    <s v="COMBATE INCENDIO"/>
    <s v="CABO/FIACAO"/>
    <s v="POSICAO"/>
    <s v="REPOSCIONAR"/>
    <s v="Elétrica"/>
    <s v="Combate Incendio - Acionamento Automatico"/>
    <s v="Cabo/Fiacao"/>
  </r>
  <r>
    <n v="0"/>
    <m/>
    <m/>
    <m/>
    <m/>
    <m/>
    <m/>
    <m/>
    <m/>
    <m/>
    <m/>
    <m/>
    <m/>
    <n v="1"/>
    <s v="MOTOR DE COMBUSTÃO"/>
    <x v="3"/>
    <s v="Corretivas"/>
    <n v="30.640000000130385"/>
    <x v="1"/>
    <s v="NÃO EXP.MAE"/>
    <s v="NÃO"/>
    <n v="0"/>
    <n v="0"/>
    <n v="0"/>
    <x v="133"/>
    <d v="2026-04-30T04:18:30"/>
    <x v="0"/>
    <n v="202601729918"/>
    <s v="9000"/>
    <s v="HMC - Hora de Manutenção Corretiva"/>
    <s v="HMC - EXEC MANUT"/>
    <s v="Mãe"/>
    <x v="3"/>
    <s v="VAZAMENTO DO LIQUIDO ARREFECEDOR ROMPIDA 202602199325  REALIZADO SOLDA NO TUBO DE ARREFECIMENTO mt: 1150588"/>
    <s v="MOTOR DE COMBUSTAO"/>
    <s v="ARREFECIMENTO"/>
    <s v="MANGUEIRA"/>
    <s v="AVARIA"/>
    <s v="SOLDAR"/>
    <s v="Mecânica"/>
    <s v="Arrefecimento - Duto Admissao"/>
    <s v="Tubo-Trinca"/>
  </r>
  <r>
    <n v="0"/>
    <m/>
    <m/>
    <m/>
    <m/>
    <m/>
    <m/>
    <m/>
    <m/>
    <m/>
    <m/>
    <m/>
    <m/>
    <n v="1"/>
    <s v="TREM DE FORÇA"/>
    <x v="4"/>
    <s v="Reparo Programado"/>
    <n v="0.71388888882938772"/>
    <x v="0"/>
    <s v="EXP.MAE"/>
    <s v="NÃO"/>
    <n v="0"/>
    <n v="0"/>
    <n v="0"/>
    <x v="134"/>
    <d v="2026-05-02T02:37:48"/>
    <x v="0"/>
    <m/>
    <s v="7116"/>
    <s v="MPS - Hora Manutenção Preventiva Sistemática"/>
    <s v="MPS - AG LOCOMOCAO"/>
    <s v="Mãe"/>
    <x v="4"/>
    <s v="TM_3- BAIXO NIVEL DO ÓLEO TRANSMISSÃO "/>
    <s v="TREM DE FORCA"/>
    <s v="TRANSMISSAO"/>
    <s v="OLEO"/>
    <s v="BAIXO NIVEL"/>
    <s v="COMPLETAR"/>
    <m/>
    <m/>
    <m/>
  </r>
  <r>
    <n v="0"/>
    <m/>
    <m/>
    <m/>
    <m/>
    <m/>
    <m/>
    <m/>
    <m/>
    <m/>
    <m/>
    <m/>
    <s v="NÃO"/>
    <n v="1"/>
    <s v="REVISÃO PREVENTIVA"/>
    <x v="4"/>
    <s v="Preventivas"/>
    <n v="2.0180555556435138"/>
    <x v="1"/>
    <s v="NÃO EXP.MAE"/>
    <s v="NÃO"/>
    <n v="0"/>
    <n v="0"/>
    <n v="0"/>
    <x v="135"/>
    <d v="2026-05-02T04:43:55"/>
    <x v="0"/>
    <m/>
    <s v="7116"/>
    <s v="MPS - Hora Manutenção Preventiva Sistemática"/>
    <s v="MPS - AG LOCOMOCAO"/>
    <s v="Mãe"/>
    <x v="4"/>
    <s v="PM 1000h + 22 BLs"/>
    <s v="PREVENTIVA"/>
    <s v="1000 HORAS"/>
    <m/>
    <m/>
    <m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4.2418981487571727E-2"/>
    <n v="0"/>
    <n v="0"/>
    <x v="136"/>
    <d v="2026-05-02T04:43:55"/>
    <x v="0"/>
    <m/>
    <s v="7116"/>
    <s v="MPS - Hora Manutenção Preventiva Sistemática"/>
    <s v="MPS - AG LOCOMOCAO"/>
    <s v="Filha"/>
    <x v="4"/>
    <s v="DESVIO AG LOCOMOCAO &gt;1H"/>
    <s v="PREVENTIVA"/>
    <s v="10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4.2680555554688908"/>
    <x v="0"/>
    <s v="EXP.MAE"/>
    <s v="NÃO"/>
    <n v="0"/>
    <n v="0"/>
    <n v="0"/>
    <x v="137"/>
    <d v="2026-05-02T09:00:00"/>
    <x v="0"/>
    <m/>
    <s v="7111"/>
    <s v="MPS - Hora Manutenção Preventiva Sistemática"/>
    <s v="MPS - AG LAVADOR"/>
    <s v="Mãe"/>
    <x v="4"/>
    <s v="PM 1000h + 22 BLs"/>
    <s v="PREVENTIVA"/>
    <s v="10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5.1747222222620621"/>
    <x v="1"/>
    <s v="NÃO EXP.MAE"/>
    <s v="NÃO"/>
    <n v="0"/>
    <n v="0"/>
    <n v="0"/>
    <x v="138"/>
    <d v="2026-05-02T14:10:29"/>
    <x v="0"/>
    <m/>
    <s v="7011"/>
    <s v="MPS - Hora Manutenção Preventiva Sistemática"/>
    <s v="MPS - EXEC LAVADOR"/>
    <s v="Mãe"/>
    <x v="4"/>
    <s v="PM 1000h + 22 BLs"/>
    <s v="PREVENTIVA"/>
    <s v="1000 HORAS"/>
    <m/>
    <m/>
    <m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4.8946759263344575E-2"/>
    <n v="0"/>
    <n v="0"/>
    <x v="139"/>
    <d v="2026-05-02T14:10:29"/>
    <x v="0"/>
    <m/>
    <s v="7011"/>
    <s v="MPS - Hora Manutenção Preventiva Sistemática"/>
    <s v="MPS - EXEC LAVADOR"/>
    <s v="Filha"/>
    <x v="4"/>
    <s v="DESVIO EXEC LAVADOR &gt; 4H"/>
    <s v="PREVENTIVA"/>
    <s v="1000 HORAS"/>
    <m/>
    <m/>
    <m/>
    <m/>
    <m/>
    <m/>
  </r>
  <r>
    <n v="0"/>
    <m/>
    <m/>
    <m/>
    <m/>
    <m/>
    <m/>
    <m/>
    <m/>
    <m/>
    <m/>
    <n v="0"/>
    <m/>
    <n v="0"/>
    <s v="REVISÃO PREVENTIVA"/>
    <x v="4"/>
    <s v="Preventivas"/>
    <n v="27.674722222262062"/>
    <x v="1"/>
    <s v="NÃO EXP.MAE"/>
    <s v="NÃO"/>
    <n v="0"/>
    <n v="0"/>
    <n v="0"/>
    <x v="140"/>
    <d v="2026-05-03T17:50:58"/>
    <x v="0"/>
    <m/>
    <s v="7000"/>
    <s v="MPS - Hora Manutenção Preventiva Sistemática"/>
    <s v="MPS - EXEC MANUT"/>
    <s v="Mãe"/>
    <x v="4"/>
    <s v="PM 1000h + 22 BLs"/>
    <s v="PREVENTIVA"/>
    <s v="1000 HORAS"/>
    <m/>
    <m/>
    <m/>
    <m/>
    <m/>
    <m/>
  </r>
  <r>
    <n v="0"/>
    <m/>
    <m/>
    <m/>
    <m/>
    <m/>
    <m/>
    <m/>
    <m/>
    <m/>
    <m/>
    <m/>
    <m/>
    <n v="1"/>
    <s v="ELETRICO"/>
    <x v="3"/>
    <s v="Corretivas"/>
    <n v="1.058888888801448"/>
    <x v="1"/>
    <s v="NÃO EXP.MAE"/>
    <s v="NÃO"/>
    <n v="0"/>
    <n v="0"/>
    <n v="0"/>
    <x v="141"/>
    <d v="2026-05-03T21:01:04"/>
    <x v="0"/>
    <s v="202602259754"/>
    <s v="9000"/>
    <s v="HMC - Hora de Manutenção Corretiva"/>
    <s v="HMC - EXEC MANUT"/>
    <s v="Mãe"/>
    <x v="4"/>
    <s v="202602259754- FALHA NA SELETORA DE MARCHA. REALIZADO LIMPEZA NO CONECTOR DOS SOLENOIDES DA TRANSMISSÃO"/>
    <s v="ELETRICO"/>
    <s v="TRANSMISSAO"/>
    <s v="SOLENOIDE"/>
    <s v="SUJEIRA"/>
    <s v="LIMPAR"/>
    <s v="Elétrica"/>
    <s v="Eletrico - Transmissao Forca"/>
    <s v="Valvula Solen Marcha Acima-Ajuste"/>
  </r>
  <r>
    <n v="0"/>
    <m/>
    <m/>
    <m/>
    <m/>
    <m/>
    <m/>
    <m/>
    <m/>
    <m/>
    <m/>
    <m/>
    <m/>
    <n v="1"/>
    <s v="COMUNICACAO"/>
    <x v="3"/>
    <s v="Acessórios"/>
    <n v="0.8036111110704951"/>
    <x v="0"/>
    <s v="EXP.MAE"/>
    <s v="NÃO"/>
    <n v="0"/>
    <n v="0"/>
    <n v="0"/>
    <x v="142"/>
    <d v="2026-05-04T04:13:12"/>
    <x v="0"/>
    <s v="202602265613"/>
    <s v="9032"/>
    <s v="HMC - Hora de Manutenção Corretiva"/>
    <s v="HMC - EXEC TERCEIROS TRABALHANDO"/>
    <s v="Mãe"/>
    <x v="4"/>
    <s v="202602265613- SEM COMUNICAÇÃO- RECONECTADO CABO QUE ESTAVA SOLTO"/>
    <s v="COMUNICACAO"/>
    <s v="COMUNICACAO"/>
    <s v="CABO/FIACAO"/>
    <s v="POSICAO"/>
    <s v="REPOSCIONAR"/>
    <s v="Automação"/>
    <s v="Rádio Lte - Cabo Danificado"/>
    <s v="Rádio - Travado"/>
  </r>
  <r>
    <n v="0"/>
    <m/>
    <m/>
    <m/>
    <m/>
    <m/>
    <m/>
    <m/>
    <m/>
    <m/>
    <m/>
    <m/>
    <m/>
    <n v="1"/>
    <s v="ELETRICO"/>
    <x v="3"/>
    <s v="Corretivas"/>
    <n v="2.032777777814772"/>
    <x v="1"/>
    <s v="NÃO EXP.MAE"/>
    <s v="NÃO"/>
    <n v="0"/>
    <n v="0"/>
    <n v="0"/>
    <x v="143"/>
    <d v="2026-05-05T15:20:32"/>
    <x v="0"/>
    <n v="202602293276"/>
    <s v="9000"/>
    <s v="HMC - Hora de Manutenção Corretiva"/>
    <s v="HMC - EXEC MANUT"/>
    <s v="Mãe"/>
    <x v="4"/>
    <s v="FALHA NA CAMERA FRONTAL -  REALIZADA TROCA DA CÂMERA FRONTAL - 202602293276"/>
    <s v="ELETRICO"/>
    <s v="SISTEMA DE CAMERA"/>
    <s v="DISPLAY DAS CAMERAS"/>
    <s v="COMUNICACAO"/>
    <s v="SUBSTITUIR"/>
    <m/>
    <m/>
    <m/>
  </r>
  <r>
    <n v="0"/>
    <m/>
    <m/>
    <m/>
    <m/>
    <m/>
    <m/>
    <m/>
    <m/>
    <m/>
    <m/>
    <m/>
    <m/>
    <n v="1"/>
    <s v="ELEVAÇÃO"/>
    <x v="3"/>
    <s v="Corretivas"/>
    <n v="3.222222222131677"/>
    <x v="1"/>
    <s v="NÃO EXP.MAE"/>
    <s v="NÃO"/>
    <n v="0"/>
    <n v="0"/>
    <n v="0"/>
    <x v="144"/>
    <d v="2026-05-06T08:26:57"/>
    <x v="0"/>
    <s v="202602316018"/>
    <s v="9000"/>
    <s v="HMC - Hora de Manutenção Corretiva"/>
    <s v="HMC - EXEC MANUT"/>
    <s v="Mãe"/>
    <x v="4"/>
    <s v="BASCULA BATENDO SEPADO -AJUSTADO SENSOR DE POSIÇÃO DA BASCULA E COMPLETADO 60L DE ÓLEO HIDRAULICO  202602316018"/>
    <s v="ELEVACAO"/>
    <s v="MONITORAMENTO"/>
    <s v="ALARME BASCULA ALTA"/>
    <s v="AJUSTE NO SENSOR"/>
    <s v="AJUSTAR"/>
    <s v="Mecânica"/>
    <s v="Estrutura - Bascula"/>
    <s v="Bascula-Ajuste"/>
  </r>
  <r>
    <n v="0"/>
    <m/>
    <m/>
    <m/>
    <m/>
    <m/>
    <m/>
    <m/>
    <m/>
    <m/>
    <m/>
    <m/>
    <m/>
    <n v="1"/>
    <s v="TREM DE FORÇA"/>
    <x v="3"/>
    <s v="Corretivas"/>
    <n v="0.81749999988824129"/>
    <x v="1"/>
    <s v="NÃO EXP.MAE"/>
    <s v="NÃO"/>
    <n v="0"/>
    <n v="0"/>
    <n v="0"/>
    <x v="145"/>
    <d v="2026-05-10T05:43:24"/>
    <x v="0"/>
    <s v="202602385980"/>
    <s v="9000"/>
    <s v="HMC - Hora de Manutenção Corretiva"/>
    <s v="HMC - EXEC MANUT"/>
    <s v="Mãe"/>
    <x v="4"/>
    <s v="BAIXO NIVEL DE OLEO DA TRANSMISSÃO - COMPLETAR NIVEL DO ÓLEO DA TRANSMISSÃO E VERIFICAR DEMAIS NÍVEIS - 202602385980"/>
    <s v="TREM DE FORCA"/>
    <s v="TRANSMISSAO"/>
    <s v="OLEO"/>
    <s v="BAIXO NIVEL"/>
    <s v="COMPLETAR"/>
    <s v="Mecânica"/>
    <s v="Transmis Forca - Tanque"/>
    <s v="Oleo-Nivel Baixo"/>
  </r>
  <r>
    <n v="0"/>
    <m/>
    <m/>
    <m/>
    <m/>
    <m/>
    <m/>
    <m/>
    <m/>
    <m/>
    <m/>
    <m/>
    <m/>
    <n v="1"/>
    <s v="ELETRICO"/>
    <x v="3"/>
    <s v="Corretivas"/>
    <n v="4.091944444400724"/>
    <x v="1"/>
    <s v="NÃO EXP.MAE"/>
    <s v="NÃO"/>
    <n v="0"/>
    <n v="0"/>
    <n v="0"/>
    <x v="146"/>
    <d v="2026-05-12T05:47:26"/>
    <x v="0"/>
    <s v="202602413250"/>
    <s v="9000"/>
    <s v="HMC - Hora de Manutenção Corretiva"/>
    <s v="HMC - EXEC MANUT"/>
    <s v="Mãe"/>
    <x v="4"/>
    <s v="Falha na partida -202602413250  SUBSTITUIDO 1 BATERIA  MT: 1150588"/>
    <s v="ELETRICO"/>
    <s v="BATERIA"/>
    <s v="BATERIA"/>
    <s v="AVARIA"/>
    <s v="SUBSTITUIR"/>
    <s v="Mecânica"/>
    <s v="Motor Combustao - Pneumatico"/>
    <s v="Motor de Partida Pneumatico"/>
  </r>
  <r>
    <n v="0"/>
    <m/>
    <m/>
    <m/>
    <m/>
    <m/>
    <m/>
    <m/>
    <m/>
    <m/>
    <m/>
    <m/>
    <m/>
    <n v="1"/>
    <s v="ELETRICO"/>
    <x v="3"/>
    <s v="Corretivas"/>
    <n v="4.1452777778031304"/>
    <x v="1"/>
    <s v="NÃO EXP.MAE"/>
    <s v="NÃO"/>
    <n v="0"/>
    <n v="0"/>
    <n v="0"/>
    <x v="147"/>
    <d v="2026-05-13T20:37:06"/>
    <x v="0"/>
    <s v="202602460528"/>
    <s v="9000"/>
    <s v="HMC - Hora de Manutenção Corretiva"/>
    <s v="HMC - EXEC MANUT"/>
    <s v="Mãe"/>
    <x v="4"/>
    <s v="BAIXA PRESSÃO DO ÓLEO DO MOTOR - 202602460528  SUBSTITUIDO SENSOR DE ENTRADA MT:1150588"/>
    <s v="ELETRICO"/>
    <s v="MOTOR DE COMBUSTAO"/>
    <s v="SENSOR DE ENTRADA SCF"/>
    <s v="MAU CONTATO"/>
    <s v="CORRIGIR"/>
    <s v="Elétrica"/>
    <s v="Eletrico - Motor Combustao"/>
    <s v="Sensor de Pressao de Ole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6.3622685185691807E-2"/>
    <n v="0"/>
    <n v="0"/>
    <x v="147"/>
    <d v="2026-05-13T18:00:00"/>
    <x v="0"/>
    <s v="202602460528"/>
    <s v="9000"/>
    <s v="HMC - Hora de Manutenção Corretiva"/>
    <s v="HMC - AG DETONACAO"/>
    <s v="Filha"/>
    <x v="4"/>
    <s v="AGUARDANDO DETONAÇÃO"/>
    <s v="ELETRICO"/>
    <s v="MOTOR DE COMBUSTAO"/>
    <s v="SENSOR DE ENTRADA SCF"/>
    <s v="MAU CONTATO"/>
    <s v="CORRIGIR"/>
    <m/>
    <m/>
    <m/>
  </r>
  <r>
    <n v="0"/>
    <m/>
    <m/>
    <m/>
    <m/>
    <m/>
    <m/>
    <m/>
    <m/>
    <m/>
    <m/>
    <m/>
    <m/>
    <n v="1"/>
    <s v="COMUNICACAO"/>
    <x v="3"/>
    <s v="Acessórios"/>
    <n v="0.76749999989988282"/>
    <x v="0"/>
    <s v="EXP.MAE"/>
    <s v="NÃO"/>
    <n v="0"/>
    <n v="0"/>
    <n v="0"/>
    <x v="148"/>
    <d v="2026-05-15T02:13:09"/>
    <x v="0"/>
    <s v="202602483400"/>
    <s v="9032"/>
    <s v="HMC - Hora de Manutenção Corretiva"/>
    <s v="HMC - EXEC TERCEIROS TRABALHANDO"/>
    <s v="Mãe"/>
    <x v="4"/>
    <s v="NORMALIZAR DISPLAY - 202602483400"/>
    <s v="COMUNICACAO"/>
    <s v="COMUNICACAO"/>
    <s v="CABO/FIACAO"/>
    <s v="FALHA"/>
    <s v="SUBSTITUIR"/>
    <s v="Elétrica"/>
    <s v="Comunicacao - Despacho"/>
    <s v="Cabo-Isolacao"/>
  </r>
  <r>
    <n v="0"/>
    <m/>
    <m/>
    <m/>
    <m/>
    <m/>
    <m/>
    <m/>
    <m/>
    <m/>
    <m/>
    <m/>
    <m/>
    <n v="1"/>
    <s v="REVISÃO PREVENTIVA"/>
    <x v="4"/>
    <s v="Preventivas"/>
    <n v="3.9155555554898456"/>
    <x v="1"/>
    <s v="NÃO EXP.MAE"/>
    <s v="NÃO"/>
    <n v="0"/>
    <n v="0"/>
    <n v="0"/>
    <x v="149"/>
    <d v="2026-05-17T18:09:53"/>
    <x v="0"/>
    <m/>
    <s v="7000"/>
    <s v="MPS - Hora Manutenção Preventiva Sistemática"/>
    <s v="MPS - EXEC MANUT"/>
    <s v="Mãe"/>
    <x v="4"/>
    <s v="FALHA NA CAMERA - SEM ATUAÇÃO -ALTERAÇÃO DE CODIGO P/ PREVENTIVA - #MSR: PM 250hs + 7 BLs"/>
    <s v="PREVENTIVA"/>
    <s v="PITSTOP"/>
    <m/>
    <m/>
    <m/>
    <m/>
    <m/>
    <m/>
  </r>
  <r>
    <n v="0"/>
    <m/>
    <m/>
    <m/>
    <m/>
    <m/>
    <m/>
    <m/>
    <m/>
    <m/>
    <m/>
    <m/>
    <m/>
    <n v="1"/>
    <s v="AR CONDICIONADO"/>
    <x v="3"/>
    <s v="Corretivas"/>
    <n v="0.81111111107748002"/>
    <x v="1"/>
    <s v="NÃO EXP.MAE"/>
    <s v="NÃO"/>
    <n v="0"/>
    <n v="0"/>
    <n v="0"/>
    <x v="150"/>
    <d v="2026-05-18T17:15:40"/>
    <x v="0"/>
    <n v="202602550814"/>
    <s v="9000"/>
    <s v="HMC - Hora de Manutenção Corretiva"/>
    <s v="HMC - EXEC MANUT"/>
    <s v="Mãe"/>
    <x v="4"/>
    <s v="202602550814 - FALHA NO AR CONDICIONADO- FIXADO FUSIVEL DE ALIMENTAÇÃO DO COMPRESSOR DO A/C"/>
    <s v="AR CONDICIONADO"/>
    <s v="PAINEL"/>
    <s v="FUSIVEL"/>
    <s v="MAU CONTATO"/>
    <s v="FIXAR"/>
    <m/>
    <m/>
    <m/>
  </r>
  <r>
    <n v="0"/>
    <m/>
    <m/>
    <m/>
    <m/>
    <m/>
    <m/>
    <m/>
    <m/>
    <m/>
    <m/>
    <m/>
    <m/>
    <n v="1"/>
    <s v="INSPEÇÃO SENSITIVA"/>
    <x v="4"/>
    <s v="Inspeção"/>
    <n v="0.95555555541068316"/>
    <x v="1"/>
    <s v="NÃO EXP.MAE"/>
    <s v="NÃO"/>
    <n v="0"/>
    <n v="0"/>
    <n v="0"/>
    <x v="151"/>
    <d v="2026-05-21T13:43:31"/>
    <x v="0"/>
    <m/>
    <s v="7005"/>
    <s v="MPS - Hora Manutenção Preventiva Sistemática"/>
    <s v="MPS-EXEC INSP MECANICA"/>
    <s v="Mãe"/>
    <x v="4"/>
    <s v="MACHINE GEN Atraso iniciado: Refeicao"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MOTOR DE COMBUSTÃO"/>
    <x v="3"/>
    <s v="Corretivas"/>
    <n v="10.995277777779847"/>
    <x v="1"/>
    <s v="NÃO EXP.MAE"/>
    <s v="NÃO"/>
    <n v="0"/>
    <n v="0"/>
    <n v="0"/>
    <x v="152"/>
    <d v="2026-05-22T16:59:43"/>
    <x v="0"/>
    <s v="202602628659"/>
    <s v="9000"/>
    <s v="HMC - Hora de Manutenção Corretiva"/>
    <s v="HMC - EXEC MANUT"/>
    <s v="Mãe"/>
    <x v="4"/>
    <s v="VAZAMENTO DO LIQUIDO ARREFECEDOR - SUBSTITUÍDO MANGOTES DO ELC E UMA MANGUEIRA DO SISTEMA DE RETORNO DE FREIO - 202602628659"/>
    <s v="MOTOR DE COMBUSTAO"/>
    <s v="ARREFECIMENTO"/>
    <s v="MANGOTE"/>
    <s v="AVARIA"/>
    <s v="SUBSTITUIR"/>
    <s v="Mecânica"/>
    <s v="Motor Combustao - Arrefecimento"/>
    <s v="Mangote-Rompimento"/>
  </r>
  <r>
    <n v="0"/>
    <m/>
    <m/>
    <m/>
    <m/>
    <m/>
    <m/>
    <m/>
    <m/>
    <m/>
    <m/>
    <m/>
    <m/>
    <n v="1"/>
    <s v="TREM DE FORÇA"/>
    <x v="3"/>
    <s v="Corretivas"/>
    <n v="1.0719444444403052"/>
    <x v="1"/>
    <s v="NÃO EXP.MAE"/>
    <s v="NÃO"/>
    <n v="0"/>
    <n v="0"/>
    <n v="0"/>
    <x v="153"/>
    <d v="2026-05-22T20:08:21"/>
    <x v="0"/>
    <s v="202602636739"/>
    <s v="9000"/>
    <s v="HMC - Hora de Manutenção Corretiva"/>
    <s v="HMC - EXEC MANUT"/>
    <s v="Mãe"/>
    <x v="4"/>
    <s v="BAIXO NIVEL DO OLEO DA TRANSMISSÃO - COMPLETAR NIVEL DO OLEO DA TRANSMISSÃO E VERIFICAR DEMAIS NÍVEIS - 202602636739"/>
    <s v="TREM DE FORCA"/>
    <s v="LUBRIFICACAO"/>
    <s v="OLEO"/>
    <s v="NIVEL"/>
    <s v="COMPLETAR"/>
    <s v="Mecânica"/>
    <s v="Transmissao - Lubrificacao"/>
    <s v="Oleo"/>
  </r>
  <r>
    <n v="0"/>
    <m/>
    <m/>
    <m/>
    <m/>
    <m/>
    <m/>
    <m/>
    <m/>
    <m/>
    <m/>
    <m/>
    <m/>
    <n v="1"/>
    <s v="ELETRICO"/>
    <x v="3"/>
    <s v="Corretivas"/>
    <n v="4.6966666667140089"/>
    <x v="1"/>
    <s v="NÃO EXP.MAE"/>
    <s v="NÃO"/>
    <n v="0"/>
    <n v="0"/>
    <n v="0"/>
    <x v="154"/>
    <d v="2026-05-26T00:26:19"/>
    <x v="0"/>
    <s v="202602679882"/>
    <s v="9000"/>
    <s v="HMC - Hora de Manutenção Corretiva"/>
    <s v="HMC - EXEC MANUT"/>
    <s v="Mãe"/>
    <x v="4"/>
    <s v="FALHA NA PARTIDA DO MOTOR-202602679882  REALIZADO A TROCA DE 1 BATERIA E DO CABO MT:1150217"/>
    <s v="ELETRICO"/>
    <s v="BATERIA"/>
    <s v="BATERIA"/>
    <s v="AVARIA"/>
    <s v="SUBSTITUIR"/>
    <s v="Elétrica"/>
    <s v="Eletrico - Bateria"/>
    <s v="Bateria"/>
  </r>
  <r>
    <n v="0"/>
    <m/>
    <m/>
    <m/>
    <m/>
    <m/>
    <m/>
    <m/>
    <m/>
    <m/>
    <m/>
    <m/>
    <m/>
    <n v="1"/>
    <s v="SISTEMA ALERTA DE PROXIMIDADE"/>
    <x v="3"/>
    <s v="Acessórios"/>
    <n v="1.8833333333604969"/>
    <x v="0"/>
    <s v="EXP.MAE"/>
    <s v="NÃO"/>
    <n v="0"/>
    <n v="0"/>
    <n v="0"/>
    <x v="155"/>
    <d v="2026-05-26T20:52:44"/>
    <x v="0"/>
    <s v="202602697038"/>
    <s v="9032"/>
    <s v="HMC - Hora de Manutenção Corretiva"/>
    <s v="HMC - EXEC TERCEIROS TRABALHANDO"/>
    <s v="Mãe"/>
    <x v="4"/>
    <s v="FALHA NO HEXAGON - CORRIGIR FALHA DE ALIMENTAÇÃO NO HEXAGON - 202602697038"/>
    <s v="SISTEMA ALERTA DE PROXIMIDADE"/>
    <s v="HEXAGON"/>
    <s v="CABO/FIACAO"/>
    <s v="FALHA"/>
    <s v="CORRIGIR"/>
    <s v="Elétrica"/>
    <s v="Comunicacao - Comunicacao Externa"/>
    <s v="Cabo-Isolacao"/>
  </r>
  <r>
    <n v="0"/>
    <m/>
    <m/>
    <m/>
    <m/>
    <m/>
    <m/>
    <m/>
    <m/>
    <m/>
    <m/>
    <m/>
    <m/>
    <n v="1"/>
    <s v="ELETRICO"/>
    <x v="3"/>
    <s v="Corretivas"/>
    <n v="0.76000000006752089"/>
    <x v="1"/>
    <s v="NÃO EXP.MAE"/>
    <s v="NÃO"/>
    <n v="0"/>
    <n v="0"/>
    <n v="0"/>
    <x v="156"/>
    <d v="2026-05-26T23:09:27"/>
    <x v="0"/>
    <s v="202602697904"/>
    <s v="9000"/>
    <s v="HMC - Hora de Manutenção Corretiva"/>
    <s v="HMC - EXEC MANUT"/>
    <s v="Mãe"/>
    <x v="4"/>
    <s v="FALHA NA PARTIDA - REPOSICIONAR TERMINAL POSITIVO DO BORNE DA BATERIA - 202602697904"/>
    <s v="ELETRICO"/>
    <s v="MOTOR DE COMBUSTAO"/>
    <s v="BATERIA"/>
    <s v="MAU CONTATO"/>
    <s v="CORRIGIR"/>
    <s v="Elétrica"/>
    <s v="Eletrico - Bateria"/>
    <s v="Cabo/fiação/Mau contato"/>
  </r>
  <r>
    <n v="0"/>
    <m/>
    <m/>
    <m/>
    <m/>
    <m/>
    <m/>
    <m/>
    <m/>
    <m/>
    <m/>
    <m/>
    <m/>
    <n v="1"/>
    <s v="INSPEÇÃO SENSITIVA"/>
    <x v="4"/>
    <s v="Inspeção"/>
    <n v="1.4802777777076699"/>
    <x v="1"/>
    <s v="NÃO EXP.MAE"/>
    <s v="NÃO"/>
    <n v="0"/>
    <n v="0"/>
    <n v="0"/>
    <x v="157"/>
    <d v="2026-05-27T13:52:37"/>
    <x v="0"/>
    <m/>
    <s v="7005"/>
    <s v="MPS - Hora Manutenção Preventiva Sistemática"/>
    <s v="MPS-EXEC INSP MECANICA"/>
    <s v="Mãe"/>
    <x v="4"/>
    <m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MOTOR DE COMBUSTÃO"/>
    <x v="3"/>
    <s v="Corretivas"/>
    <n v="8.8222222222248092"/>
    <x v="1"/>
    <s v="NÃO EXP.MAE"/>
    <s v="NÃO"/>
    <n v="0"/>
    <n v="0"/>
    <n v="0"/>
    <x v="158"/>
    <d v="2026-05-29T22:18:57"/>
    <x v="0"/>
    <s v="202602763564"/>
    <s v="9000"/>
    <s v="HMC - Hora de Manutenção Corretiva"/>
    <s v="HMC - EXEC MANUT"/>
    <s v="Mãe"/>
    <x v="4"/>
    <s v="VAZAMENTO DE ÓLEO HIDRAÚLICO.  202602763564 REALIZADO LUBRIFICAÇAÕ NO  ROLAMENTO DO GIRO DO GRIPPER  MT:1150588"/>
    <s v="MOTOR DE COMBUSTAO"/>
    <s v="LUBRIFICACAO"/>
    <s v="OLEO"/>
    <s v="VAZAMENTO"/>
    <s v="REPARAR"/>
    <s v="Mecânica"/>
    <s v="Motor Combustao - Lubrificacao"/>
    <s v="Oleo"/>
  </r>
  <r>
    <n v="0"/>
    <m/>
    <m/>
    <m/>
    <m/>
    <m/>
    <m/>
    <m/>
    <m/>
    <m/>
    <m/>
    <m/>
    <m/>
    <n v="1"/>
    <s v="SISTEMA ALERTA DE PROXIMIDADE"/>
    <x v="3"/>
    <s v="Acessórios"/>
    <n v="1.5047222222783603"/>
    <x v="0"/>
    <s v="EXP.MAE"/>
    <s v="NÃO"/>
    <n v="0"/>
    <n v="0"/>
    <n v="0"/>
    <x v="159"/>
    <d v="2026-05-30T20:11:14"/>
    <x v="0"/>
    <s v="202602777289"/>
    <s v="9032"/>
    <s v="HMC - Hora de Manutenção Corretiva"/>
    <s v="HMC - EXEC TERCEIROS TRABALHANDO"/>
    <s v="Mãe"/>
    <x v="4"/>
    <s v="FALHA NO HEXAGON  202602777289  REALIZADO  REAPERTO NAS CONEXÃO DE ALIMENTAÇÃO  MT:938"/>
    <s v="SISTEMA ALERTA DE PROXIMIDADE"/>
    <s v="HEXAGON"/>
    <s v="CONECTOR"/>
    <s v="FIXACAO"/>
    <s v="FIXAR"/>
    <s v="Automação"/>
    <s v="Rádio Lte - Fonte Queimada"/>
    <s v="Rádio - Sem Alimentação"/>
  </r>
  <r>
    <n v="0"/>
    <m/>
    <m/>
    <m/>
    <m/>
    <m/>
    <m/>
    <m/>
    <m/>
    <m/>
    <m/>
    <m/>
    <m/>
    <n v="1"/>
    <s v="SISTEMA ALERTA DE PROXIMIDADE"/>
    <x v="3"/>
    <s v="Acessórios"/>
    <n v="0.28111111116595566"/>
    <x v="0"/>
    <s v="EXP.MAE"/>
    <s v="NÃO"/>
    <n v="0"/>
    <n v="0"/>
    <n v="0"/>
    <x v="160"/>
    <d v="2026-05-31T00:15:47"/>
    <x v="0"/>
    <s v="202602777289"/>
    <s v="9032"/>
    <s v="HMC - Hora de Manutenção Corretiva"/>
    <s v="HMC - EXEC TERCEIROS TRABALHANDO"/>
    <s v="Mãe"/>
    <x v="4"/>
    <s v="FALHA NO HEXAGOM   202602777289 REALIZADO A TROCA DO DISPLAY MT:938"/>
    <s v="SISTEMA ALERTA DE PROXIMIDADE"/>
    <s v="HEXAGON"/>
    <s v="DISPLAY"/>
    <s v="FALHA"/>
    <s v="SUBSTITUIR"/>
    <s v="Automação"/>
    <s v="Despacho - Configuração Errada"/>
    <s v="Display - Falha Comunicação"/>
  </r>
  <r>
    <n v="0"/>
    <m/>
    <m/>
    <m/>
    <m/>
    <m/>
    <m/>
    <m/>
    <m/>
    <m/>
    <m/>
    <m/>
    <m/>
    <n v="1"/>
    <s v="LOCOMOÇÃO"/>
    <x v="1"/>
    <s v="Man. Pneus"/>
    <n v="0.4644444445730187"/>
    <x v="1"/>
    <s v="NÃO EXP.MAE"/>
    <s v="NÃO"/>
    <n v="0"/>
    <n v="0"/>
    <n v="0"/>
    <x v="161"/>
    <d v="2026-05-31T16:20:12"/>
    <x v="0"/>
    <m/>
    <s v="8010"/>
    <s v="MPNS - Hora Manutenção Preventiva não Sistemática"/>
    <s v="MPNS - EXEC BORRACHARIA"/>
    <s v="Mãe"/>
    <x v="4"/>
    <m/>
    <s v="LOCOMOCAO"/>
    <s v="LOCOMOCAO"/>
    <s v="LOCOMOCAO"/>
    <s v="LOCOMOCAO"/>
    <s v="LOCOMOCAO"/>
    <m/>
    <m/>
    <m/>
  </r>
  <r>
    <n v="0"/>
    <m/>
    <m/>
    <m/>
    <m/>
    <m/>
    <m/>
    <m/>
    <s v="MPS - Hora Manutenção Preventiva Sistemática"/>
    <m/>
    <m/>
    <m/>
    <m/>
    <n v="1"/>
    <s v="REVISÃO PREVENTIVA"/>
    <x v="4"/>
    <s v="Preventivas"/>
    <n v="0.85611111111938953"/>
    <x v="0"/>
    <s v="EXP.MAE"/>
    <s v="NÃO"/>
    <n v="0"/>
    <n v="0"/>
    <n v="0"/>
    <x v="162"/>
    <d v="2026-06-02T16:13:47"/>
    <x v="0"/>
    <m/>
    <s v="8116"/>
    <s v="MPNS - Hora Manutenção Preventiva não Sistemática"/>
    <s v="MPNS - AG LOCOMOCAO"/>
    <s v="Mãe"/>
    <x v="5"/>
    <s v="PM 500h + 24BL´s"/>
    <s v="PREVENTIVA"/>
    <s v="PITSTOP"/>
    <m/>
    <m/>
    <m/>
    <m/>
    <m/>
    <m/>
  </r>
  <r>
    <n v="0"/>
    <m/>
    <m/>
    <m/>
    <m/>
    <m/>
    <m/>
    <m/>
    <m/>
    <m/>
    <m/>
    <m/>
    <m/>
    <n v="1"/>
    <s v="REVISÃO PREVENTIVA"/>
    <x v="4"/>
    <s v="Preventivas"/>
    <n v="4.4486111111473292"/>
    <x v="1"/>
    <s v="NÃO EXP.MAE"/>
    <s v="NÃO"/>
    <n v="0"/>
    <n v="0"/>
    <n v="0"/>
    <x v="163"/>
    <d v="2026-06-02T20:40:42"/>
    <x v="0"/>
    <m/>
    <s v="7000"/>
    <s v="MPS - Hora Manutenção Preventiva Sistemática"/>
    <s v="MPS - EXEC MANUT"/>
    <s v="Mãe"/>
    <x v="5"/>
    <s v="PM 500h + 24BL´s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2.9524999998975545"/>
    <x v="0"/>
    <s v="EXP.MAE"/>
    <s v="NÃO"/>
    <n v="0"/>
    <n v="0"/>
    <n v="0"/>
    <x v="164"/>
    <d v="2026-06-02T23:37:51"/>
    <x v="0"/>
    <m/>
    <s v="7111"/>
    <s v="MPS - Hora Manutenção Preventiva Sistemática"/>
    <s v="MPS - AG LAVADOR"/>
    <s v="Mãe"/>
    <x v="5"/>
    <s v="PM 500h + 24BL´s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2.4499999999534339"/>
    <x v="1"/>
    <s v="NÃO EXP.MAE"/>
    <s v="NÃO"/>
    <n v="0"/>
    <n v="0"/>
    <n v="0"/>
    <x v="165"/>
    <d v="2026-06-03T02:04:51"/>
    <x v="0"/>
    <m/>
    <s v="7011"/>
    <s v="MPS - Hora Manutenção Preventiva Sistemática"/>
    <s v="MPS - EXEC LAVADOR"/>
    <s v="Mãe"/>
    <x v="5"/>
    <s v="PM 500h + 24BL´s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24.908611111168284"/>
    <x v="1"/>
    <s v="NÃO EXP.MAE"/>
    <s v="NÃO"/>
    <n v="0"/>
    <n v="0"/>
    <n v="0"/>
    <x v="166"/>
    <d v="2026-06-04T02:59:22"/>
    <x v="0"/>
    <m/>
    <s v="7000"/>
    <s v="MPS - Hora Manutenção Preventiva Sistemática"/>
    <s v="MPS - EXEC MANUT"/>
    <s v="Mãe"/>
    <x v="5"/>
    <s v="PM 500h + 24BL´s"/>
    <s v="PREVENTIVA"/>
    <s v="500 HORAS"/>
    <m/>
    <m/>
    <m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1.8055555556202307E-2"/>
    <n v="0"/>
    <n v="0"/>
    <x v="167"/>
    <d v="2026-06-03T12:33:00"/>
    <x v="0"/>
    <m/>
    <s v="7000"/>
    <s v="MPS - Hora Manutenção Preventiva Sistemática"/>
    <s v="MPS - AG LUBRIFICACAO"/>
    <s v="Filha"/>
    <x v="5"/>
    <s v="DESVIO AGUARDANDO COMBOIO &gt; 30MIN - COMBOIO ACIONADO AS 11:37"/>
    <s v="PREVENTIVA"/>
    <s v="500 HORAS"/>
    <m/>
    <m/>
    <m/>
    <m/>
    <m/>
    <m/>
  </r>
  <r>
    <n v="0"/>
    <m/>
    <m/>
    <m/>
    <m/>
    <m/>
    <m/>
    <m/>
    <m/>
    <m/>
    <m/>
    <m/>
    <m/>
    <n v="1"/>
    <s v="SISTEMA ALERTA DE PROXIMIDADE"/>
    <x v="3"/>
    <s v="Acessórios"/>
    <n v="1.6013888888410293"/>
    <x v="0"/>
    <s v="EXP.MAE"/>
    <s v="NÃO"/>
    <n v="0"/>
    <n v="0"/>
    <n v="0"/>
    <x v="168"/>
    <d v="2026-06-04T20:09:35"/>
    <x v="0"/>
    <s v="202602878205"/>
    <s v="9032"/>
    <s v="HMC - Hora de Manutenção Corretiva"/>
    <s v="HMC - EXEC TERCEIROS TRABALHANDO"/>
    <s v="Mãe"/>
    <x v="5"/>
    <s v="FALHA NO HEXAGON  202602878205  SUBSTITUIDO ANTENA MT:938"/>
    <s v="SISTEMA ALERTA DE PROXIMIDADE"/>
    <s v="HEXAGON"/>
    <s v="ANTENA"/>
    <s v="AVARIA"/>
    <s v="SUBSTITUIR"/>
    <s v="Automação"/>
    <s v="Despacho - Antena Danificada"/>
    <s v="Gps - Falha Comunicação"/>
  </r>
  <r>
    <n v="0"/>
    <m/>
    <m/>
    <m/>
    <m/>
    <m/>
    <m/>
    <m/>
    <m/>
    <m/>
    <m/>
    <m/>
    <m/>
    <n v="1"/>
    <s v="INSPEÇÃO SENSITIVA"/>
    <x v="4"/>
    <s v="Inspeção"/>
    <n v="0.60138888889923692"/>
    <x v="1"/>
    <s v="NÃO EXP.MAE"/>
    <s v="NÃO"/>
    <n v="0"/>
    <n v="0"/>
    <n v="0"/>
    <x v="169"/>
    <d v="2026-06-08T14:04:21"/>
    <x v="0"/>
    <m/>
    <s v="7005"/>
    <s v="MPS - Hora Manutenção Preventiva Sistemática"/>
    <s v="MPS-EXEC INSP MECANICA"/>
    <s v="Mãe"/>
    <x v="5"/>
    <m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SISTEMA ALERTA DE PROXIMIDADE"/>
    <x v="3"/>
    <s v="Acessórios"/>
    <n v="0.78944444441003725"/>
    <x v="0"/>
    <s v="EXP.MAE"/>
    <s v="NÃO"/>
    <n v="0"/>
    <n v="0"/>
    <n v="0"/>
    <x v="170"/>
    <d v="2026-06-08T20:05:28"/>
    <x v="0"/>
    <s v="202602937511"/>
    <s v="9032"/>
    <s v="HMC - Hora de Manutenção Corretiva"/>
    <s v="HMC - EXEC TERCEIROS TRABALHANDO"/>
    <s v="Mãe"/>
    <x v="5"/>
    <s v="FALHA NO HEXAGON - FALHA DE COMUNICAÇÃO DO HEXAGON - 202602937511"/>
    <s v="SISTEMA ALERTA DE PROXIMIDADE"/>
    <s v="HEXAGON"/>
    <s v="CONFIGURACAO"/>
    <s v="FALTA DE CONFIGURAÇÃO"/>
    <s v="CONFIGURAR"/>
    <s v="Elétrica"/>
    <s v="Comunicacao - Despacho"/>
    <s v="Cabo-Isolacao"/>
  </r>
  <r>
    <n v="0"/>
    <m/>
    <m/>
    <m/>
    <m/>
    <m/>
    <m/>
    <m/>
    <m/>
    <m/>
    <m/>
    <m/>
    <m/>
    <n v="1"/>
    <s v="TREM DE FORÇA"/>
    <x v="3"/>
    <s v="Corretivas"/>
    <n v="0.40277777781011537"/>
    <x v="1"/>
    <s v="NÃO EXP.MAE"/>
    <s v="NÃO"/>
    <n v="0"/>
    <n v="0"/>
    <n v="0"/>
    <x v="171"/>
    <d v="2026-06-10T14:40:31"/>
    <x v="0"/>
    <s v="202602985086"/>
    <s v="9000"/>
    <s v="HMC - Hora de Manutenção Corretiva"/>
    <s v="HMC - EXEC MANUT"/>
    <s v="Mãe"/>
    <x v="5"/>
    <s v="202602985086 BAIXO NÍVEL DE ÓLEO DA TRANSMISSÃO - COMPLETADO 60 LITROS DE ÓLEO HIDRAULICO E 40 LITROS DE OLEO DA TRANSMISSÃO"/>
    <s v="TREM DE FORCA"/>
    <s v="TRANSMISSAO"/>
    <s v="OLEO"/>
    <s v="BAIXO NIVEL"/>
    <s v="COMPLETAR"/>
    <s v="Mecânica"/>
    <s v="Transmis Forca - Tanque"/>
    <s v="Oleo-Nivel Baixo"/>
  </r>
  <r>
    <n v="0"/>
    <m/>
    <m/>
    <m/>
    <m/>
    <m/>
    <m/>
    <m/>
    <m/>
    <m/>
    <m/>
    <m/>
    <m/>
    <n v="1"/>
    <s v="SISTEMA ALERTA DE PROXIMIDADE"/>
    <x v="3"/>
    <s v="Acessórios"/>
    <n v="4.5736111112055369"/>
    <x v="0"/>
    <s v="EXP.MAE"/>
    <s v="NÃO"/>
    <n v="0"/>
    <n v="0"/>
    <n v="0"/>
    <x v="172"/>
    <d v="2026-06-11T13:44:00"/>
    <x v="0"/>
    <s v="202603002607"/>
    <s v="9032"/>
    <s v="HMC - Hora de Manutenção Corretiva"/>
    <s v="HMC - EXEC TERCEIROS TRABALHANDO"/>
    <s v="Mãe"/>
    <x v="5"/>
    <s v="202603002607 -  FALHA NO HEXAGON - TROCA DO CABO DAS ANTENAS"/>
    <s v="SISTEMA ALERTA DE PROXIMIDADE"/>
    <s v="HEXAGON"/>
    <s v="CABO/FIACAO"/>
    <s v="FALHA"/>
    <s v="CORRIGIR"/>
    <s v="Automação"/>
    <s v="Alerta De Proximidade - Cabo Danificado"/>
    <s v="Gps - Falha Comunicação"/>
  </r>
  <r>
    <n v="0"/>
    <m/>
    <m/>
    <m/>
    <m/>
    <m/>
    <m/>
    <m/>
    <m/>
    <m/>
    <m/>
    <m/>
    <m/>
    <n v="1"/>
    <s v="COMBATE INCENDIO"/>
    <x v="3"/>
    <s v="Acessórios"/>
    <n v="0.55166666675359011"/>
    <x v="0"/>
    <s v="EXP.MAE"/>
    <s v="NÃO"/>
    <n v="0"/>
    <n v="0"/>
    <n v="0"/>
    <x v="173"/>
    <d v="2026-06-13T18:27:24"/>
    <x v="0"/>
    <s v="000000000000"/>
    <s v="9000"/>
    <s v="HMC - Hora de Manutenção Corretiva"/>
    <s v="HMC - EXEC MANUT"/>
    <s v="Mãe"/>
    <x v="5"/>
    <s v="BOTOEIRA DO AFEX - APLICADO LACRE NA APOLA MANUAL DO AFEX - 202603034615"/>
    <s v="SISTEMA AFEX"/>
    <s v="ACIONAMENTO AUTOMATICO"/>
    <s v="CABO/FIACAO"/>
    <s v="MAU CONTATO"/>
    <s v="REPARAR"/>
    <s v="Elétrica"/>
    <s v="Combate Incendio - Acionamento Automatico"/>
    <s v="Cabo/Fiacao"/>
  </r>
  <r>
    <n v="0"/>
    <m/>
    <m/>
    <m/>
    <m/>
    <m/>
    <m/>
    <m/>
    <m/>
    <m/>
    <m/>
    <m/>
    <m/>
    <n v="0"/>
    <s v="COMBATE INCENDIO"/>
    <x v="3"/>
    <s v="Acessórios"/>
    <n v="2.2802777776960284"/>
    <x v="0"/>
    <s v="EXP.MAE"/>
    <s v="NÃO"/>
    <n v="0"/>
    <n v="0"/>
    <n v="0"/>
    <x v="174"/>
    <d v="2026-06-13T20:44:13"/>
    <x v="0"/>
    <s v="202603034615"/>
    <s v="9000"/>
    <s v="HMC - Hora de Manutenção Corretiva"/>
    <s v="HMC - EXEC MANUT"/>
    <s v="Mãe"/>
    <x v="5"/>
    <s v="BOTOEIRA DO AFEX - APLICADO LACRE NA APOLA MANUAL DO AFEX - 202603034615"/>
    <s v="SISTEMA AFEX"/>
    <s v="ACIONAMENTO AUTOMATICO"/>
    <s v="CABO/FIACAO"/>
    <s v="MAU CONTATO"/>
    <s v="REPARAR"/>
    <s v="Elétrica"/>
    <s v="Propulsao Retardo - Alternador Principal"/>
    <s v="Conexoes-Curto-Circuito"/>
  </r>
  <r>
    <n v="0"/>
    <m/>
    <m/>
    <m/>
    <m/>
    <m/>
    <m/>
    <m/>
    <m/>
    <m/>
    <m/>
    <m/>
    <m/>
    <n v="1"/>
    <s v="MOTOR DE COMBUSTÃO"/>
    <x v="0"/>
    <s v="Acidente operacional"/>
    <n v="14.800833333400078"/>
    <x v="0"/>
    <s v="EXP.MAE"/>
    <s v="NÃO"/>
    <n v="0"/>
    <n v="0"/>
    <n v="0"/>
    <x v="175"/>
    <d v="2026-06-17T17:18:33"/>
    <x v="0"/>
    <m/>
    <s v="1090"/>
    <s v="HAC - Hora Acidente"/>
    <s v="HAC - EXEC MANUT ACIDENTE"/>
    <s v="Mãe"/>
    <x v="5"/>
    <s v="202603109119  FALHA NA PARTIDA DO MOTOR - SUBISTITUÍDO BASE DE FIXAÇÃO DO TAMGUE DIESEL E FILTRO DE COMBUSTÍVEL."/>
    <s v="MOTOR DE COMBUSTAO"/>
    <s v="COMBUSTIVEL"/>
    <s v="SUPORTE DO TANQUE"/>
    <s v="AVARIA"/>
    <s v="SUBSTITUIR"/>
    <m/>
    <m/>
    <m/>
  </r>
  <r>
    <n v="0"/>
    <m/>
    <m/>
    <m/>
    <m/>
    <m/>
    <m/>
    <m/>
    <m/>
    <m/>
    <m/>
    <m/>
    <m/>
    <n v="1"/>
    <s v="DIRECAO"/>
    <x v="3"/>
    <s v="Corretivas"/>
    <n v="1.8133333334117197"/>
    <x v="1"/>
    <s v="NÃO EXP.MAE"/>
    <s v="NÃO"/>
    <n v="0"/>
    <n v="0"/>
    <n v="0"/>
    <x v="176"/>
    <d v="2026-06-18T11:23:42"/>
    <x v="0"/>
    <s v="202603128887"/>
    <s v="9000"/>
    <s v="HMC - Hora de Manutenção Corretiva"/>
    <s v="HMC - EXEC MANUT"/>
    <s v="Mãe"/>
    <x v="5"/>
    <s v="202603128887 - BAIXO NÍVEL DO ÓLEO DA TRANSMISSÃO - COMPLETADO 34 LITROS DE  ÓLEO DA TRANSMISSÃO"/>
    <s v="DIRECAO"/>
    <s v="TRANSMISSAO"/>
    <s v="OLEO"/>
    <s v="BAIXO NIVEL"/>
    <s v="COMPLETAR"/>
    <s v="Mecânica"/>
    <s v="Direcao - Tanque Oleo"/>
    <s v="Oleo-Nivel Baix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3.680555555911269E-2"/>
    <n v="0"/>
    <n v="0"/>
    <x v="177"/>
    <d v="2026-06-18T11:23:00"/>
    <x v="0"/>
    <n v="202603128887"/>
    <s v="9000"/>
    <s v="HMC - Hora de Manutenção Corretiva"/>
    <s v="HMC - AG LUBRIFICACAO"/>
    <s v="Filha"/>
    <x v="5"/>
    <s v="DESVIO AGUARDANDO COMBOIO &gt; 30MIN, COMBOIO ACIONADO AS 10:00"/>
    <s v="DIRECAO"/>
    <s v="TRANSMISSAO"/>
    <s v="OLEO"/>
    <s v="BAIXO NIVEL"/>
    <s v="COMPLETAR"/>
    <m/>
    <m/>
    <m/>
  </r>
  <r>
    <n v="0"/>
    <m/>
    <m/>
    <m/>
    <m/>
    <m/>
    <m/>
    <m/>
    <m/>
    <m/>
    <m/>
    <m/>
    <m/>
    <n v="1"/>
    <s v="DIRECAO"/>
    <x v="3"/>
    <s v="Corretivas"/>
    <n v="1.1133333334000781"/>
    <x v="1"/>
    <s v="NÃO EXP.MAE"/>
    <s v="NÃO"/>
    <n v="0"/>
    <n v="0"/>
    <n v="0"/>
    <x v="178"/>
    <d v="2026-06-19T17:21:44"/>
    <x v="0"/>
    <s v="202603166032"/>
    <s v="9000"/>
    <s v="HMC - Hora de Manutenção Corretiva"/>
    <s v="HMC - EXEC MANUT"/>
    <s v="Mãe"/>
    <x v="5"/>
    <s v="TM-3-BAIXO NÍVEL DE ÓLEO DA DIREÇÃO - COMPLETADO 40 LITRO DE ÓLEO DA DIREÇÃO ( NÃO ENCONTRADO VAZAMENTO) - 202603166032"/>
    <s v="DIRECAO"/>
    <s v="LUBRIFICACAO"/>
    <s v="OLEO"/>
    <s v="BAIXO NIVEL"/>
    <s v="COMPLETAR"/>
    <s v="Mecânica"/>
    <s v="Direcao - Tanque Oleo"/>
    <s v="Oleo-Nivel Baix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1.3888888890505768E-2"/>
    <n v="0"/>
    <n v="0"/>
    <x v="179"/>
    <d v="2026-06-19T17:10:00"/>
    <x v="0"/>
    <n v="202603166032"/>
    <s v="9000"/>
    <s v="HMC - Hora de Manutenção Corretiva"/>
    <s v="HMC - AG LUBRIFICACAO"/>
    <s v="Filha"/>
    <x v="5"/>
    <s v="DESVIO AGUARDANDO COMBOIO &gt; 30MIN, AGUARDANDO COMBOIO, ACIONADO AS 16:20"/>
    <s v="DIRECAO"/>
    <s v="LUBRIFICACAO"/>
    <s v="OLEO"/>
    <s v="BAIXO NIVEL"/>
    <s v="COMPLETAR"/>
    <m/>
    <m/>
    <m/>
  </r>
  <r>
    <n v="0"/>
    <m/>
    <m/>
    <m/>
    <m/>
    <m/>
    <m/>
    <m/>
    <m/>
    <m/>
    <m/>
    <m/>
    <m/>
    <n v="1"/>
    <s v="TREM DE FORÇA"/>
    <x v="3"/>
    <s v="Corretivas"/>
    <n v="1.3536111111170612"/>
    <x v="1"/>
    <s v="NÃO EXP.MAE"/>
    <s v="NÃO"/>
    <n v="0"/>
    <n v="0"/>
    <n v="0"/>
    <x v="180"/>
    <d v="2026-06-20T00:02:12"/>
    <x v="0"/>
    <s v="202603167173"/>
    <s v="9000"/>
    <s v="HMC - Hora de Manutenção Corretiva"/>
    <s v="HMC - EXEC MANUT"/>
    <s v="Mãe"/>
    <x v="5"/>
    <s v="BAIXO NIVEL DE ÓELO DA TRANSMISSÃO - REALIZAR COMPLEMENTO DO OLEO DA TRANSMISSÃO - 202603167173"/>
    <s v="TREM DE FORCA"/>
    <s v="COMANDO FINAL TD"/>
    <s v="OLEO"/>
    <s v="NIVEL BAIXO"/>
    <s v="COMPLETAR"/>
    <s v="Mecânica"/>
    <s v="Transmis Forca - Tanque"/>
    <s v="Oleo-Nivel Baixo"/>
  </r>
  <r>
    <n v="0"/>
    <m/>
    <m/>
    <m/>
    <m/>
    <m/>
    <m/>
    <m/>
    <m/>
    <m/>
    <m/>
    <m/>
    <m/>
    <n v="1"/>
    <s v="DIRECAO"/>
    <x v="3"/>
    <s v="Corretivas"/>
    <n v="5.8722222222131677"/>
    <x v="1"/>
    <s v="NÃO EXP.MAE"/>
    <s v="NÃO"/>
    <n v="0"/>
    <n v="0"/>
    <n v="0"/>
    <x v="181"/>
    <d v="2026-06-20T20:55:29"/>
    <x v="0"/>
    <s v="202603176651"/>
    <s v="9000"/>
    <s v="HMC - Hora de Manutenção Corretiva"/>
    <s v="HMC - EXEC MANUT"/>
    <s v="Mãe"/>
    <x v="5"/>
    <s v="BAIXO NÍVEL DE ÓLEO DA DIREÇÃO - 202603176651 - COMPLETADO NIVEL DE OLEO"/>
    <s v="DIRECAO"/>
    <s v="LUBRIFICACAO"/>
    <s v="OLEO"/>
    <s v="BAIXO NIVEL"/>
    <s v="COMPLETAR"/>
    <s v="Mecânica"/>
    <s v="Direcao - Tanque Oleo"/>
    <s v="Oleo-Nivel Baix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2.9756944444670808E-2"/>
    <n v="0"/>
    <n v="0"/>
    <x v="181"/>
    <d v="2026-06-20T15:46:00"/>
    <x v="0"/>
    <n v="202603176651"/>
    <s v="9000"/>
    <s v="HMC - Hora de Manutenção Corretiva"/>
    <s v="HMC - AG DETONACAO"/>
    <s v="Filha"/>
    <x v="5"/>
    <s v="AGUARDANDO DETONAÇÃO"/>
    <s v="DIRECAO"/>
    <s v="LUBRIFICACAO"/>
    <s v="OLEO"/>
    <s v="BAIXO NIVEL"/>
    <s v="COMPLETA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8.0555555556202307E-2"/>
    <n v="0"/>
    <n v="0"/>
    <x v="182"/>
    <d v="2026-06-20T20:26:00"/>
    <x v="0"/>
    <n v="202603176651"/>
    <s v="9000"/>
    <s v="HMC - Hora de Manutenção Corretiva"/>
    <s v="HMC - AG LUBRIFICACAO"/>
    <s v="Filha"/>
    <x v="5"/>
    <s v="DESVIO AGUARDANDO COMBOIO &gt; 30MIN, AGUARDANDO COMBOIO, ACIONADO AS 18:00"/>
    <s v="DIRECAO"/>
    <s v="LUBRIFICACAO"/>
    <s v="OLEO"/>
    <s v="BAIXO NIVEL"/>
    <s v="COMPLETAR"/>
    <m/>
    <m/>
    <m/>
  </r>
  <r>
    <n v="0"/>
    <m/>
    <m/>
    <m/>
    <m/>
    <m/>
    <m/>
    <m/>
    <m/>
    <m/>
    <m/>
    <m/>
    <m/>
    <n v="1"/>
    <s v="DIRECAO"/>
    <x v="3"/>
    <s v="Corretivas"/>
    <n v="1.0705555555759929"/>
    <x v="1"/>
    <s v="NÃO EXP.MAE"/>
    <s v="NÃO"/>
    <n v="0"/>
    <n v="0"/>
    <n v="0"/>
    <x v="183"/>
    <d v="2026-06-22T09:36:32"/>
    <x v="0"/>
    <s v="202603204028"/>
    <s v="9000"/>
    <s v="HMC - Hora de Manutenção Corretiva"/>
    <s v="HMC - EXEC MANUT"/>
    <s v="Mãe"/>
    <x v="5"/>
    <s v="202603204028 - BAIXO NIVEL DE ÓLEO DA DIREÇÃO - SUBSTITUÍDO MANGUEIRA DO ACUMULADOR DA DIREÇÃO, COMPLETADO 35 LITROS DE ÓLEO."/>
    <s v="DIRECAO"/>
    <s v="ACUMULADOR"/>
    <s v="MANGUEIRA"/>
    <s v="VAZAMENTO"/>
    <s v="TROCAR"/>
    <s v="Mecânica"/>
    <s v="Direcao - Tanque Oleo"/>
    <s v="Oleo-Nivel Baix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2.3611111115314998E-2"/>
    <n v="0"/>
    <n v="0"/>
    <x v="184"/>
    <d v="2026-06-22T09:36:00"/>
    <x v="0"/>
    <n v="202603204028"/>
    <s v="9000"/>
    <s v="HMC - Hora de Manutenção Corretiva"/>
    <s v="HMC - AG LUBRIFICACAO"/>
    <s v="Filha"/>
    <x v="5"/>
    <s v="DESVIO AGUARDANDO COMBOIO &gt; 30MIN, AGUARDANDO COMBOIO, ACIONADO AS 08:32"/>
    <s v="DIRECAO"/>
    <s v="ACUMULADOR"/>
    <s v="MANGUEIRA"/>
    <s v="VAZAMENTO"/>
    <s v="TROCAR"/>
    <m/>
    <m/>
    <m/>
  </r>
  <r>
    <n v="0"/>
    <m/>
    <m/>
    <m/>
    <m/>
    <m/>
    <m/>
    <m/>
    <m/>
    <m/>
    <m/>
    <m/>
    <m/>
    <n v="1"/>
    <s v="TREM DE FORÇA"/>
    <x v="3"/>
    <s v="Corretivas"/>
    <n v="1.689166666707024"/>
    <x v="1"/>
    <s v="NÃO EXP.MAE"/>
    <s v="NÃO"/>
    <n v="0"/>
    <n v="0"/>
    <n v="0"/>
    <x v="185"/>
    <d v="2026-06-28T04:11:01"/>
    <x v="0"/>
    <s v="202603310394"/>
    <s v="9000"/>
    <s v="HMC - Hora de Manutenção Corretiva"/>
    <s v="HMC - EXEC MANUT"/>
    <s v="Mãe"/>
    <x v="5"/>
    <s v="BAIXO NIVEL DO OLEO DA TRANSMISSÃO - COMPLETAR NÍVEL DO ÓLEO DA TRANSMISSÃO E VERIFICSR DEMAIS NÍVEIS - 202603310394"/>
    <s v="TREM DE FORCA"/>
    <s v="LUBRIFICACAO"/>
    <s v="OLEO"/>
    <s v="BAIXO NIVEL"/>
    <s v="COMPLETAR"/>
    <s v="Mecânica"/>
    <s v="Transmissao - Lubrificacao"/>
    <s v="Ole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2.4317129631526768E-2"/>
    <n v="0"/>
    <n v="0"/>
    <x v="186"/>
    <d v="2026-06-28T04:11:01"/>
    <x v="0"/>
    <n v="202603310394"/>
    <s v="9000"/>
    <s v="HMC - Hora de Manutenção Corretiva"/>
    <s v="HMC - AG LUBRIFICACAO"/>
    <s v="Filha"/>
    <x v="5"/>
    <s v="DESVIO AGUARDANDO COMBOIO &gt; 30MIN, COMBOIO ACIONADO 03:06"/>
    <s v="TREM DE FORCA"/>
    <s v="LUBRIFICACAO"/>
    <s v="OLEO"/>
    <s v="BAIXO NIVEL"/>
    <s v="COMPLETAR"/>
    <m/>
    <m/>
    <m/>
  </r>
  <r>
    <n v="0"/>
    <m/>
    <m/>
    <m/>
    <m/>
    <m/>
    <m/>
    <m/>
    <m/>
    <m/>
    <m/>
    <m/>
    <m/>
    <n v="1"/>
    <s v="TREM DE FORÇA"/>
    <x v="3"/>
    <s v="Corretivas"/>
    <n v="0.46222222218057141"/>
    <x v="1"/>
    <s v="NÃO EXP.MAE"/>
    <s v="NÃO"/>
    <n v="0"/>
    <n v="0"/>
    <n v="0"/>
    <x v="187"/>
    <d v="2026-07-02T00:00:23"/>
    <x v="0"/>
    <s v="202603381125"/>
    <s v="9000"/>
    <s v="HMC - Hora de Manutenção Corretiva"/>
    <s v="HMC - EXEC MANUT"/>
    <s v="Mãe"/>
    <x v="6"/>
    <s v="BAIXO NIVEL DE OLEO DA TRANSMISSÃO - COMPLETADO 3O LT DO OLEO DA TRANSMISSÃO - 202603381125"/>
    <s v="TREM DE FORCA"/>
    <s v="TRANSMISSAO"/>
    <s v="OLEO"/>
    <s v="BAIXO NIVEL"/>
    <s v="COMPLETAR"/>
    <s v="Mecânica"/>
    <s v="Transmis Forca - Tanque"/>
    <s v="Oleo-Nivel Baixo"/>
  </r>
  <r>
    <n v="0"/>
    <m/>
    <m/>
    <m/>
    <m/>
    <m/>
    <m/>
    <m/>
    <m/>
    <m/>
    <m/>
    <m/>
    <m/>
    <n v="1"/>
    <s v="DIRECAO"/>
    <x v="3"/>
    <s v="Corretivas"/>
    <n v="3.2202777779311873"/>
    <x v="1"/>
    <s v="NÃO EXP.MAE"/>
    <s v="NÃO"/>
    <n v="0"/>
    <n v="0"/>
    <n v="0"/>
    <x v="188"/>
    <d v="2026-07-04T08:29:03"/>
    <x v="0"/>
    <s v="202603426124"/>
    <s v="9000"/>
    <s v="HMC - Hora de Manutenção Corretiva"/>
    <s v="HMC - EXEC MANUT"/>
    <s v="Mãe"/>
    <x v="6"/>
    <s v="202603426124 BAIXO NIVEL DE OLEO DA DIREÇÃO - COMPLETADO NIVEIS DE OLEO DA DIREÇÃO"/>
    <s v="DIRECAO"/>
    <s v="LUBRIFICACAO"/>
    <s v="OLEO"/>
    <s v="BAIXO NIVEL"/>
    <s v="COMPLETAR"/>
    <s v="Mecânica"/>
    <s v="Direcao - Tanque Oleo"/>
    <s v="Oleo-Nivel Baixo"/>
  </r>
  <r>
    <n v="0"/>
    <m/>
    <m/>
    <m/>
    <m/>
    <m/>
    <m/>
    <m/>
    <m/>
    <m/>
    <m/>
    <m/>
    <m/>
    <n v="1"/>
    <s v="AR CONDICIONADO"/>
    <x v="3"/>
    <s v="Corretivas"/>
    <n v="0.68416666681878269"/>
    <x v="1"/>
    <s v="NÃO EXP.MAE"/>
    <s v="NÃO"/>
    <n v="0"/>
    <n v="0"/>
    <n v="0"/>
    <x v="189"/>
    <d v="2026-07-04T16:13:29"/>
    <x v="0"/>
    <s v="202603428741"/>
    <s v="9000"/>
    <s v="HMC - Hora de Manutenção Corretiva"/>
    <s v="HMC - EXEC MANUT"/>
    <s v="Mãe"/>
    <x v="6"/>
    <s v="202603428741 FALHA  NO AR-CONDICIONADO - REPOSICIONADO FUSIVEL"/>
    <s v="AR CONDICIONADO"/>
    <s v="COMPRESSOR"/>
    <s v="FUSIVEL"/>
    <s v="FIXACAO"/>
    <s v="FIXAR"/>
    <s v="Mecânica"/>
    <s v="Ar Condicionado - Compressor"/>
    <s v="Fixações"/>
  </r>
  <r>
    <n v="0"/>
    <m/>
    <m/>
    <m/>
    <m/>
    <m/>
    <m/>
    <m/>
    <m/>
    <m/>
    <m/>
    <m/>
    <m/>
    <n v="1"/>
    <s v="TREM DE FORÇA"/>
    <x v="3"/>
    <s v="Corretivas"/>
    <n v="3.4713888888945803"/>
    <x v="1"/>
    <s v="NÃO EXP.MAE"/>
    <s v="NÃO"/>
    <n v="0"/>
    <n v="0"/>
    <n v="0"/>
    <x v="190"/>
    <d v="2026-07-05T21:13:33"/>
    <x v="0"/>
    <s v="202603439939"/>
    <s v="9000"/>
    <s v="HMC - Hora de Manutenção Corretiva"/>
    <s v="HMC - EXEC MANUT"/>
    <s v="Mãe"/>
    <x v="6"/>
    <s v="BAIXO NIVEL DO OLEO DE TRASMISSÃO   202603439939  COMPLETADO NÍVEIS HIDRÁULICO MT:2210636"/>
    <s v="TREM DE FORCA"/>
    <s v="ARREFECIMENTO"/>
    <s v="OLEO"/>
    <s v="BAIXO NIVEL"/>
    <s v="COMPLETAR"/>
    <s v="Mecânica"/>
    <s v="Motor Combustao - Arrefecimento"/>
    <s v="Liquido Arrefecimento-Nivel Baix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6.0416666667151731E-2"/>
    <n v="0"/>
    <n v="0"/>
    <x v="191"/>
    <d v="2026-07-05T20:54:00"/>
    <x v="0"/>
    <s v="202603439939"/>
    <n v="9000"/>
    <s v="HMC - Hora de Manutenção Corretiva"/>
    <s v="HMC - AG LUBRIFICACAO"/>
    <s v="Filha"/>
    <x v="6"/>
    <s v="AGUARDANDO COMBOIO, ACIONADO 18:54 | DESVIO AG LUBRIFICACAO &gt; 30MIN"/>
    <s v="TREM DE FORCA"/>
    <s v="ARREFECIMENTO"/>
    <s v="OLEO"/>
    <s v="BAIXO NIVEL"/>
    <s v="COMPLETAR"/>
    <m/>
    <m/>
    <m/>
  </r>
  <r>
    <n v="0"/>
    <m/>
    <m/>
    <m/>
    <m/>
    <m/>
    <m/>
    <m/>
    <m/>
    <m/>
    <m/>
    <m/>
    <m/>
    <n v="1"/>
    <s v="DIRECAO"/>
    <x v="3"/>
    <s v="Corretivas"/>
    <n v="2.186388888861984"/>
    <x v="1"/>
    <s v="NÃO EXP.MAE"/>
    <s v="NÃO"/>
    <n v="0"/>
    <n v="0"/>
    <n v="0"/>
    <x v="192"/>
    <d v="2026-07-07T21:41:19"/>
    <x v="0"/>
    <s v="2263479587"/>
    <s v="9000"/>
    <s v="HMC - Hora de Manutenção Corretiva"/>
    <s v="HMC - EXEC MANUT"/>
    <s v="Mãe"/>
    <x v="6"/>
    <s v="BAIXO NÍVEL DO ÓLEO DA DIREÇÃO - COMPLETAR NÍVEL DO ÓLEO DA DIREÇÃO - 202603479587"/>
    <s v="DIRECAO"/>
    <s v="LUBRIFICACAO"/>
    <s v="OLEO"/>
    <s v="BAIXO NIVEL"/>
    <s v="COMPLETAR"/>
    <s v="Mecânica"/>
    <s v="Direcao - Tanque Oleo"/>
    <s v="Oleo"/>
  </r>
  <r>
    <n v="0"/>
    <m/>
    <m/>
    <m/>
    <m/>
    <m/>
    <m/>
    <m/>
    <m/>
    <m/>
    <m/>
    <m/>
    <s v="NÃO"/>
    <n v="1"/>
    <s v="REVISÃO PREVENTIVA"/>
    <x v="4"/>
    <s v="Preventivas"/>
    <n v="1.2533333332976326"/>
    <x v="1"/>
    <s v="NÃO EXP.MAE"/>
    <s v="NÃO"/>
    <n v="0"/>
    <n v="0"/>
    <n v="0"/>
    <x v="193"/>
    <d v="2026-07-08T11:26:44"/>
    <x v="0"/>
    <s v=""/>
    <s v="7116"/>
    <s v="MPS - Hora Manutenção Preventiva Sistemática"/>
    <s v="MPS - AG LOCOMOCAO"/>
    <s v="Mãe"/>
    <x v="6"/>
    <s v="PM 4000h + 27BLs"/>
    <s v="PREVENTIVA"/>
    <s v="4000 HORAS"/>
    <s v=""/>
    <s v=""/>
    <s v=""/>
    <s v=""/>
    <s v=""/>
    <s v=""/>
  </r>
  <r>
    <n v="0"/>
    <m/>
    <m/>
    <m/>
    <m/>
    <m/>
    <m/>
    <m/>
    <m/>
    <m/>
    <m/>
    <m/>
    <m/>
    <s v=""/>
    <s v=""/>
    <x v="2"/>
    <s v=""/>
    <s v=""/>
    <x v="2"/>
    <s v="NÃO EXP.MAE"/>
    <s v="SIM"/>
    <n v="1.0555555556493346E-2"/>
    <n v="0"/>
    <n v="0"/>
    <x v="194"/>
    <d v="2026-07-08T11:26:44"/>
    <x v="0"/>
    <m/>
    <n v="7116"/>
    <s v="MPS - Hora Manutenção Preventiva Sistemática"/>
    <s v="MPS - AG LOCOMOCAO"/>
    <s v="Filha"/>
    <x v="6"/>
    <s v="MACHINE GEN Atraso iniciado: MPNS - Ag locomocao | DESVIO AG LOCOMOCAO &gt; 1H"/>
    <s v="PREVENTIVA"/>
    <s v="4000 HORAS"/>
    <m/>
    <m/>
    <m/>
    <m/>
    <m/>
    <m/>
  </r>
  <r>
    <n v="0"/>
    <m/>
    <m/>
    <m/>
    <m/>
    <m/>
    <m/>
    <m/>
    <m/>
    <m/>
    <m/>
    <n v="0"/>
    <s v="NÃO"/>
    <n v="0"/>
    <s v="REVISÃO PREVENTIVA"/>
    <x v="4"/>
    <s v="Preventivas"/>
    <n v="1.5544444444240071"/>
    <x v="1"/>
    <s v="NÃO EXP.MAE"/>
    <s v="NÃO"/>
    <n v="0"/>
    <n v="0"/>
    <n v="0"/>
    <x v="195"/>
    <d v="2026-07-08T13:00:00"/>
    <x v="0"/>
    <s v=""/>
    <s v="7111"/>
    <s v="MPS - Hora Manutenção Preventiva Sistemática"/>
    <s v="MPS - AG LAVADOR"/>
    <s v="Mãe"/>
    <x v="6"/>
    <s v="PM 4000h + 27BLs"/>
    <s v="PREVENTIVA"/>
    <s v="4000 HORAS"/>
    <s v=""/>
    <s v=""/>
    <s v=""/>
    <s v=""/>
    <s v=""/>
    <s v=""/>
  </r>
  <r>
    <n v="0"/>
    <m/>
    <m/>
    <m/>
    <m/>
    <m/>
    <m/>
    <m/>
    <m/>
    <m/>
    <m/>
    <m/>
    <m/>
    <n v="0"/>
    <s v="REVISÃO PREVENTIVA"/>
    <x v="4"/>
    <s v="Preventivas"/>
    <n v="12.691388888983056"/>
    <x v="1"/>
    <s v="NÃO EXP.MAE"/>
    <s v="NÃO"/>
    <n v="0"/>
    <n v="0"/>
    <n v="0"/>
    <x v="196"/>
    <d v="2026-07-09T01:41:29"/>
    <x v="0"/>
    <s v=""/>
    <s v="7011"/>
    <s v="MPS - Hora Manutenção Preventiva Sistemática"/>
    <s v="MPS - EXEC LAVADOR"/>
    <s v="Mãe"/>
    <x v="6"/>
    <s v="PM 4000h + 27BLs"/>
    <s v="PREVENTIVA"/>
    <s v="4000 HORAS"/>
    <s v=""/>
    <s v=""/>
    <s v=""/>
    <s v=""/>
    <s v=""/>
    <s v=""/>
  </r>
  <r>
    <n v="0"/>
    <m/>
    <m/>
    <m/>
    <m/>
    <m/>
    <m/>
    <m/>
    <m/>
    <m/>
    <m/>
    <m/>
    <m/>
    <s v=""/>
    <s v=""/>
    <x v="2"/>
    <s v=""/>
    <s v=""/>
    <x v="2"/>
    <s v="NÃO EXP.MAE"/>
    <s v="NÃO"/>
    <n v="0"/>
    <n v="0"/>
    <n v="0"/>
    <x v="197"/>
    <d v="2026-07-09T01:41:29"/>
    <x v="0"/>
    <m/>
    <s v=""/>
    <s v="MPS - Hora Manutenção Preventiva Sistemática"/>
    <s v="MPS - EXEC LAVADOR"/>
    <s v="Filha"/>
    <x v="6"/>
    <s v="DESVIO EXEC LAVADOR &gt; 4H"/>
    <s v=""/>
    <s v=""/>
    <s v=""/>
    <s v=""/>
    <s v=""/>
    <m/>
    <m/>
    <m/>
  </r>
  <r>
    <n v="0"/>
    <m/>
    <m/>
    <m/>
    <m/>
    <m/>
    <m/>
    <m/>
    <m/>
    <m/>
    <m/>
    <m/>
    <m/>
    <n v="0"/>
    <s v="REVISÃO PREVENTIVA"/>
    <x v="4"/>
    <s v="Preventivas"/>
    <n v="51.282777777698357"/>
    <x v="1"/>
    <s v="NÃO EXP.MAE"/>
    <s v="NÃO"/>
    <n v="0"/>
    <n v="0"/>
    <n v="0"/>
    <x v="198"/>
    <d v="2026-07-11T04:58:27"/>
    <x v="0"/>
    <s v=""/>
    <s v="7000"/>
    <s v="MPS - Hora Manutenção Preventiva Sistemática"/>
    <s v="MPS - EXEC MANUT"/>
    <s v="Mãe"/>
    <x v="6"/>
    <s v="PM 4000h + 27BLs"/>
    <s v="PREVENTIVA"/>
    <s v="4000 HORAS"/>
    <s v=""/>
    <s v=""/>
    <s v=""/>
    <s v=""/>
    <s v=""/>
    <s v=""/>
  </r>
  <r>
    <n v="0"/>
    <m/>
    <m/>
    <m/>
    <m/>
    <m/>
    <m/>
    <m/>
    <m/>
    <m/>
    <m/>
    <m/>
    <m/>
    <n v="1"/>
    <s v="AR CONDICIONADO"/>
    <x v="3"/>
    <s v="Corretivas"/>
    <n v="2.2577777776750736"/>
    <x v="1"/>
    <s v="NÃO EXP.MAE"/>
    <s v="NÃO"/>
    <n v="0"/>
    <n v="0"/>
    <n v="0"/>
    <x v="199"/>
    <d v="2026-07-11T17:29:49"/>
    <x v="0"/>
    <s v="2263552612"/>
    <s v="9000"/>
    <s v="HMC - Hora de Manutenção Corretiva"/>
    <s v="HMC - EXEC MANUT"/>
    <s v="Mãe"/>
    <x v="6"/>
    <s v="20260355261 - FALHA NO AR CONDICIONADO - SUB CORREIA  DO COMPRESSOR DE AR CONDICIONADO."/>
    <s v="AR CONDICIONADO"/>
    <s v="COMPRESSOR"/>
    <s v="CORREIA"/>
    <s v="AVARIA"/>
    <s v="SUBSTITUIR"/>
    <s v="Mecânica"/>
    <s v="Ar Condicionado - Compressor"/>
    <s v="Correia-Avaria"/>
  </r>
  <r>
    <n v="0"/>
    <m/>
    <m/>
    <m/>
    <m/>
    <m/>
    <m/>
    <m/>
    <m/>
    <m/>
    <m/>
    <m/>
    <m/>
    <n v="1"/>
    <s v="COMBATE INCENDIO"/>
    <x v="3"/>
    <s v="Acessórios"/>
    <n v="2.5008333334699273"/>
    <x v="0"/>
    <s v="EXP.MAE"/>
    <s v="NÃO"/>
    <n v="0"/>
    <n v="0"/>
    <n v="0"/>
    <x v="200"/>
    <d v="2026-07-11T20:58:35"/>
    <x v="0"/>
    <s v="2263555875"/>
    <s v="9032"/>
    <s v="HMC - Hora de Manutenção Corretiva"/>
    <s v="HMC - EXEC TERCEIROS TRABALHANDO"/>
    <s v="Mãe"/>
    <x v="6"/>
    <s v="202603555875- PAINEL AFEX DESLIGADO  - SUBSTITUIDO PINO DO SQUIB"/>
    <s v="SISTEMA AFEX"/>
    <s v="SISTEMA AFEX"/>
    <s v="SISTEMA AFEX"/>
    <s v="SISTEMA AFEX"/>
    <s v="SISTEMA AFEX"/>
    <s v="Automação"/>
    <s v="Alerta De Proximidade - Conector Danificado"/>
    <s v="Display - Falha Comunicação"/>
  </r>
  <r>
    <n v="0"/>
    <m/>
    <m/>
    <m/>
    <m/>
    <m/>
    <m/>
    <m/>
    <m/>
    <m/>
    <m/>
    <m/>
    <m/>
    <n v="1"/>
    <s v="DIRECAO"/>
    <x v="3"/>
    <s v="Corretivas"/>
    <n v="2.5891666666720994"/>
    <x v="1"/>
    <s v="NÃO EXP.MAE"/>
    <s v="NÃO"/>
    <n v="0"/>
    <n v="0"/>
    <n v="0"/>
    <x v="201"/>
    <d v="2026-07-12T11:03:42"/>
    <x v="0"/>
    <s v="2263563613"/>
    <s v="9000"/>
    <s v="HMC - Hora de Manutenção Corretiva"/>
    <s v="HMC - EXEC MANUT"/>
    <s v="Mãe"/>
    <x v="6"/>
    <s v="202603563613- BAIXO NIVEL DO OLEO DA DIREÇÃO - SUB VEDAÇÃO  DA MANGUEIRA PILOTO DA BOMBA DE DIREÇÃO,COMPLETADO 40 L DE ÓLEO DA DIREÇÃO."/>
    <s v="DIRECAO"/>
    <s v="LUBRIFICACAO"/>
    <s v="OLEO"/>
    <s v="BAIXO NIVEL"/>
    <s v="COMPLETAR"/>
    <s v="Mecânica"/>
    <s v="Direcao - Tanque Oleo"/>
    <s v="Oleo-Nivel Baixo"/>
  </r>
  <r>
    <n v="0"/>
    <m/>
    <m/>
    <m/>
    <m/>
    <m/>
    <m/>
    <m/>
    <m/>
    <m/>
    <m/>
    <m/>
    <m/>
    <n v="1"/>
    <s v="ESTRUTURA"/>
    <x v="3"/>
    <s v="Corretivas"/>
    <n v="2.128611111198552"/>
    <x v="1"/>
    <s v="NÃO EXP.MAE"/>
    <s v="NÃO"/>
    <n v="0"/>
    <n v="0"/>
    <n v="0"/>
    <x v="202"/>
    <d v="2026-07-14T15:34:12"/>
    <x v="0"/>
    <s v="226362487"/>
    <s v="9000"/>
    <s v="HMC - Hora de Manutenção Corretiva"/>
    <s v="HMC - EXEC MANUT"/>
    <s v="Mãe"/>
    <x v="6"/>
    <s v="PAINEL FOLGADO  - EFETUADO FIXAÇÃO DO PAINEL NA ESTRUTURA - 202603602487"/>
    <s v="ESTRUTURA"/>
    <s v="CABINE"/>
    <s v="PAINEL"/>
    <s v="FOLGADO"/>
    <s v="AJUSTAR"/>
    <s v="Elétrica"/>
    <s v="Eletrico - Cabine"/>
    <s v="Painel-Fixacao"/>
  </r>
  <r>
    <n v="0"/>
    <m/>
    <m/>
    <m/>
    <m/>
    <m/>
    <m/>
    <m/>
    <m/>
    <m/>
    <m/>
    <m/>
    <m/>
    <n v="1"/>
    <s v="INSPEÇÃO SENSITIVA"/>
    <x v="4"/>
    <s v="Inspeção"/>
    <n v="1.2241666667978279"/>
    <x v="1"/>
    <s v="NÃO EXP.MAE"/>
    <s v="NÃO"/>
    <n v="0"/>
    <n v="0"/>
    <n v="0"/>
    <x v="203"/>
    <d v="2026-07-15T11:59:29"/>
    <x v="0"/>
    <s v=""/>
    <s v="7005"/>
    <s v="MPS - Hora Manutenção Preventiva Sistemática"/>
    <s v="MPS-EXEC INSP MECANICA"/>
    <s v="Mãe"/>
    <x v="6"/>
    <m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MOTOR DE COMBUSTÃO"/>
    <x v="3"/>
    <s v="Corretivas"/>
    <n v="5.2352777778287418"/>
    <x v="1"/>
    <s v="NÃO EXP.MAE"/>
    <s v="NÃO"/>
    <n v="0"/>
    <n v="0"/>
    <n v="0"/>
    <x v="204"/>
    <d v="2026-07-16T21:59:13"/>
    <x v="0"/>
    <s v=""/>
    <s v="9000"/>
    <s v="HMC - Hora de Manutenção Corretiva"/>
    <s v="HMC - EXEC MANUT"/>
    <s v="Mãe"/>
    <x v="6"/>
    <s v="ALTA TEMPERATURA DO LIQUIDO ARREFECEDOR- SEM A TUAÇÃO MECÂNICA , PORÉM TEVE ACORDO COM A OPERAÇÃO E MANUTENÇÃO"/>
    <s v="MOTOR DE COMBUSTAO"/>
    <s v="ARREFECIMENTO"/>
    <s v="LIQUIDO ARREFECIMENTO"/>
    <s v="ALTA TEMPERATURA "/>
    <s v="MONITORAR"/>
    <s v="Preventiva"/>
    <s v="Oportunidade"/>
    <s v="Correção De Defeito"/>
  </r>
  <r>
    <n v="0"/>
    <m/>
    <m/>
    <m/>
    <m/>
    <m/>
    <m/>
    <m/>
    <m/>
    <m/>
    <m/>
    <m/>
    <m/>
    <n v="1"/>
    <s v="ELETRICO"/>
    <x v="3"/>
    <s v="Corretivas"/>
    <n v="0.37611111119622365"/>
    <x v="1"/>
    <s v="NÃO EXP.MAE"/>
    <s v="NÃO"/>
    <n v="0"/>
    <n v="0"/>
    <n v="0"/>
    <x v="205"/>
    <d v="2026-07-17T05:34:03"/>
    <x v="0"/>
    <s v="2263667163"/>
    <s v="9000"/>
    <s v="HMC - Hora de Manutenção Corretiva"/>
    <s v="HMC - EXEC MANUT"/>
    <s v="Mãe"/>
    <x v="6"/>
    <s v="202603667163- FALHA NA ELEVAÇÃO DA BASCULA - REALIZADO EMENDA DOS CABOS DA SOLENOIDE"/>
    <s v="ELETRICO"/>
    <s v="BASCULA"/>
    <s v="CABO/FIACAO"/>
    <s v="AVARIA"/>
    <s v="REPARAR"/>
    <s v="Mecânica"/>
    <s v="Estrutura - Bascula"/>
    <s v="Cabo Ancoragem-Rompimento"/>
  </r>
  <r>
    <n v="0"/>
    <m/>
    <m/>
    <m/>
    <m/>
    <m/>
    <m/>
    <m/>
    <m/>
    <m/>
    <m/>
    <m/>
    <m/>
    <n v="1"/>
    <s v="TREM DE FORÇA"/>
    <x v="3"/>
    <s v="Corretivas"/>
    <n v="0.24166666658129543"/>
    <x v="1"/>
    <s v="NÃO EXP.MAE"/>
    <s v="NÃO"/>
    <n v="0"/>
    <n v="0"/>
    <n v="0"/>
    <x v="206"/>
    <d v="2026-07-20T02:14:38"/>
    <x v="0"/>
    <s v="226375343"/>
    <s v="9000"/>
    <s v="HMC - Hora de Manutenção Corretiva"/>
    <s v="HMC - EXEC MANUT"/>
    <s v="Mãe"/>
    <x v="6"/>
    <s v="BAIXO NÍVEL DE ÓLEONDA TRANSMISSÃO - COMPLETAR NIVEL DO ÓLEO DA TRANSMISSÃO E VERIFICAR NÍVEIS - 202603705343"/>
    <s v="TREM DE FORCA"/>
    <s v="LUBRIFICACAO"/>
    <s v="OLEO"/>
    <s v="BAIXO NIVEL"/>
    <s v="COMPLETAR"/>
    <s v="Mecânica"/>
    <s v="Transmis Forca - Tanque"/>
    <s v="Oleo-Nivel Baixo"/>
  </r>
  <r>
    <n v="0"/>
    <m/>
    <m/>
    <m/>
    <m/>
    <m/>
    <m/>
    <m/>
    <m/>
    <m/>
    <m/>
    <m/>
    <m/>
    <n v="1"/>
    <s v="INSPEÇÃO SENSITIVA"/>
    <x v="4"/>
    <s v="Inspeção"/>
    <n v="1.5961111110518686"/>
    <x v="1"/>
    <s v="NÃO EXP.MAE"/>
    <s v="NÃO"/>
    <n v="0"/>
    <n v="0"/>
    <n v="0"/>
    <x v="207"/>
    <d v="2026-07-20T13:19:33"/>
    <x v="0"/>
    <s v=""/>
    <s v="7005"/>
    <s v="MPS - Hora Manutenção Preventiva Sistemática"/>
    <s v="MPS-EXEC INSP MECANICA"/>
    <s v="Mãe"/>
    <x v="6"/>
    <s v="MACHINE GEN Atraso iniciado: MPS - Exec mecanica"/>
    <s v="INSPEÇÃO"/>
    <s v="INSPEÇÃO"/>
    <s v="INSPEÇÃO"/>
    <s v="INSPEÇÃO"/>
    <s v="INSPEÇÃO"/>
    <s v=""/>
    <s v=""/>
    <s v=""/>
  </r>
  <r>
    <n v="0"/>
    <m/>
    <m/>
    <m/>
    <m/>
    <m/>
    <m/>
    <m/>
    <m/>
    <m/>
    <m/>
    <m/>
    <m/>
    <n v="1"/>
    <s v="TREM DE FORÇA"/>
    <x v="3"/>
    <s v="Corretivas"/>
    <n v="0.94611111120320857"/>
    <x v="1"/>
    <s v="NÃO EXP.MAE"/>
    <s v="NÃO"/>
    <n v="0"/>
    <n v="0"/>
    <n v="0"/>
    <x v="208"/>
    <d v="2026-07-22T22:55:47"/>
    <x v="0"/>
    <s v="2263769625"/>
    <s v="9000"/>
    <s v="HMC - Hora de Manutenção Corretiva"/>
    <s v="HMC - EXEC MANUT"/>
    <s v="Mãe"/>
    <x v="6"/>
    <s v="202603769625- BAIXO NIVEL DO OLEO DA TRANSMISSÃO - COMPLETADO 30LT DE OLEO"/>
    <s v="TREM DE FORCA"/>
    <s v="TRANSMISSAO"/>
    <s v="OLEO"/>
    <s v="BAIXO NIVEL"/>
    <s v="COMPLETAR"/>
    <s v="Mecânica"/>
    <s v="Transmis Forca - Transmissao"/>
    <s v="Transmissao-Vazamento"/>
  </r>
  <r>
    <n v="0"/>
    <m/>
    <m/>
    <m/>
    <m/>
    <m/>
    <m/>
    <m/>
    <m/>
    <m/>
    <m/>
    <m/>
    <m/>
    <n v="1"/>
    <s v="ELETRICO"/>
    <x v="3"/>
    <s v="Corretivas"/>
    <n v="1.8313888889970258"/>
    <x v="1"/>
    <s v="NÃO EXP.MAE"/>
    <s v="NÃO"/>
    <n v="0"/>
    <n v="0"/>
    <n v="0"/>
    <x v="209"/>
    <d v="2026-07-24T03:25:10"/>
    <x v="0"/>
    <s v="2263792989"/>
    <s v="9000"/>
    <s v="HMC - Hora de Manutenção Corretiva"/>
    <s v="HMC - EXEC MANUT"/>
    <s v="Mãe"/>
    <x v="6"/>
    <s v="202603792989- BAIXA VOLTAGEM NO SISTEMA (BATERIA)- SUBSTITUIDO TENSIONADOR DO ALTERNADOR E REALIZADO A TROCA DA CORREIA"/>
    <s v="ELETRICO"/>
    <s v="BATERIA"/>
    <s v="BATERIA"/>
    <s v="FALHA"/>
    <s v="SUBSTITUIR"/>
    <s v="Elétrica"/>
    <s v="Eletrico - Bateria"/>
    <s v="Bateria"/>
  </r>
  <r>
    <n v="0"/>
    <m/>
    <m/>
    <m/>
    <m/>
    <m/>
    <m/>
    <m/>
    <m/>
    <m/>
    <m/>
    <m/>
    <m/>
    <n v="1"/>
    <s v="TREM DE FORÇA"/>
    <x v="3"/>
    <s v="Corretivas"/>
    <n v="0.92388888902496547"/>
    <x v="1"/>
    <s v="NÃO EXP.MAE"/>
    <s v="NÃO"/>
    <n v="0"/>
    <n v="0"/>
    <n v="0"/>
    <x v="210"/>
    <d v="2026-07-24T20:44:25"/>
    <x v="0"/>
    <s v="22638623"/>
    <s v="9000"/>
    <s v="HMC - Hora de Manutenção Corretiva"/>
    <s v="HMC - EXEC MANUT"/>
    <s v="Mãe"/>
    <x v="6"/>
    <s v="202603806203- BAIXO NIVEL DO OLEO DA TRANSMISSÃO - COMPLETADO 47LT DE OLEO DO CONVERSOR DE TORQUE"/>
    <s v="TREM DE FORCA"/>
    <s v="TRANSMISSAO"/>
    <s v="OLEO"/>
    <s v="BAIXO NIVEL"/>
    <s v="COMPLETAR"/>
    <s v="Mecânica"/>
    <s v="Transmis Forca - Conversor Torque"/>
    <s v="Conversor de Torque"/>
  </r>
  <r>
    <n v="0"/>
    <m/>
    <m/>
    <m/>
    <m/>
    <m/>
    <m/>
    <m/>
    <m/>
    <m/>
    <m/>
    <m/>
    <m/>
    <n v="1"/>
    <s v="COMUNICACAO"/>
    <x v="3"/>
    <s v="Acessórios"/>
    <n v="3.1219444444868714"/>
    <x v="0"/>
    <s v="EXP.MAE"/>
    <s v="NÃO"/>
    <n v="0"/>
    <n v="0"/>
    <n v="0"/>
    <x v="211"/>
    <d v="2026-07-25T07:32:56"/>
    <x v="0"/>
    <s v=""/>
    <s v="9031"/>
    <s v="HMC - Hora de Manutenção Corretiva"/>
    <s v="HMC - EXEC SIST EMBARCADOS/AUTOMACAO"/>
    <s v="Mãe"/>
    <x v="6"/>
    <s v="FALHA DE COMUNICAÇÃO - REAPERTARO O CABO A DO RÁDIO AVI"/>
    <s v="COMUNICACAO"/>
    <s v="COMUNICACAO"/>
    <s v="COMUNICACAO"/>
    <s v=""/>
    <s v=""/>
    <s v="Automação"/>
    <s v="Rádio Lte - Cabo Danificado"/>
    <s v="Rádio - Travado"/>
  </r>
  <r>
    <n v="0"/>
    <m/>
    <m/>
    <m/>
    <m/>
    <m/>
    <m/>
    <m/>
    <m/>
    <m/>
    <m/>
    <m/>
    <m/>
    <n v="1"/>
    <s v="COMUNICACAO"/>
    <x v="3"/>
    <s v="Acessórios"/>
    <n v="3.2044444443890825"/>
    <x v="0"/>
    <s v="EXP.MAE"/>
    <s v="NÃO"/>
    <n v="0"/>
    <n v="0"/>
    <n v="0"/>
    <x v="212"/>
    <d v="2026-07-26T00:41:00"/>
    <x v="0"/>
    <s v="2263816555"/>
    <s v="9031"/>
    <s v="HMC - Hora de Manutenção Corretiva"/>
    <s v="HMC - EXEC SIST EMBARCADOS/AUTOMACAO"/>
    <s v="Mãe"/>
    <x v="6"/>
    <s v="FALHA  NA TELA DO OPERADOR - NORMALIZAR CONECTIVIDADE - 202603816555"/>
    <s v="COMUNICACAO"/>
    <s v="COMUNICACAO"/>
    <s v="COMUNICACAO"/>
    <s v=""/>
    <s v=""/>
    <s v="Elétrica"/>
    <s v="Eletrico - Cabine"/>
    <s v="Monitor Video-Comunicacao"/>
  </r>
  <r>
    <n v="0"/>
    <m/>
    <m/>
    <m/>
    <m/>
    <m/>
    <m/>
    <m/>
    <m/>
    <m/>
    <m/>
    <m/>
    <m/>
    <n v="1"/>
    <s v="ELETRICO"/>
    <x v="3"/>
    <s v="Corretivas"/>
    <n v="4.219166666676756"/>
    <x v="1"/>
    <s v="NÃO EXP.MAE"/>
    <s v="NÃO"/>
    <n v="0"/>
    <n v="0"/>
    <n v="0"/>
    <x v="213"/>
    <d v="2026-07-26T20:49:12"/>
    <x v="0"/>
    <s v="2263827355"/>
    <s v="9000"/>
    <s v="HMC - Hora de Manutenção Corretiva"/>
    <s v="HMC - EXEC MANUT"/>
    <s v="Mãe"/>
    <x v="6"/>
    <s v="FALHA NA PARTIDA - 202603827355 - CORRIGIDO FALHA"/>
    <s v="ELETRICO"/>
    <s v="BATERIA"/>
    <s v="BATERIA"/>
    <s v="FALHA"/>
    <s v="SUBSTITUIR"/>
    <s v="Elétrica"/>
    <s v="Eletrico - Bateria"/>
    <s v="Bateria"/>
  </r>
  <r>
    <n v="0"/>
    <m/>
    <m/>
    <m/>
    <m/>
    <m/>
    <m/>
    <m/>
    <m/>
    <m/>
    <m/>
    <m/>
    <m/>
    <n v="1"/>
    <s v="ESTRUTURA"/>
    <x v="3"/>
    <s v="Corretivas"/>
    <n v="0.21861111104954034"/>
    <x v="1"/>
    <s v="NÃO EXP.MAE"/>
    <s v="NÃO"/>
    <n v="0"/>
    <n v="0"/>
    <n v="0"/>
    <x v="214"/>
    <d v="2026-07-27T16:33:27"/>
    <x v="0"/>
    <s v=""/>
    <s v="9000"/>
    <s v="HMC - Hora de Manutenção Corretiva"/>
    <s v="HMC - EXEC MANUT"/>
    <s v="Mãe"/>
    <x v="6"/>
    <s v="FALHA NA ELEVAÇÃO DA ESCADA -  COMPLETADO O NÍVEL DE ÓLEO DO RESERVATÓRIO DA ESCADA 5 LITROS - 202603847994"/>
    <s v="ESTRUTURA"/>
    <s v="ESCADA RETRATIL"/>
    <s v="OLEO"/>
    <s v="BAIXO NIVEL"/>
    <s v="COMPLETAR"/>
    <s v=""/>
    <s v=""/>
    <s v=""/>
  </r>
  <r>
    <n v="0"/>
    <m/>
    <m/>
    <m/>
    <m/>
    <m/>
    <m/>
    <m/>
    <m/>
    <m/>
    <m/>
    <m/>
    <m/>
    <n v="1"/>
    <s v="ELETRICO"/>
    <x v="3"/>
    <s v="Corretivas"/>
    <n v="3.3558333333930932"/>
    <x v="1"/>
    <s v="NÃO EXP.MAE"/>
    <s v="NÃO"/>
    <n v="0"/>
    <n v="0"/>
    <n v="0"/>
    <x v="215"/>
    <d v="2026-07-27T21:10:54"/>
    <x v="0"/>
    <s v="2263849113"/>
    <s v="9000"/>
    <s v="HMC - Hora de Manutenção Corretiva"/>
    <s v="HMC - EXEC MANUT"/>
    <s v="Mãe"/>
    <x v="6"/>
    <s v="FALHA NA ELEVAÇÃO DA ESCADA - SUBSTITUIR FUSÍVEL DO SISTEMA DA ESCADA E REALIZAR LIMPEZA NO CONECTOR DE ACIONAMENTO - 202603849113"/>
    <s v="ELETRICO"/>
    <s v="ESCADA RETRATIL"/>
    <s v="FUSIVEL"/>
    <s v="FALHA"/>
    <s v="SUBSTITUIR"/>
    <s v="Mecânica"/>
    <s v="Estrutura"/>
    <s v="Escada"/>
  </r>
  <r>
    <n v="0"/>
    <m/>
    <m/>
    <m/>
    <m/>
    <m/>
    <m/>
    <m/>
    <m/>
    <m/>
    <m/>
    <m/>
    <s v="NÃO"/>
    <n v="1"/>
    <s v="REVISÃO PREVENTIVA"/>
    <x v="4"/>
    <s v="Preventivas"/>
    <n v="0.73833333322545514"/>
    <x v="1"/>
    <s v="NÃO EXP.MAE"/>
    <s v="NÃO"/>
    <n v="0"/>
    <n v="0"/>
    <n v="0"/>
    <x v="216"/>
    <d v="2026-07-29T02:58:17"/>
    <x v="0"/>
    <s v=""/>
    <s v="7116"/>
    <s v="MPS - Hora Manutenção Preventiva Sistemática"/>
    <s v="MPS - AG LOCOMOCAO"/>
    <s v="Mãe"/>
    <x v="6"/>
    <s v="PM 250H + 03BLS "/>
    <s v="PREVENTIVA"/>
    <s v="PITSTOP"/>
    <s v=""/>
    <s v=""/>
    <s v=""/>
    <s v=""/>
    <s v=""/>
    <s v=""/>
  </r>
  <r>
    <n v="0"/>
    <m/>
    <m/>
    <m/>
    <m/>
    <m/>
    <m/>
    <m/>
    <m/>
    <m/>
    <m/>
    <m/>
    <m/>
    <n v="0"/>
    <s v="REVISÃO PREVENTIVA"/>
    <x v="4"/>
    <s v="Preventivas"/>
    <n v="2.7422222222085111"/>
    <x v="1"/>
    <s v="NÃO EXP.MAE"/>
    <s v="NÃO"/>
    <n v="0"/>
    <n v="0"/>
    <n v="0"/>
    <x v="217"/>
    <d v="2026-07-29T05:42:49"/>
    <x v="0"/>
    <s v=""/>
    <s v="7000"/>
    <s v="MPS - Hora Manutenção Preventiva Sistemática"/>
    <s v="MPS - EXEC MANUT"/>
    <s v="Mãe"/>
    <x v="6"/>
    <s v="PM 250H + 03BLS "/>
    <s v="PREVENTIVA"/>
    <s v="PITSTOP"/>
    <s v=""/>
    <s v=""/>
    <s v=""/>
    <s v=""/>
    <s v=""/>
    <s v=""/>
  </r>
  <r>
    <n v="0"/>
    <m/>
    <m/>
    <m/>
    <m/>
    <m/>
    <m/>
    <m/>
    <m/>
    <m/>
    <m/>
    <m/>
    <m/>
    <n v="1"/>
    <s v="LOCOMOÇÃO"/>
    <x v="1"/>
    <s v="Man. Pneus"/>
    <n v="14.676944444538094"/>
    <x v="1"/>
    <s v="NÃO EXP.MAE"/>
    <s v="NÃO"/>
    <n v="0"/>
    <n v="0"/>
    <n v="0"/>
    <x v="218"/>
    <d v="2026-07-30T04:59:47"/>
    <x v="0"/>
    <s v=""/>
    <s v="8010"/>
    <s v="MPNS - Hora Manutenção Preventiva não Sistemática"/>
    <s v="MPNS - EXEC BORRACHARIA"/>
    <s v="Mãe"/>
    <x v="6"/>
    <s v="SUBSTITUIR 2 PNEUS DIANTEIROS"/>
    <s v="LOCOMOCAO"/>
    <s v="RODA DE/DD"/>
    <s v="PNEU"/>
    <s v="AVARIA"/>
    <s v="SUBSTITUIR"/>
    <s v=""/>
    <s v=""/>
    <s v=""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0.38832748842833098"/>
    <n v="0"/>
    <n v="0"/>
    <x v="219"/>
    <d v="2026-07-30T04:59:47"/>
    <x v="0"/>
    <m/>
    <n v="8010"/>
    <s v="MPNS - Hora Manutenção Preventiva não Sistemática"/>
    <s v="MPNS - EXEC BORRACHARIA"/>
    <s v="Filha"/>
    <x v="6"/>
    <m/>
    <s v="LOCOMOCAO"/>
    <s v="RODA DE/DD"/>
    <s v="PNEU"/>
    <s v="AVARIA"/>
    <s v="SUBSTITUIR"/>
    <m/>
    <m/>
    <m/>
  </r>
  <r>
    <n v="0"/>
    <m/>
    <m/>
    <m/>
    <m/>
    <m/>
    <m/>
    <m/>
    <m/>
    <m/>
    <m/>
    <m/>
    <m/>
    <n v="1"/>
    <s v="COMBATE INCENDIO"/>
    <x v="3"/>
    <s v="Acessórios"/>
    <n v="7.0827777776867151"/>
    <x v="0"/>
    <s v="EXP.MAE"/>
    <s v="NÃO"/>
    <n v="0"/>
    <n v="0"/>
    <n v="0"/>
    <x v="220"/>
    <d v="2026-08-01T16:29:14"/>
    <x v="0"/>
    <m/>
    <s v="9032"/>
    <s v="HMC - Hora de Manutenção Corretiva"/>
    <s v="HMC - EXEC TERCEIROS TRABALHANDO"/>
    <s v="Mãe"/>
    <x v="7"/>
    <s v="FALHA NO LACRE DO AFEX-INSTALADO LACRE DO AFEX -202603939812"/>
    <s v="SISTEMA AFEX"/>
    <s v="COMBATE INCENDIO"/>
    <s v="CONECTOR"/>
    <s v="FIXACAO"/>
    <s v="FIXAR"/>
    <s v="Mecânica"/>
    <s v="Combate Incendio - Acionamento Automatico"/>
    <s v="Fiacao"/>
  </r>
  <r>
    <n v="0"/>
    <m/>
    <m/>
    <m/>
    <m/>
    <m/>
    <m/>
    <m/>
    <m/>
    <m/>
    <m/>
    <m/>
    <m/>
    <n v="1"/>
    <s v="MONI. PNEUS"/>
    <x v="3"/>
    <s v="Acessórios"/>
    <n v="2.4313888888573274"/>
    <x v="0"/>
    <s v="EXP.MAE"/>
    <s v="NÃO"/>
    <n v="0"/>
    <n v="0"/>
    <n v="0"/>
    <x v="221"/>
    <d v="2026-08-03T13:19:01"/>
    <x v="0"/>
    <s v="202603964795"/>
    <s v="9031"/>
    <s v="HMC - Hora de Manutenção Corretiva"/>
    <s v="HMC - EXEC SIST EMBARCADOS/AUTOMACAO"/>
    <s v="Mãe"/>
    <x v="7"/>
    <s v="202603964795 FALHA DE COMUNICAÇÃO DAS ANTENAS DO TRANSCEIVER DO MEMS"/>
    <s v="SISTEMA MONIT. DE PNEUS"/>
    <s v="MEMS"/>
    <s v="ANTENA"/>
    <s v="FALHA"/>
    <s v="CORRIGIR"/>
    <s v="Automação"/>
    <s v="Monit. Pneus - Cabo Danificado"/>
    <s v="Transceiver - Falha Comunicação"/>
  </r>
  <r>
    <n v="0"/>
    <m/>
    <m/>
    <m/>
    <m/>
    <m/>
    <m/>
    <m/>
    <m/>
    <m/>
    <m/>
    <m/>
    <m/>
    <n v="1"/>
    <s v="INSPEÇÃO SENSITIVA"/>
    <x v="4"/>
    <s v="Inspeção"/>
    <n v="1.652777777868323"/>
    <x v="1"/>
    <s v="NÃO EXP.MAE"/>
    <s v="NÃO"/>
    <n v="0"/>
    <n v="0"/>
    <n v="0"/>
    <x v="222"/>
    <d v="2026-08-03T14:58:11"/>
    <x v="0"/>
    <m/>
    <s v="7005"/>
    <s v="MPS - Hora Manutenção Preventiva Sistemática"/>
    <s v="MPS-EXEC INSP MECANICA"/>
    <s v="Mãe"/>
    <x v="7"/>
    <m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TREM DE FORÇA"/>
    <x v="3"/>
    <s v="Corretivas"/>
    <n v="0.99138888891320676"/>
    <x v="1"/>
    <s v="NÃO EXP.MAE"/>
    <s v="NÃO"/>
    <n v="0"/>
    <n v="0"/>
    <n v="0"/>
    <x v="223"/>
    <d v="2026-08-05T01:59:13"/>
    <x v="0"/>
    <s v="202603991415"/>
    <s v="9000"/>
    <s v="HMC - Hora de Manutenção Corretiva"/>
    <s v="HMC - EXEC MANUT"/>
    <s v="Mãe"/>
    <x v="7"/>
    <s v="BAIXO NIVEL DO OLEO DA TRANSMISSÃO  202603991415  OMPLETADO NÍVEL DE ÓLEO DA TRANSMISSÃO  MT:1150619"/>
    <s v="TREM DE FORCA"/>
    <s v="TRANSMISSAO"/>
    <s v="OLEO"/>
    <s v="BAIXO NIVEL"/>
    <s v="COMPLETAR"/>
    <s v="Mecânica"/>
    <s v="Transmis Forca - Tanque"/>
    <s v="Oleo-Nivel Baixo"/>
  </r>
  <r>
    <n v="0"/>
    <m/>
    <m/>
    <m/>
    <m/>
    <m/>
    <m/>
    <m/>
    <m/>
    <m/>
    <m/>
    <m/>
    <m/>
    <n v="1"/>
    <s v="HIDRAULICO"/>
    <x v="3"/>
    <s v="Corretivas"/>
    <n v="15.012222222110722"/>
    <x v="1"/>
    <s v="NÃO EXP.MAE"/>
    <s v="NÃO"/>
    <n v="0"/>
    <n v="0"/>
    <n v="0"/>
    <x v="224"/>
    <d v="2026-08-06T18:31:40"/>
    <x v="0"/>
    <s v="202604021802"/>
    <s v="9000"/>
    <s v="HMC - Hora de Manutenção Corretiva"/>
    <s v="HMC - EXEC MANUT"/>
    <s v="Mãe"/>
    <x v="7"/>
    <s v="202604021802- VAZAMENTO HIDRAULICO- SANADO VAZAMENTO HIDRAULICO"/>
    <s v="HIDRAULICO"/>
    <s v="TANQUE HIDRAULICO"/>
    <s v="MANGUEIRA"/>
    <s v="AVARIA"/>
    <s v="SUBSTITUIR"/>
    <s v="Mecânica"/>
    <s v="Elevacao - Hidraulico"/>
    <s v="Mangueira"/>
  </r>
  <r>
    <n v="0"/>
    <m/>
    <m/>
    <m/>
    <m/>
    <m/>
    <m/>
    <m/>
    <m/>
    <m/>
    <m/>
    <m/>
    <m/>
    <n v="1"/>
    <s v="DIRECAO"/>
    <x v="3"/>
    <s v="Corretivas"/>
    <n v="8.2072222221759148"/>
    <x v="1"/>
    <s v="NÃO EXP.MAE"/>
    <s v="NÃO"/>
    <n v="0"/>
    <n v="0"/>
    <n v="0"/>
    <x v="225"/>
    <d v="2026-08-08T10:43:54"/>
    <x v="0"/>
    <s v="202604059930"/>
    <s v="9000"/>
    <s v="HMC - Hora de Manutenção Corretiva"/>
    <s v="HMC - EXEC MANUT"/>
    <s v="Mãe"/>
    <x v="7"/>
    <s v="202604059930 - BAIXO NÍVEL DE ÓLEO DA DIREÇÃO - SUBSTITUIDO VEDAÇÃO DA MANGUEIRA DE SUPLEMENTO DA BOMBA DE DIREÇÃO."/>
    <s v="DIRECAO"/>
    <s v="LUBRIFICACAO"/>
    <s v="VEDACAO"/>
    <s v="AVARIA"/>
    <s v="SUBSTITUIR"/>
    <s v="Mecânica"/>
    <s v="Direcao - Hidraulico"/>
    <s v="Bomba de Oleo"/>
  </r>
  <r>
    <n v="0"/>
    <m/>
    <m/>
    <m/>
    <m/>
    <m/>
    <m/>
    <m/>
    <m/>
    <m/>
    <m/>
    <m/>
    <m/>
    <n v="1"/>
    <s v="AR CONDICIONADO"/>
    <x v="3"/>
    <s v="Corretivas"/>
    <n v="7.2402777778333984"/>
    <x v="1"/>
    <s v="NÃO EXP.MAE"/>
    <s v="NÃO"/>
    <n v="0"/>
    <n v="0"/>
    <n v="0"/>
    <x v="226"/>
    <d v="2026-08-08T21:53:47"/>
    <x v="0"/>
    <s v="202604067904"/>
    <s v="9000"/>
    <s v="HMC - Hora de Manutenção Corretiva"/>
    <s v="HMC - EXEC MANUT"/>
    <s v="Mãe"/>
    <x v="7"/>
    <s v="202604067904- FALHA NO AR CONDICIONADO- SUBSTITUIDO FILTRO DO AR"/>
    <s v="AR CONDICIONADO"/>
    <s v="FILTRO"/>
    <s v="FILTRO EXTERNO"/>
    <s v="OBSTRUCAO"/>
    <s v="TROCAR"/>
    <s v="Mecânica"/>
    <s v="Ar Condicionado - Filtro"/>
    <s v="Filtro"/>
  </r>
  <r>
    <n v="0"/>
    <m/>
    <m/>
    <m/>
    <m/>
    <m/>
    <m/>
    <m/>
    <m/>
    <m/>
    <m/>
    <m/>
    <m/>
    <n v="1"/>
    <s v="TREM DE FORÇA"/>
    <x v="3"/>
    <s v="Corretivas"/>
    <n v="0.87916666665114462"/>
    <x v="1"/>
    <s v="NÃO EXP.MAE"/>
    <s v="NÃO"/>
    <n v="0"/>
    <n v="0"/>
    <n v="0"/>
    <x v="227"/>
    <d v="2026-08-11T03:47:54"/>
    <x v="0"/>
    <s v="202604106431"/>
    <s v="9000"/>
    <s v="HMC - Hora de Manutenção Corretiva"/>
    <s v="HMC - EXEC MANUT"/>
    <s v="Mãe"/>
    <x v="7"/>
    <s v="VAZAMENTO DE OLEO HIDRAULICO NA TRANSMISSÃO  202604106431 COMPLETADO NIVEL DE OLEO HD 70 LITROS  MT:1150619"/>
    <s v="TREM DE FORCA"/>
    <s v="TRANSMISSAO"/>
    <s v="OLEO"/>
    <s v="BAIXO NIVEL"/>
    <s v="COMPLETAR"/>
    <s v="Mecânica"/>
    <s v="Transmis Forca - Tanque"/>
    <s v="Oleo"/>
  </r>
  <r>
    <n v="0"/>
    <m/>
    <m/>
    <m/>
    <m/>
    <m/>
    <m/>
    <m/>
    <m/>
    <m/>
    <m/>
    <m/>
    <m/>
    <n v="1"/>
    <s v="INSPEÇÃO SENSITIVA"/>
    <x v="4"/>
    <s v="Inspeção"/>
    <n v="1.5172222222317941"/>
    <x v="1"/>
    <s v="NÃO EXP.MAE"/>
    <s v="NÃO"/>
    <n v="0"/>
    <n v="0"/>
    <n v="0"/>
    <x v="228"/>
    <d v="2026-08-12T12:48:23"/>
    <x v="0"/>
    <m/>
    <s v="7005"/>
    <s v="MPS - Hora Manutenção Preventiva Sistemática"/>
    <s v="MPS-EXEC INSP MECANICA"/>
    <s v="Mãe"/>
    <x v="7"/>
    <s v="MACHINE GEN Atraso iniciado: MPS - Exec mecanica"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SISTEMA DE FREIO"/>
    <x v="3"/>
    <s v="Corretivas"/>
    <n v="10.821388888929505"/>
    <x v="1"/>
    <s v="NÃO EXP.MAE"/>
    <s v="NÃO"/>
    <n v="0"/>
    <n v="0"/>
    <n v="0"/>
    <x v="229"/>
    <d v="2026-08-15T03:34:10"/>
    <x v="0"/>
    <m/>
    <s v="9000"/>
    <s v="HMC - Hora de Manutenção Corretiva"/>
    <s v="HMC - EXEC MANUT"/>
    <s v="Mãe"/>
    <x v="7"/>
    <s v="FILTRO DOS FREIOS LADO DIREITO E BAIXA PRESSÃO DO ACUMULADOR DA DIREÇÃO- SUBSTITUIDO SENSOR DE PRESSÃO DO FREIO , CORRIGIDO SINAL DO FREIO, COMPLETADO OLEO DA TRANSMISSÃO"/>
    <s v="FRENAGEM"/>
    <s v="FREIO"/>
    <s v="SENSOR DE PRESSAO"/>
    <s v="FALHA"/>
    <s v="SUBSTITUIR"/>
    <s v="Mecânica"/>
    <s v="Frenagem - Freio 1"/>
    <s v="Conexoes"/>
  </r>
  <r>
    <n v="0"/>
    <m/>
    <m/>
    <m/>
    <m/>
    <m/>
    <m/>
    <m/>
    <m/>
    <m/>
    <m/>
    <m/>
    <m/>
    <n v="1"/>
    <s v="ESTRUTURA"/>
    <x v="3"/>
    <s v="Corretivas"/>
    <n v="5.278888888831716"/>
    <x v="1"/>
    <s v="NÃO EXP.MAE"/>
    <s v="NÃO"/>
    <n v="0"/>
    <n v="0"/>
    <n v="0"/>
    <x v="230"/>
    <d v="2026-08-17T11:55:33"/>
    <x v="0"/>
    <s v="202604291812"/>
    <s v="9000"/>
    <s v="HMC - Hora de Manutenção Corretiva"/>
    <s v="HMC - EXEC MANUT"/>
    <s v="Mãe"/>
    <x v="7"/>
    <s v="202604291812 FALHA NO BANCO DO OPERADOR - SUB COMPRESSOR , SUBS BOLSA DO BANCO DO OPERADOR"/>
    <s v="ESTRUTURA"/>
    <s v="CABINE"/>
    <s v="COMPRESSOR/VEDACAO"/>
    <s v="AVARIA"/>
    <s v="SUBSTITUIR"/>
    <s v="Mecânica"/>
    <s v="Estrutura - Cabine"/>
    <s v="Banco-Ajuste"/>
  </r>
  <r>
    <n v="0"/>
    <m/>
    <m/>
    <m/>
    <m/>
    <m/>
    <m/>
    <m/>
    <m/>
    <m/>
    <m/>
    <m/>
    <m/>
    <n v="1"/>
    <s v="TREM DE FORÇA"/>
    <x v="3"/>
    <s v="Corretivas"/>
    <n v="6.7344444444752298"/>
    <x v="1"/>
    <s v="NÃO EXP.MAE"/>
    <s v="NÃO"/>
    <n v="0"/>
    <n v="0"/>
    <n v="0"/>
    <x v="231"/>
    <d v="2026-08-20T22:47:42"/>
    <x v="0"/>
    <s v="202604385812"/>
    <s v="9000"/>
    <s v="HMC - Hora de Manutenção Corretiva"/>
    <s v="HMC - EXEC MANUT"/>
    <s v="Mãe"/>
    <x v="7"/>
    <s v="202604385812- BAIXO NÍVEL DO ÓLEO DA TRANSMISSÃO- COMPLETADO OLEO DA TRANSMISSÃO COM 40LITROS"/>
    <s v="TREM DE FORCA"/>
    <s v="LUBRIFICACAO"/>
    <s v="OLEO"/>
    <s v="BAIXO NIVEL"/>
    <s v="COMPLETAR"/>
    <s v="Mecânica"/>
    <s v="Transmis Forca - Transmissao"/>
    <s v="Transmissao"/>
  </r>
  <r>
    <n v="0"/>
    <m/>
    <m/>
    <m/>
    <m/>
    <m/>
    <m/>
    <m/>
    <m/>
    <m/>
    <m/>
    <m/>
    <m/>
    <n v="1"/>
    <s v="COMUNICACAO"/>
    <x v="3"/>
    <s v="Acessórios"/>
    <n v="5.6874999999417923"/>
    <x v="0"/>
    <s v="EXP.MAE"/>
    <s v="NÃO"/>
    <n v="0"/>
    <n v="0"/>
    <n v="0"/>
    <x v="232"/>
    <d v="2026-08-22T10:43:05"/>
    <x v="0"/>
    <s v="202604406654"/>
    <s v="9031"/>
    <s v="HMC - Hora de Manutenção Corretiva"/>
    <s v="HMC - EXEC SIST EMBARCADOS/AUTOMACAO"/>
    <s v="Mãe"/>
    <x v="7"/>
    <s v="202604406654 FALHA DE COMUNICAÇÃO - TROCA DO CABO DE INTERNET"/>
    <s v="COMUNICACAO"/>
    <s v="COMUNICACAO"/>
    <s v="COMUNICACAO"/>
    <s v="COMUNICACAO"/>
    <s v="COMUNICACAO"/>
    <s v="Automação"/>
    <s v="Alerta De Proximidade  - Configuração Errada"/>
    <s v="Display - Falha Comunicação"/>
  </r>
  <r>
    <n v="0"/>
    <m/>
    <m/>
    <m/>
    <m/>
    <m/>
    <m/>
    <m/>
    <m/>
    <m/>
    <m/>
    <m/>
    <m/>
    <n v="1"/>
    <s v="REVISÃO PREVENTIVA"/>
    <x v="4"/>
    <s v="Preventivas"/>
    <n v="3.1824999998789281"/>
    <x v="1"/>
    <s v="NÃO EXP.MAE"/>
    <s v="NÃO"/>
    <n v="0"/>
    <n v="0"/>
    <n v="0"/>
    <x v="233"/>
    <d v="2026-08-23T12:37:00"/>
    <x v="0"/>
    <m/>
    <s v="7000"/>
    <s v="MPS - Hora Manutenção Preventiva Sistemática"/>
    <s v="MPS - EXEC MANUT"/>
    <s v="Mãe"/>
    <x v="7"/>
    <s v="PM 500h + 28 BLs"/>
    <s v="PREVENTIVA"/>
    <s v="500 HORAS"/>
    <s v=""/>
    <s v=""/>
    <s v=""/>
    <m/>
    <m/>
    <m/>
  </r>
  <r>
    <n v="0"/>
    <m/>
    <m/>
    <m/>
    <m/>
    <m/>
    <m/>
    <m/>
    <m/>
    <m/>
    <m/>
    <m/>
    <m/>
    <n v="0"/>
    <s v="REVISÃO PREVENTIVA"/>
    <x v="4"/>
    <s v="Preventivas"/>
    <n v="4.2047222223482095"/>
    <x v="1"/>
    <s v="NÃO EXP.MAE"/>
    <s v="NÃO"/>
    <n v="0"/>
    <n v="0"/>
    <n v="0"/>
    <x v="234"/>
    <d v="2026-08-23T16:49:17"/>
    <x v="0"/>
    <m/>
    <s v="7011"/>
    <s v="MPS - Hora Manutenção Preventiva Sistemática"/>
    <s v="MPS - EXEC LAVADOR"/>
    <s v="Mãe"/>
    <x v="7"/>
    <s v="PM 500h + 28 BLs"/>
    <s v="PREVENTIVA"/>
    <s v="500 HORAS"/>
    <s v=""/>
    <s v=""/>
    <s v=""/>
    <m/>
    <m/>
    <m/>
  </r>
  <r>
    <n v="0"/>
    <m/>
    <m/>
    <m/>
    <m/>
    <m/>
    <m/>
    <m/>
    <m/>
    <m/>
    <m/>
    <m/>
    <m/>
    <n v="0"/>
    <s v="REVISÃO PREVENTIVA"/>
    <x v="4"/>
    <s v="Preventivas"/>
    <n v="58.12083333323244"/>
    <x v="1"/>
    <s v="NÃO EXP.MAE"/>
    <s v="NÃO"/>
    <n v="0"/>
    <n v="0"/>
    <n v="0"/>
    <x v="235"/>
    <d v="2026-08-26T02:56:32"/>
    <x v="0"/>
    <m/>
    <s v="7000"/>
    <s v="MPS - Hora Manutenção Preventiva Sistemática"/>
    <s v="MPS - EXEC MANUT"/>
    <s v="Mãe"/>
    <x v="7"/>
    <s v="PM 500h + 28 BLs"/>
    <s v="PREVENTIVA"/>
    <s v="500 HORAS"/>
    <s v=""/>
    <s v=""/>
    <s v=""/>
    <m/>
    <m/>
    <m/>
  </r>
  <r>
    <n v="0"/>
    <m/>
    <m/>
    <m/>
    <m/>
    <m/>
    <m/>
    <m/>
    <m/>
    <m/>
    <m/>
    <m/>
    <m/>
    <n v="1"/>
    <s v="DIRECAO"/>
    <x v="3"/>
    <s v="Corretivas"/>
    <n v="1.066388888808433"/>
    <x v="1"/>
    <s v="NÃO EXP.MAE"/>
    <s v="NÃO"/>
    <n v="0"/>
    <n v="0"/>
    <n v="0"/>
    <x v="236"/>
    <d v="2026-08-30T16:32:46"/>
    <x v="0"/>
    <m/>
    <s v="9000"/>
    <s v="HMC - Hora de Manutenção Corretiva"/>
    <s v="HMC - EXEC MANUT"/>
    <s v="Mãe"/>
    <x v="7"/>
    <s v="202604553582 - COMPLETADO 143 L DE ÓLEO HIDRAULICO - TM_3 -   ALARME BAIXO NÍVEL DE ÓLEO DA DIREÇÃO"/>
    <s v="DIRECAO"/>
    <s v="HIDRAULICO"/>
    <s v="OLEO"/>
    <s v="BAIXO NIVEL"/>
    <s v="COMPLETAR"/>
    <m/>
    <m/>
    <m/>
  </r>
  <r>
    <n v="0"/>
    <m/>
    <m/>
    <m/>
    <m/>
    <m/>
    <m/>
    <m/>
    <m/>
    <m/>
    <m/>
    <m/>
    <m/>
    <n v="1"/>
    <s v="INSPEÇÃO SENSITIVA"/>
    <x v="4"/>
    <s v="Inspeção"/>
    <n v="1.0608333333511837"/>
    <x v="1"/>
    <s v="NÃO EXP.MAE"/>
    <s v="NÃO"/>
    <n v="0"/>
    <n v="0"/>
    <n v="0"/>
    <x v="237"/>
    <d v="2026-08-31T11:19:01"/>
    <x v="0"/>
    <m/>
    <s v="7005"/>
    <s v="MPS - Hora Manutenção Preventiva Sistemática"/>
    <s v="MPS-EXEC INSP MECANICA"/>
    <s v="Mãe"/>
    <x v="7"/>
    <s v="MACHINE GEN Started a delay: MPS - Exec insp mecanica"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REVISÃO PREVENTIVA"/>
    <x v="4"/>
    <s v="Preventivas"/>
    <n v="4.2041666666627862"/>
    <x v="1"/>
    <s v="NÃO EXP.MAE"/>
    <s v="NÃO"/>
    <n v="0"/>
    <n v="0"/>
    <n v="0"/>
    <x v="238"/>
    <d v="2026-09-01T20:33:33"/>
    <x v="0"/>
    <s v="202604593327"/>
    <s v="7000"/>
    <s v="MPS - Hora Manutenção Preventiva Sistemática"/>
    <s v="MPS - EXEC MANUT"/>
    <s v="Mãe"/>
    <x v="8"/>
    <s v="202604593327- BAIXO NÍVEL DE OLEO DA TRANSMISSÃO - ALARMANDO FREIOS DE FORÇA - COMPLETADO OLEO DA TRANSMISSÃO E DIREÇÃO"/>
    <s v="PREVENTIVA"/>
    <s v="4000 HORAS"/>
    <s v="OLEO"/>
    <s v="BAIXO NIVEL"/>
    <s v="COMPLETAR"/>
    <s v="Mecânica"/>
    <s v="Transmis Forca - Tanque"/>
    <s v="Oleo-Nivel Baixo"/>
  </r>
  <r>
    <n v="0"/>
    <m/>
    <m/>
    <m/>
    <m/>
    <m/>
    <m/>
    <m/>
    <m/>
    <m/>
    <m/>
    <m/>
    <m/>
    <n v="1"/>
    <s v="REVISÃO PREVENTIVA"/>
    <x v="3"/>
    <s v="Preventivas"/>
    <n v="0.83638888882705942"/>
    <x v="1"/>
    <s v="NÃO EXP.MAE"/>
    <s v="NÃO"/>
    <n v="0"/>
    <n v="0"/>
    <n v="0"/>
    <x v="239"/>
    <d v="2026-09-02T04:38:50"/>
    <x v="0"/>
    <s v="202604604310"/>
    <s v="9000"/>
    <s v="HMC - Hora de Manutenção Corretiva"/>
    <s v="HMC - EXEC MANUT"/>
    <s v="Mãe"/>
    <x v="8"/>
    <s v="202604604310- BAIXA VOLTAGEM DAS BATERIAS - CORRIGIDO CORDOALHA  E CORRIGIDO ATRITO DO SENSOR DE NIVEL DA TRANSMMISSÃO"/>
    <s v="PREVENTIVA"/>
    <s v="4000 HORAS"/>
    <s v="CABO/FIACAO"/>
    <s v="FALHA"/>
    <s v="CORRIGIR"/>
    <s v="Elétrica"/>
    <s v="Eletrico - Bateria"/>
    <s v="Bateria"/>
  </r>
  <r>
    <n v="0"/>
    <m/>
    <m/>
    <m/>
    <m/>
    <m/>
    <m/>
    <m/>
    <m/>
    <m/>
    <m/>
    <m/>
    <m/>
    <n v="1"/>
    <s v="SISTEMA DE FREIO"/>
    <x v="3"/>
    <s v="Corretivas"/>
    <n v="3.0922222221270204"/>
    <x v="1"/>
    <s v="NÃO EXP.MAE"/>
    <s v="NÃO"/>
    <n v="0"/>
    <n v="0"/>
    <n v="0"/>
    <x v="240"/>
    <d v="2026-09-02T08:46:03"/>
    <x v="0"/>
    <m/>
    <s v="9000"/>
    <s v="HMC - Hora de Manutenção Corretiva"/>
    <s v="HMC - EXEC MANUT"/>
    <s v="Mãe"/>
    <x v="8"/>
    <s v="ALIMENTAÇÃO 8V DO SISTEMA DO FREIO - SUBS SENSOR DE TEMPERATURA DO DIFERENCIAL."/>
    <s v="FRENAGEM"/>
    <s v="FREIO"/>
    <s v="SENSOR DE TEMPERATURA"/>
    <s v="FALHA"/>
    <s v="SUBSTITUIR"/>
    <s v="Mecânica"/>
    <s v="Frenagem - Freio Traseiro"/>
    <s v="Trocador de calor"/>
  </r>
  <r>
    <n v="0"/>
    <m/>
    <m/>
    <m/>
    <m/>
    <m/>
    <m/>
    <m/>
    <m/>
    <m/>
    <m/>
    <m/>
    <m/>
    <n v="1"/>
    <s v="TREM DE FORÇA"/>
    <x v="3"/>
    <s v="Corretivas"/>
    <n v="1.7369444444775581"/>
    <x v="1"/>
    <s v="NÃO EXP.MAE"/>
    <s v="NÃO"/>
    <n v="0"/>
    <n v="0"/>
    <n v="0"/>
    <x v="241"/>
    <d v="2026-09-05T00:13:38"/>
    <x v="0"/>
    <s v="202604665778"/>
    <s v="9000"/>
    <s v="HMC - Hora de Manutenção Corretiva"/>
    <s v="HMC - EXEC MANUT"/>
    <s v="Mãe"/>
    <x v="8"/>
    <s v="BAIXO NÍVEL DE ÓLEO DA TRANSMISSÃO - 202604665778   COMPLETADO 60 LITROS DE OLEO DA TRANSMISSÃO MT:1150619"/>
    <s v="TREM DE FORCA"/>
    <s v="TRANSMISSAO"/>
    <s v="OLEO"/>
    <s v="BAIXO NIVEL"/>
    <s v="COMPLETAR"/>
    <s v="Mecânica"/>
    <s v="Transmissao - Lubrificacao"/>
    <s v="Oleo"/>
  </r>
  <r>
    <n v="0"/>
    <m/>
    <m/>
    <m/>
    <m/>
    <m/>
    <m/>
    <m/>
    <m/>
    <m/>
    <m/>
    <m/>
    <m/>
    <n v="1"/>
    <s v="LOCOMOÇÃO"/>
    <x v="1"/>
    <s v="Man. Pneus"/>
    <n v="0.46055555547354743"/>
    <x v="1"/>
    <s v="NÃO EXP.MAE"/>
    <s v="NÃO"/>
    <n v="0"/>
    <n v="0"/>
    <n v="0"/>
    <x v="242"/>
    <d v="2026-09-06T03:16:45"/>
    <x v="0"/>
    <m/>
    <s v="8010"/>
    <s v="MPNS - Hora Manutenção Preventiva não Sistemática"/>
    <s v="MPNS - EXEC BORRACHARIA"/>
    <s v="Mãe"/>
    <x v="8"/>
    <m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AR CONDICIONADO"/>
    <x v="3"/>
    <s v="Corretivas"/>
    <n v="3.4350000000558794"/>
    <x v="1"/>
    <s v="NÃO EXP.MAE"/>
    <s v="NÃO"/>
    <n v="0"/>
    <n v="0"/>
    <n v="0"/>
    <x v="243"/>
    <d v="2026-09-07T22:01:14"/>
    <x v="0"/>
    <s v="202604702807"/>
    <s v="9000"/>
    <s v="HMC - Hora de Manutenção Corretiva"/>
    <s v="HMC - EXEC MANUT"/>
    <s v="Mãe"/>
    <x v="8"/>
    <s v="202604702807- FALHA NO ARCONDICIONADO - SUBSTITUIDO RELÉ DO AC"/>
    <s v="AR CONDICIONADO"/>
    <s v="ELETRICO"/>
    <s v="RELE"/>
    <s v="FALHA"/>
    <s v="SUBSTITUIR"/>
    <s v="Elétrica"/>
    <s v="Ar Condicionado - Painel"/>
    <s v="Rele Termico"/>
  </r>
  <r>
    <n v="0"/>
    <m/>
    <m/>
    <m/>
    <m/>
    <m/>
    <m/>
    <m/>
    <m/>
    <m/>
    <m/>
    <m/>
    <m/>
    <n v="1"/>
    <s v="TREM DE FORÇA"/>
    <x v="3"/>
    <s v="Corretivas"/>
    <n v="0.60166666674194857"/>
    <x v="1"/>
    <s v="NÃO EXP.MAE"/>
    <s v="NÃO"/>
    <n v="0"/>
    <n v="0"/>
    <n v="0"/>
    <x v="244"/>
    <d v="2026-09-10T14:54:52"/>
    <x v="0"/>
    <s v="202604770674"/>
    <s v="9000"/>
    <s v="HMC - Hora de Manutenção Corretiva"/>
    <s v="HMC - EXEC MANUT"/>
    <s v="Mãe"/>
    <x v="8"/>
    <s v="202604770674 BAIXO NIVEL DO OLEO DA TRANSMISSÃO - COMPLETADO 40 LITROS DE OLEO DA TRANSMISSÃO"/>
    <s v="TREM DE FORCA"/>
    <s v="LUBRIFICACAO"/>
    <s v="OLEO"/>
    <s v="BAIXO NIVEL"/>
    <s v="COMPLETAR"/>
    <s v="Mecânica"/>
    <s v="Transmissao - Lubrificacao"/>
    <s v="Oleo"/>
  </r>
  <r>
    <n v="0"/>
    <m/>
    <m/>
    <m/>
    <m/>
    <m/>
    <m/>
    <m/>
    <m/>
    <m/>
    <m/>
    <m/>
    <m/>
    <n v="1"/>
    <s v="LOCOMOÇÃO"/>
    <x v="1"/>
    <s v="Man. Pneus"/>
    <n v="2.3622222222620621"/>
    <x v="0"/>
    <s v="EXP.MAE"/>
    <s v="NÃO"/>
    <n v="0"/>
    <n v="0"/>
    <n v="0"/>
    <x v="245"/>
    <d v="2026-09-11T21:38:42"/>
    <x v="0"/>
    <m/>
    <s v="8110"/>
    <s v="MPNS - Hora Manutenção Preventiva não Sistemática"/>
    <s v="MPNS - AG BORRACHARIA"/>
    <s v="Mãe"/>
    <x v="8"/>
    <m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ESTRUTURA"/>
    <x v="3"/>
    <s v="Corretivas"/>
    <n v="3.6713888888480142"/>
    <x v="1"/>
    <s v="NÃO EXP.MAE"/>
    <s v="NÃO"/>
    <n v="0"/>
    <n v="0"/>
    <n v="0"/>
    <x v="246"/>
    <d v="2026-09-13T16:23:05"/>
    <x v="0"/>
    <m/>
    <s v="9000"/>
    <s v="HMC - Hora de Manutenção Corretiva"/>
    <s v="HMC - EXEC MANUT"/>
    <s v="Mãe"/>
    <x v="8"/>
    <s v="202604807919 - FALHA NA ELEVAÇÃO DO VIDRO DA PORTA DO OPERADOR. - SEM ATUAÇÃO DA MANUTENÇÃO."/>
    <s v="ESTRUTURA"/>
    <s v="CABINE"/>
    <s v="VIDRO DA PORTA"/>
    <s v="SEM ATUACAO"/>
    <s v=""/>
    <s v="Mecânica"/>
    <s v="Estrutura - Cabine"/>
    <s v="Vidro"/>
  </r>
  <r>
    <n v="0"/>
    <m/>
    <m/>
    <m/>
    <m/>
    <m/>
    <m/>
    <m/>
    <m/>
    <m/>
    <m/>
    <m/>
    <m/>
    <n v="1"/>
    <s v="REVISÃO PREVENTIVA"/>
    <x v="4"/>
    <s v="Preventivas"/>
    <n v="2.8047222221503034"/>
    <x v="0"/>
    <s v="EXP.MAE"/>
    <s v="NÃO"/>
    <n v="0"/>
    <n v="0"/>
    <n v="0"/>
    <x v="247"/>
    <d v="2026-09-13T19:17:53"/>
    <x v="0"/>
    <m/>
    <s v="7116"/>
    <s v="MPS - Hora Manutenção Preventiva Sistemática"/>
    <s v="MPS - AG LOCOMOCAO"/>
    <s v="Mãe"/>
    <x v="8"/>
    <s v="PM 250h + 08BLs"/>
    <s v="PREVENTIVA"/>
    <s v="PITSTOP"/>
    <s v=""/>
    <s v=""/>
    <s v=""/>
    <m/>
    <m/>
    <m/>
  </r>
  <r>
    <n v="0"/>
    <m/>
    <m/>
    <m/>
    <m/>
    <m/>
    <m/>
    <m/>
    <m/>
    <m/>
    <m/>
    <m/>
    <m/>
    <n v="0"/>
    <s v="REVISÃO PREVENTIVA"/>
    <x v="4"/>
    <s v="Preventivas"/>
    <n v="8.0416666666860692"/>
    <x v="1"/>
    <s v="NÃO EXP.MAE"/>
    <s v="NÃO"/>
    <n v="0"/>
    <n v="0"/>
    <n v="0"/>
    <x v="248"/>
    <d v="2026-09-14T03:20:23"/>
    <x v="0"/>
    <m/>
    <s v="7000"/>
    <s v="MPS - Hora Manutenção Preventiva Sistemática"/>
    <s v="MPS - EXEC MANUT"/>
    <s v="Mãe"/>
    <x v="8"/>
    <s v="PM 250h + 08BLs"/>
    <s v="PREVENTIVA"/>
    <s v="PITSTOP"/>
    <s v=""/>
    <s v=""/>
    <s v=""/>
    <m/>
    <m/>
    <m/>
  </r>
  <r>
    <n v="0"/>
    <m/>
    <m/>
    <m/>
    <m/>
    <m/>
    <m/>
    <m/>
    <m/>
    <m/>
    <m/>
    <m/>
    <m/>
    <n v="1"/>
    <s v="INSPEÇÃO SENSITIVA"/>
    <x v="4"/>
    <s v="Inspeção"/>
    <n v="1.1641666667419486"/>
    <x v="1"/>
    <s v="NÃO EXP.MAE"/>
    <s v="NÃO"/>
    <n v="0"/>
    <n v="0"/>
    <n v="0"/>
    <x v="249"/>
    <d v="2026-09-14T11:26:51"/>
    <x v="0"/>
    <m/>
    <s v="7005"/>
    <s v="MPS - Hora Manutenção Preventiva Sistemática"/>
    <s v="MPS-EXEC INSP MECANICA"/>
    <s v="Mãe"/>
    <x v="8"/>
    <m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LOCOMOÇÃO"/>
    <x v="1"/>
    <s v="Man. Pneus"/>
    <n v="1.0941666667931713"/>
    <x v="1"/>
    <s v="NÃO EXP.MAE"/>
    <s v="NÃO"/>
    <n v="0"/>
    <n v="0"/>
    <n v="0"/>
    <x v="250"/>
    <d v="2026-09-15T09:36:19"/>
    <x v="0"/>
    <m/>
    <s v="8010"/>
    <s v="MPNS - Hora Manutenção Preventiva não Sistemática"/>
    <s v="MPNS - EXEC BORRACHARIA"/>
    <s v="Mãe"/>
    <x v="8"/>
    <s v="MACHINE GEN Atraso iniciado: HMC - Exec borracharia"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DIRECAO"/>
    <x v="3"/>
    <s v="Corretivas"/>
    <n v="1.8641666667535901"/>
    <x v="1"/>
    <s v="NÃO EXP.MAE"/>
    <s v="NÃO"/>
    <n v="0"/>
    <n v="0"/>
    <n v="0"/>
    <x v="251"/>
    <d v="2026-09-20T07:51:51"/>
    <x v="0"/>
    <s v="202604947029"/>
    <s v="9000"/>
    <s v="HMC - Hora de Manutenção Corretiva"/>
    <s v="HMC - EXEC MANUT"/>
    <s v="Mãe"/>
    <x v="8"/>
    <s v="202604947029 - BAIXO NIVEL DE OLEO DA DIREÇÃO  - COMPLETADO 40 L DE DIREÇÃO."/>
    <s v="DIRECAO"/>
    <s v="LUBRIFICACAO"/>
    <s v="OLEO"/>
    <s v="BAIXO NIVEL"/>
    <s v="COMPLETAR"/>
    <s v="Mecânica"/>
    <s v="Direcao - Tanque Oleo"/>
    <s v="Oleo-Nivel Baixo"/>
  </r>
  <r>
    <n v="0"/>
    <m/>
    <m/>
    <m/>
    <m/>
    <m/>
    <m/>
    <m/>
    <m/>
    <m/>
    <m/>
    <m/>
    <m/>
    <n v="1"/>
    <s v="TREM DE FORÇA"/>
    <x v="3"/>
    <s v="Corretivas"/>
    <n v="0.18333333323244005"/>
    <x v="1"/>
    <s v="NÃO EXP.MAE"/>
    <s v="NÃO"/>
    <n v="0"/>
    <n v="0"/>
    <n v="0"/>
    <x v="252"/>
    <d v="2026-09-20T08:53:24"/>
    <x v="0"/>
    <s v="202604947029"/>
    <s v="9000"/>
    <s v="HMC - Hora de Manutenção Corretiva"/>
    <s v="HMC - EXEC MANUT"/>
    <s v="Mãe"/>
    <x v="8"/>
    <s v="202604947029 - BAIXO NIVEL DO OLEO DA TRANSMISSÃO - COMPLETADO 40 L DE  OLEO DA TRANSMISSÃO"/>
    <s v="TREM DE FORCA"/>
    <s v="LUBRIFICACAO"/>
    <s v="OLEO"/>
    <s v="BAIXO NIVEL"/>
    <s v="COMPLETAR"/>
    <s v="Mecânica"/>
    <s v="Direcao - Tanque Oleo"/>
    <s v="Oleo-Nivel Baixo"/>
  </r>
  <r>
    <n v="0"/>
    <m/>
    <m/>
    <m/>
    <m/>
    <m/>
    <m/>
    <m/>
    <m/>
    <m/>
    <m/>
    <m/>
    <m/>
    <n v="1"/>
    <s v="AR CONDICIONADO"/>
    <x v="3"/>
    <s v="Corretivas"/>
    <n v="6.097500000090804"/>
    <x v="1"/>
    <s v="NÃO EXP.MAE"/>
    <s v="NÃO"/>
    <n v="0"/>
    <n v="0"/>
    <n v="0"/>
    <x v="253"/>
    <d v="2026-09-20T21:50:42"/>
    <x v="0"/>
    <s v="202604950622"/>
    <s v="9000"/>
    <s v="HMC - Hora de Manutenção Corretiva"/>
    <s v="HMC - EXEC MANUT"/>
    <s v="Mãe"/>
    <x v="8"/>
    <s v="202604950622 - FALHA NO AR CONDICIONADO   - REALIZADO  LIMPEZA DA VÁLVULA DO MANIFOLD DO COMPRESSOR E COMPLETA CARGA DE GÁS  MT:1150581"/>
    <s v="AR CONDICIONADO"/>
    <s v="COMPRESSOR"/>
    <s v="VALVULA"/>
    <s v="SUJEIRA"/>
    <s v="LIMPAR"/>
    <s v="Mecânica"/>
    <s v="Ar Condicionado - Compressor"/>
    <s v="Compressor"/>
  </r>
  <r>
    <n v="0"/>
    <m/>
    <m/>
    <m/>
    <m/>
    <m/>
    <m/>
    <m/>
    <m/>
    <m/>
    <m/>
    <m/>
    <m/>
    <n v="1"/>
    <s v="INSPEÇÃO SENSITIVA"/>
    <x v="4"/>
    <s v="Inspeção"/>
    <n v="1.218333333323244"/>
    <x v="1"/>
    <s v="NÃO EXP.MAE"/>
    <s v="NÃO"/>
    <n v="0"/>
    <n v="0"/>
    <n v="0"/>
    <x v="254"/>
    <d v="2026-09-28T11:30:17"/>
    <x v="0"/>
    <m/>
    <s v="7005"/>
    <s v="MPS - Hora Manutenção Preventiva Sistemática"/>
    <s v="MPS-EXEC INSP MECANICA"/>
    <s v="Mãe"/>
    <x v="8"/>
    <s v="MACHINE GEN Atraso iniciado: MPNS - Exec mecanica"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ELETRICO"/>
    <x v="3"/>
    <s v="Corretivas"/>
    <n v="0.68333333329064772"/>
    <x v="1"/>
    <s v="NÃO EXP.MAE"/>
    <s v="NÃO"/>
    <n v="0"/>
    <n v="0"/>
    <n v="0"/>
    <x v="255"/>
    <d v="2026-09-30T00:51:32"/>
    <x v="0"/>
    <s v="202605125143"/>
    <s v="9000"/>
    <s v="HMC - Hora de Manutenção Corretiva"/>
    <s v="HMC - EXEC MANUT"/>
    <s v="Mãe"/>
    <x v="8"/>
    <s v="BAIXA PRESSÃO DO ACUMULADOR DE DIREÇÃO  202605125143   CORRIGIDO FALHA DE DESCONEXÃO DO SOLENOIDE DA BOMBA DE ARREFECIMENTO DOS_x000d__x000a_FREIOS"/>
    <s v="ELETRICO"/>
    <s v="ACUMULADOR"/>
    <s v="SENSOR DE PRESSAO"/>
    <s v="FALHA"/>
    <s v="CORRIGIR"/>
    <s v="Elétrica"/>
    <s v="Direcao - Acumulador"/>
    <s v="Sensor"/>
  </r>
  <r>
    <n v="0"/>
    <m/>
    <m/>
    <m/>
    <m/>
    <m/>
    <m/>
    <m/>
    <m/>
    <m/>
    <m/>
    <m/>
    <m/>
    <n v="1"/>
    <s v="DIRECAO"/>
    <x v="3"/>
    <s v="Corretivas"/>
    <n v="0.26277777773793787"/>
    <x v="1"/>
    <s v="NÃO EXP.MAE"/>
    <s v="NÃO"/>
    <n v="0"/>
    <n v="0"/>
    <n v="0"/>
    <x v="256"/>
    <d v="2026-10-01T22:59:31"/>
    <x v="0"/>
    <s v="202605174127"/>
    <s v="9000"/>
    <s v="HMC - Hora de Manutenção Corretiva"/>
    <s v="HMC - EXEC MANUT"/>
    <s v="Mãe"/>
    <x v="9"/>
    <s v="202605174127- BAIXO NIVEL DO OLEO DA DIREÇÃO COMPLETADO NIVEL DO OLEO DIREÇÃO E TRANSMISSÃO"/>
    <s v="DIRECAO"/>
    <s v="HIDRAULICO"/>
    <s v="OLEO"/>
    <s v="BAIXO NIVEL"/>
    <s v="COMPLETAR"/>
    <s v="Mecânica"/>
    <s v="Direcao - Filtro"/>
    <s v="Filtro-Vazamento"/>
  </r>
  <r>
    <n v="0"/>
    <m/>
    <m/>
    <m/>
    <m/>
    <m/>
    <m/>
    <m/>
    <m/>
    <m/>
    <m/>
    <m/>
    <m/>
    <n v="1"/>
    <s v="COMUNICACAO"/>
    <x v="3"/>
    <s v="Acessórios"/>
    <n v="1.8508333334466442"/>
    <x v="0"/>
    <s v="EXP.MAE"/>
    <s v="NÃO"/>
    <n v="0"/>
    <n v="0"/>
    <n v="0"/>
    <x v="257"/>
    <d v="2026-10-04T17:42:56"/>
    <x v="0"/>
    <s v="202605212949"/>
    <s v="9031"/>
    <s v="HMC - Hora de Manutenção Corretiva"/>
    <s v="HMC - EXEC SIST EMBARCADOS/AUTOMACAO"/>
    <s v="Mãe"/>
    <x v="9"/>
    <s v="202605212949 - FALHA DE COMUNICAÇÃO-RESTAURADO AS CONFIGUGARÃOS DO RÁDIO AVI"/>
    <s v="COMUNICACAO"/>
    <s v="COMUNICACAO"/>
    <s v="COMUNICACAO"/>
    <s v="COMUNICACAO"/>
    <s v="COMUNICACAO"/>
    <s v="Automação"/>
    <s v="Rádio De Voz - Configuração Errada"/>
    <s v="Rádio De Voz - Travado"/>
  </r>
  <r>
    <n v="0"/>
    <m/>
    <m/>
    <m/>
    <m/>
    <m/>
    <m/>
    <m/>
    <m/>
    <m/>
    <m/>
    <m/>
    <m/>
    <n v="1"/>
    <s v="REVISÃO PREVENTIVA"/>
    <x v="4"/>
    <s v="Preventivas"/>
    <n v="1.3061111110146157"/>
    <x v="0"/>
    <s v="EXP.MAE"/>
    <s v="NÃO"/>
    <n v="0"/>
    <n v="0"/>
    <n v="0"/>
    <x v="258"/>
    <d v="2026-10-05T10:18:15"/>
    <x v="0"/>
    <m/>
    <s v="7116"/>
    <s v="MPS - Hora Manutenção Preventiva Sistemática"/>
    <s v="MPS - AG LOCOMOCAO"/>
    <s v="Mãe"/>
    <x v="9"/>
    <s v="PM 1000h + 19 BLs"/>
    <s v="PREVENTIVA"/>
    <s v="1000 HORAS"/>
    <s v=""/>
    <s v=""/>
    <s v=""/>
    <m/>
    <m/>
    <m/>
  </r>
  <r>
    <n v="0"/>
    <m/>
    <m/>
    <m/>
    <m/>
    <m/>
    <m/>
    <m/>
    <m/>
    <m/>
    <m/>
    <m/>
    <m/>
    <n v="0"/>
    <s v="REVISÃO PREVENTIVA"/>
    <x v="4"/>
    <s v="Preventivas"/>
    <n v="1.6555555555969477"/>
    <x v="1"/>
    <s v="NÃO EXP.MAE"/>
    <s v="NÃO"/>
    <n v="0"/>
    <n v="0"/>
    <n v="0"/>
    <x v="259"/>
    <d v="2026-10-05T11:57:35"/>
    <x v="0"/>
    <m/>
    <s v="7000"/>
    <s v="MPS - Hora Manutenção Preventiva Sistemática"/>
    <s v="MPS - EXEC MANUT"/>
    <s v="Mãe"/>
    <x v="9"/>
    <s v="PM 1000h + 19 BLs"/>
    <s v="PREVENTIVA"/>
    <s v="1000 HORAS"/>
    <s v=""/>
    <s v=""/>
    <s v=""/>
    <m/>
    <m/>
    <m/>
  </r>
  <r>
    <n v="0"/>
    <m/>
    <m/>
    <m/>
    <m/>
    <m/>
    <m/>
    <m/>
    <m/>
    <m/>
    <m/>
    <m/>
    <m/>
    <n v="0"/>
    <s v="REVISÃO PREVENTIVA"/>
    <x v="4"/>
    <s v="Preventivas"/>
    <n v="1.3044444444822147"/>
    <x v="0"/>
    <s v="EXP.MAE"/>
    <s v="NÃO"/>
    <n v="0"/>
    <n v="0"/>
    <n v="0"/>
    <x v="260"/>
    <d v="2026-10-05T13:15:51"/>
    <x v="0"/>
    <m/>
    <s v="7111"/>
    <s v="MPS - Hora Manutenção Preventiva Sistemática"/>
    <s v="MPS - AG LAVADOR"/>
    <s v="Mãe"/>
    <x v="9"/>
    <s v="PM 1000h + 19 BLs"/>
    <s v="PREVENTIVA"/>
    <s v="1000 HORAS"/>
    <s v=""/>
    <s v=""/>
    <s v=""/>
    <m/>
    <m/>
    <m/>
  </r>
  <r>
    <n v="0"/>
    <m/>
    <m/>
    <m/>
    <m/>
    <m/>
    <m/>
    <m/>
    <m/>
    <m/>
    <m/>
    <m/>
    <m/>
    <n v="0"/>
    <s v="REVISÃO PREVENTIVA"/>
    <x v="4"/>
    <s v="Preventivas"/>
    <n v="11.797222222143319"/>
    <x v="1"/>
    <s v="NÃO EXP.MAE"/>
    <s v="NÃO"/>
    <n v="0"/>
    <n v="0"/>
    <n v="0"/>
    <x v="261"/>
    <d v="2026-10-06T01:03:41"/>
    <x v="0"/>
    <m/>
    <s v="7011"/>
    <s v="MPS - Hora Manutenção Preventiva Sistemática"/>
    <s v="MPS - EXEC LAVADOR"/>
    <s v="Mãe"/>
    <x v="9"/>
    <s v="PM 1000h + 19 BLs"/>
    <s v="PREVENTIVA"/>
    <s v="1000 HORAS"/>
    <s v=""/>
    <s v=""/>
    <s v=""/>
    <m/>
    <m/>
    <m/>
  </r>
  <r>
    <n v="0"/>
    <m/>
    <m/>
    <m/>
    <m/>
    <m/>
    <m/>
    <m/>
    <m/>
    <m/>
    <m/>
    <m/>
    <m/>
    <n v="0"/>
    <s v="REVISÃO PREVENTIVA"/>
    <x v="4"/>
    <s v="Preventivas"/>
    <n v="22.938333333295304"/>
    <x v="1"/>
    <s v="NÃO EXP.MAE"/>
    <s v="NÃO"/>
    <n v="0"/>
    <n v="0"/>
    <n v="0"/>
    <x v="262"/>
    <d v="2026-10-06T23:59:59"/>
    <x v="0"/>
    <m/>
    <s v="7000"/>
    <s v="MPS - Hora Manutenção Preventiva Sistemática"/>
    <s v="MPS - EXEC MANUT"/>
    <s v="Mãe"/>
    <x v="9"/>
    <s v="PM 1000h + 19 BLs"/>
    <s v="PREVENTIVA"/>
    <s v="1000 HORAS"/>
    <s v=""/>
    <s v=""/>
    <s v=""/>
    <m/>
    <m/>
    <m/>
  </r>
  <r>
    <n v="0"/>
    <m/>
    <m/>
    <m/>
    <m/>
    <m/>
    <m/>
    <m/>
    <m/>
    <m/>
    <m/>
    <m/>
    <m/>
    <n v="1"/>
    <s v="ELETRICO"/>
    <x v="3"/>
    <s v="Corretivas"/>
    <n v="8.4311111110146157"/>
    <x v="1"/>
    <s v="NÃO EXP.MAE"/>
    <s v="NÃO"/>
    <n v="0"/>
    <n v="0"/>
    <n v="0"/>
    <x v="263"/>
    <d v="2026-01-03T08:34:35"/>
    <x v="1"/>
    <s v="000000000000"/>
    <s v="9000"/>
    <s v="HMC - Hora de Manutenção Corretiva"/>
    <s v="HMC - EXEC MANUT"/>
    <s v="Mãe"/>
    <x v="0"/>
    <s v="SEM PARTIDA - SEM ATUAÇÃO DA MANUTENÇÃO."/>
    <s v="ELETRICO"/>
    <s v="MOTOR DE COMBUSTAO"/>
    <s v="MOTOR DE PARTIDA"/>
    <s v="NAO IDENTIFICADO "/>
    <m/>
    <s v="Elétrica"/>
    <s v="Eletrico - Bateria"/>
    <s v="Bateria-Carga"/>
  </r>
  <r>
    <n v="0"/>
    <m/>
    <m/>
    <m/>
    <m/>
    <m/>
    <m/>
    <m/>
    <m/>
    <m/>
    <m/>
    <m/>
    <s v="SIM"/>
    <n v="0"/>
    <s v="HIDRAULICO"/>
    <x v="3"/>
    <s v="Corretivas"/>
    <n v="3.2733333333162591"/>
    <x v="0"/>
    <s v="EXP.MAE"/>
    <s v="NÃO"/>
    <n v="0"/>
    <n v="0"/>
    <n v="0"/>
    <x v="264"/>
    <d v="2026-01-03T11:50:59"/>
    <x v="1"/>
    <s v="202600034792"/>
    <s v="9000"/>
    <s v="HMC - Hora de Manutenção Corretiva"/>
    <s v="HMC - EXEC MANUT"/>
    <s v="Mãe"/>
    <x v="0"/>
    <s v="PARADA RELACIONADA A ENTREGA DE COMANDO, BAIXO NÍVEL DO ÓLEO HIDRAÚLICO 202600034792   COMPLETADO 110 LITROS DE OLEO HIDRAULICO."/>
    <s v="HIDRAULICO"/>
    <s v="TANQUE HIDRAULICO"/>
    <s v="OLEO"/>
    <s v="BAIXO NIVEL"/>
    <s v="COMPLETAR"/>
    <s v="Mecânica"/>
    <s v="Elevacao - Tanque Oleo"/>
    <s v="Oleo-Nivel Baixo"/>
  </r>
  <r>
    <n v="0"/>
    <m/>
    <m/>
    <m/>
    <m/>
    <m/>
    <m/>
    <m/>
    <m/>
    <m/>
    <m/>
    <m/>
    <m/>
    <n v="1"/>
    <s v="LOCOMOÇÃO"/>
    <x v="3"/>
    <s v="Man. Pneus"/>
    <n v="6.1111111426725984E-3"/>
    <x v="1"/>
    <s v="NÃO EXP.MAE"/>
    <s v="NÃO"/>
    <n v="0"/>
    <n v="0"/>
    <n v="0"/>
    <x v="265"/>
    <d v="2026-01-03T14:40:49"/>
    <x v="1"/>
    <s v="202600035971"/>
    <s v="9010"/>
    <s v="HMC - Hora de Manutenção Corretiva"/>
    <s v="HMC - EXEC BORRACHARIA"/>
    <s v="Mãe"/>
    <x v="0"/>
    <s v="BAIXA PRESSÃO PNEU TEE - CALIBRADO O PNEU TEE, TEI E O TDI-  202600035971"/>
    <s v="LOCOMOCAO"/>
    <s v="RODA TEE"/>
    <s v="PNEU"/>
    <s v="BAXIA PRESSAO"/>
    <s v="COMPLETAR"/>
    <s v="Borracharia"/>
    <s v="Locomocao - Roda Tee"/>
    <s v="Pneu-Pressao"/>
  </r>
  <r>
    <n v="0"/>
    <m/>
    <m/>
    <m/>
    <m/>
    <m/>
    <m/>
    <m/>
    <m/>
    <m/>
    <m/>
    <m/>
    <m/>
    <n v="0"/>
    <s v="LOCOMOÇÃO"/>
    <x v="3"/>
    <s v="Man. Pneus"/>
    <n v="1.4722222171258181E-2"/>
    <x v="1"/>
    <s v="NÃO EXP.MAE"/>
    <s v="NÃO"/>
    <n v="0"/>
    <n v="0"/>
    <n v="0"/>
    <x v="266"/>
    <d v="2026-01-03T14:41:42"/>
    <x v="1"/>
    <s v="202600035971"/>
    <s v="9010"/>
    <s v="HMC - Hora de Manutenção Corretiva"/>
    <s v="HMC - EXEC BORRACHARIA"/>
    <s v="Mãe"/>
    <x v="0"/>
    <s v="BAIXA PRESSÃO PNEU TEE - CALIBRADO O PNEU TEE, TEI E O TDI-  202600035971"/>
    <s v="LOCOMOCAO"/>
    <s v="RODA TEE"/>
    <s v="PNEU"/>
    <s v="BAXIA PRESSAO"/>
    <s v="COMPLETAR"/>
    <s v="Borracharia"/>
    <s v="Locomocao - Roda Tee"/>
    <s v="Pneu-Pressao"/>
  </r>
  <r>
    <n v="0"/>
    <m/>
    <m/>
    <m/>
    <m/>
    <m/>
    <m/>
    <m/>
    <m/>
    <m/>
    <m/>
    <m/>
    <m/>
    <n v="0"/>
    <s v="LOCOMOÇÃO"/>
    <x v="3"/>
    <s v="Man. Pneus"/>
    <n v="0.50138888892251998"/>
    <x v="1"/>
    <s v="NÃO EXP.MAE"/>
    <s v="NÃO"/>
    <n v="0"/>
    <n v="0"/>
    <n v="0"/>
    <x v="267"/>
    <d v="2026-01-03T15:11:47"/>
    <x v="1"/>
    <s v="202600035971"/>
    <s v="9010"/>
    <s v="HMC - Hora de Manutenção Corretiva"/>
    <s v="HMC - EXEC BORRACHARIA"/>
    <s v="Mãe"/>
    <x v="0"/>
    <s v="BAIXA PRESSÃO PNEU TEE - CALIBRADO O PNEU TEE, TEI E O TDI-  202600035971"/>
    <s v="LOCOMOCAO"/>
    <s v="RODA TEE"/>
    <s v="PNEU"/>
    <s v="BAXIA PRESSAO"/>
    <s v="COMPLETAR"/>
    <s v="Borracharia"/>
    <s v="Locomocao - Roda Tee"/>
    <s v="Pneu-Pressao"/>
  </r>
  <r>
    <n v="0"/>
    <m/>
    <m/>
    <m/>
    <m/>
    <m/>
    <m/>
    <m/>
    <m/>
    <m/>
    <m/>
    <m/>
    <s v="SIM"/>
    <n v="1"/>
    <s v="HIDRAULICO"/>
    <x v="3"/>
    <s v="Corretivas"/>
    <n v="7.8900000000139698"/>
    <x v="0"/>
    <s v="EXP.MAE"/>
    <s v="NÃO"/>
    <n v="0"/>
    <n v="0"/>
    <n v="0"/>
    <x v="268"/>
    <d v="2026-01-03T23:15:27"/>
    <x v="1"/>
    <s v="202600034792"/>
    <s v="9000"/>
    <s v="HMC - Hora de Manutenção Corretiva"/>
    <s v="HMC - EXEC MANUT"/>
    <s v="Mãe"/>
    <x v="0"/>
    <s v="PARADA RELACIONADA A ENTREGA DE COMANDO VAZAMENTO DE ÓLEO.  202600034792 - COMPLETADO OLEO HIDRAULICO"/>
    <s v="HIDRAULICO"/>
    <s v="TANQUE HIDRAULICO"/>
    <s v="OLEO"/>
    <s v="BAIXO NIVEL"/>
    <s v="COMPLETAR"/>
    <s v="Mecânica"/>
    <s v="Elevacao - Tanque Oleo"/>
    <s v="Oleo-Nivel Baixo"/>
  </r>
  <r>
    <n v="0"/>
    <m/>
    <m/>
    <m/>
    <m/>
    <m/>
    <m/>
    <m/>
    <m/>
    <m/>
    <m/>
    <m/>
    <m/>
    <n v="1"/>
    <s v="MOTOR DE COMBUSTÃO"/>
    <x v="3"/>
    <s v="Corretivas"/>
    <n v="5.5558333334047347"/>
    <x v="1"/>
    <s v="NÃO EXP.MAE"/>
    <s v="NÃO"/>
    <n v="0"/>
    <n v="0"/>
    <n v="0"/>
    <x v="269"/>
    <d v="2026-01-04T17:19:18"/>
    <x v="1"/>
    <s v="202600046030"/>
    <s v="9000"/>
    <s v="HMC - Hora de Manutenção Corretiva"/>
    <s v="HMC - EXEC MANUT"/>
    <s v="Mãe"/>
    <x v="0"/>
    <s v="VAZAMENTO DE COMBUSTÍVEL- CORRIGIDO VAZAMENTO NO TUBO DA BOMBA DE ALTA PRESSÃO DE COMBUSTÍVEL  202600046030"/>
    <s v="MOTOR DE COMBUSTAO"/>
    <s v="COMBUSTIVEL"/>
    <s v="MANGUEIRA"/>
    <s v="VAZAMENTO"/>
    <s v="CORRIGIR"/>
    <s v="Mecânica"/>
    <s v="Motor Combustao - Injecao"/>
    <s v="Vedacao"/>
  </r>
  <r>
    <n v="0"/>
    <m/>
    <m/>
    <m/>
    <m/>
    <m/>
    <m/>
    <m/>
    <m/>
    <m/>
    <m/>
    <m/>
    <m/>
    <n v="1"/>
    <s v="ELETRICO"/>
    <x v="3"/>
    <s v="Corretivas"/>
    <n v="1.0502777777728625"/>
    <x v="1"/>
    <s v="NÃO EXP.MAE"/>
    <s v="NÃO"/>
    <n v="0"/>
    <n v="0"/>
    <n v="0"/>
    <x v="270"/>
    <d v="2026-01-05T09:14:30"/>
    <x v="1"/>
    <s v="202600057060"/>
    <s v="9000"/>
    <s v="HMC - Hora de Manutenção Corretiva"/>
    <s v="HMC - EXEC MANUT"/>
    <s v="Mãe"/>
    <x v="0"/>
    <s v="202600057060 FALHA NO FREIO ESTACIONARIO - SENSOR DE PRESSAO DO FREIO LD"/>
    <s v="ELETRICO"/>
    <s v="FREIO"/>
    <s v="SENSOR DE PRESSAO"/>
    <s v="MAU CONTATO"/>
    <s v="CORRIGIR"/>
    <s v="Elétrica"/>
    <s v="Eletrico - Frenagem"/>
    <s v="Pressostato"/>
  </r>
  <r>
    <n v="0"/>
    <m/>
    <m/>
    <m/>
    <m/>
    <m/>
    <m/>
    <m/>
    <m/>
    <m/>
    <m/>
    <m/>
    <m/>
    <n v="1"/>
    <s v="COMUNICACAO"/>
    <x v="3"/>
    <s v="Acessórios"/>
    <n v="1.1238888889783993"/>
    <x v="0"/>
    <s v="EXP.MAE"/>
    <s v="NÃO"/>
    <n v="0"/>
    <n v="0"/>
    <n v="0"/>
    <x v="271"/>
    <d v="2026-01-05T21:23:17"/>
    <x v="1"/>
    <s v="202600065997"/>
    <s v="9032"/>
    <s v="HMC - Hora de Manutenção Corretiva"/>
    <s v="HMC - EXEC TERCEIROS TRABALHANDO"/>
    <s v="Mãe"/>
    <x v="0"/>
    <s v="FALHA DE COMUNICAÇÃO - 202600065997  SUBSTITUIDO  BATERIA DA FONTE DO RADIO AVI MT: 419610"/>
    <s v="COMUNICACAO"/>
    <s v="COMUNICACAO"/>
    <s v="RADIO"/>
    <s v="FALHA"/>
    <s v="CORRIGIR"/>
    <s v="Automação"/>
    <s v="Rádio De Voz - Fonte Queimada"/>
    <s v="Rádio De Voz - Sem Alimentação"/>
  </r>
  <r>
    <n v="0"/>
    <m/>
    <m/>
    <m/>
    <m/>
    <m/>
    <m/>
    <m/>
    <m/>
    <m/>
    <m/>
    <m/>
    <m/>
    <n v="1"/>
    <s v="COMUNICACAO"/>
    <x v="3"/>
    <s v="Acessórios"/>
    <n v="1.4699999999720603"/>
    <x v="0"/>
    <s v="EXP.MAE"/>
    <s v="NÃO"/>
    <n v="0"/>
    <n v="0"/>
    <n v="0"/>
    <x v="272"/>
    <d v="2026-01-06T08:13:37"/>
    <x v="1"/>
    <s v="202600077016"/>
    <s v="9032"/>
    <s v="HMC - Hora de Manutenção Corretiva"/>
    <s v="HMC - EXEC TERCEIROS TRABALHANDO"/>
    <s v="Mãe"/>
    <x v="0"/>
    <s v="202600077016 FALHA DE COMUNICAÇÃO - TROCA DA FONTE DO RADIO AVI"/>
    <s v="COMUNICACAO"/>
    <s v="COMUNICACAO"/>
    <s v="RADIO"/>
    <s v="FALHA"/>
    <s v="CORRIGIR"/>
    <s v="Automação"/>
    <s v="Rádio Lte - Fonte Queimada"/>
    <s v="Rádio - Sem Alimentação"/>
  </r>
  <r>
    <n v="0"/>
    <m/>
    <m/>
    <m/>
    <m/>
    <m/>
    <m/>
    <m/>
    <m/>
    <m/>
    <m/>
    <m/>
    <s v="SIM"/>
    <n v="1"/>
    <s v="TREM DE FORÇA"/>
    <x v="3"/>
    <s v="Corretivas"/>
    <n v="3.5713888888712972"/>
    <x v="0"/>
    <s v="EXP.MAE"/>
    <s v="NÃO"/>
    <n v="0"/>
    <n v="0"/>
    <n v="0"/>
    <x v="273"/>
    <d v="2026-01-09T08:26:18"/>
    <x v="1"/>
    <s v="202600150281"/>
    <s v="9000"/>
    <s v="HMC - Hora de Manutenção Corretiva"/>
    <s v="HMC - EXEC MANUT"/>
    <s v="Mãe"/>
    <x v="0"/>
    <s v="PARADA RELACIONADA A ENTREGA DE COMANDO NIVEL DO OLEO - COMPLETAR NÍVEL DO ÓLEO HIDRÁULICO - 202600150281 COMPLETADO 356 LITROS DE OLEO HIDRAULICO.(VAZAMENTO NO COMANDO FINAL), "/>
    <s v="TREM DE FORCA"/>
    <s v="COMANDO FINAL"/>
    <s v="DUOCONE"/>
    <s v="VAZAMENTO"/>
    <s v="CORRIGIR"/>
    <s v="Mecânica"/>
    <s v="Transmis Forca - Comando Final Td"/>
    <s v="Vedação-Vazamento"/>
  </r>
  <r>
    <n v="0"/>
    <m/>
    <m/>
    <m/>
    <m/>
    <m/>
    <m/>
    <m/>
    <m/>
    <m/>
    <m/>
    <m/>
    <m/>
    <n v="1"/>
    <s v="COMUNICACAO"/>
    <x v="3"/>
    <s v="Acessórios"/>
    <n v="0.84833333326969296"/>
    <x v="0"/>
    <s v="EXP.MAE"/>
    <s v="NÃO"/>
    <n v="0"/>
    <n v="0"/>
    <n v="0"/>
    <x v="274"/>
    <d v="2026-01-11T15:51:06"/>
    <x v="1"/>
    <s v="202600180626"/>
    <s v="9032"/>
    <s v="HMC - Hora de Manutenção Corretiva"/>
    <s v="HMC - EXEC TERCEIROS TRABALHANDO"/>
    <s v="Mãe"/>
    <x v="0"/>
    <s v="202600180626 FALHA NO AVI -SUBSTITUIDO RÁDIO AVI"/>
    <s v="COMUNICACAO"/>
    <s v="COMUNICACAO"/>
    <s v="RADIO"/>
    <s v="AVARIA"/>
    <s v="SUBSTITUIR"/>
    <s v="Automação"/>
    <s v="Rádio De Voz - Conector Danificado"/>
    <s v="Rádio De Voz - Falha Comunicação"/>
  </r>
  <r>
    <n v="0"/>
    <m/>
    <m/>
    <m/>
    <m/>
    <m/>
    <m/>
    <m/>
    <m/>
    <m/>
    <m/>
    <m/>
    <m/>
    <n v="1"/>
    <s v="ELETRICO"/>
    <x v="3"/>
    <s v="Corretivas"/>
    <n v="4.4699999999720603"/>
    <x v="1"/>
    <s v="NÃO EXP.MAE"/>
    <s v="NÃO"/>
    <n v="0"/>
    <n v="0"/>
    <n v="0"/>
    <x v="275"/>
    <d v="2026-01-12T05:52:23"/>
    <x v="1"/>
    <s v="202600186361"/>
    <s v="9000"/>
    <s v="HMC - Hora de Manutenção Corretiva"/>
    <s v="HMC - EXEC MANUT"/>
    <s v="Mãe"/>
    <x v="0"/>
    <s v="FALHA NO DETECT - 202600186361 - SUBSTITUIDO SENSOR DE DETECÇÃO DE OBJETOS MT: 1150217"/>
    <s v="ELETRICO"/>
    <m/>
    <m/>
    <m/>
    <m/>
    <s v="Mecânica"/>
    <s v="Estrutura"/>
    <s v="Fixações"/>
  </r>
  <r>
    <n v="0"/>
    <m/>
    <m/>
    <m/>
    <m/>
    <m/>
    <m/>
    <m/>
    <m/>
    <m/>
    <m/>
    <m/>
    <m/>
    <n v="1"/>
    <s v="COMUNICACAO"/>
    <x v="1"/>
    <s v="Acessórios"/>
    <n v="0.62861111119855195"/>
    <x v="0"/>
    <s v="EXP.MAE"/>
    <s v="NÃO"/>
    <n v="0"/>
    <n v="0"/>
    <n v="0"/>
    <x v="276"/>
    <d v="2026-01-16T00:42:28"/>
    <x v="1"/>
    <m/>
    <s v="8031"/>
    <s v="MPNS - Hora Manutenção Preventiva não Sistemática"/>
    <s v="MPNS - EXEC SIST EMBARCADOS/AUTOMACAO"/>
    <s v="Mãe"/>
    <x v="0"/>
    <m/>
    <s v="COMUNICACAO"/>
    <m/>
    <m/>
    <m/>
    <m/>
    <m/>
    <m/>
    <m/>
  </r>
  <r>
    <n v="0"/>
    <m/>
    <m/>
    <m/>
    <m/>
    <m/>
    <m/>
    <m/>
    <m/>
    <m/>
    <m/>
    <m/>
    <m/>
    <n v="1"/>
    <s v="LOCOMOÇÃO"/>
    <x v="3"/>
    <s v="Man. Pneus"/>
    <n v="0.61111111094942316"/>
    <x v="1"/>
    <s v="NÃO EXP.MAE"/>
    <s v="NÃO"/>
    <n v="0"/>
    <n v="0"/>
    <n v="0"/>
    <x v="277"/>
    <d v="2026-01-18T04:44:57"/>
    <x v="1"/>
    <s v="202600314774"/>
    <s v="9010"/>
    <s v="HMC - Hora de Manutenção Corretiva"/>
    <s v="HMC - EXEC BORRACHARIA"/>
    <s v="Mãe"/>
    <x v="0"/>
    <s v="BAIXA PRESSÃO DO PNEU TEE - 202600314774  CALIBRADO PNEU TEE- MT: 01544603"/>
    <s v="LOCOMOCAO"/>
    <s v="RODA TEE"/>
    <s v="PNEU"/>
    <s v="BAIXA PRESSAO"/>
    <s v="COMPLETAR"/>
    <s v="Borracharia"/>
    <s v="Locomocao - Roda Tee"/>
    <s v="Pneu-Pressao"/>
  </r>
  <r>
    <n v="0"/>
    <m/>
    <m/>
    <m/>
    <m/>
    <m/>
    <m/>
    <m/>
    <m/>
    <m/>
    <m/>
    <m/>
    <s v="SIM"/>
    <n v="1"/>
    <s v="DIRECAO"/>
    <x v="3"/>
    <s v="Corretivas"/>
    <n v="1.375277777784504"/>
    <x v="0"/>
    <s v="EXP.MAE"/>
    <s v="NÃO"/>
    <n v="0"/>
    <n v="0"/>
    <n v="0"/>
    <x v="278"/>
    <d v="2026-01-18T08:51:43"/>
    <x v="1"/>
    <s v="202600316100"/>
    <s v="9000"/>
    <s v="HMC - Hora de Manutenção Corretiva"/>
    <s v="HMC - EXEC MANUT"/>
    <s v="Mãe"/>
    <x v="0"/>
    <s v="PARADA RELACIONADA A ENTREGA DE COMANDO 202600316100 BAIXO NIVEL DO OLEO DA DIREÇÃO -  COMPL 25 LITROS DO OLEO DA DIREÇÃO"/>
    <s v="DIRECAO"/>
    <s v="TANQUE HIDRAULICO"/>
    <s v="OLEO"/>
    <s v="BAIXO NIVEL"/>
    <s v="COMPLETAR"/>
    <s v="Mecânica"/>
    <s v="Direcao - Tanque Oleo"/>
    <s v="Oleo-Nivel Baixo"/>
  </r>
  <r>
    <n v="0"/>
    <m/>
    <m/>
    <m/>
    <m/>
    <m/>
    <m/>
    <m/>
    <m/>
    <m/>
    <m/>
    <m/>
    <m/>
    <n v="1"/>
    <s v="MOTOR DE COMBUSTÃO"/>
    <x v="3"/>
    <s v="Corretivas"/>
    <n v="3.5447222222574055"/>
    <x v="1"/>
    <s v="NÃO EXP.MAE"/>
    <s v="NÃO"/>
    <n v="0"/>
    <n v="0"/>
    <n v="0"/>
    <x v="279"/>
    <d v="2026-01-23T11:34:38"/>
    <x v="1"/>
    <s v="202600428018"/>
    <s v="9000"/>
    <s v="HMC - Hora de Manutenção Corretiva"/>
    <s v="HMC - EXEC MANUT"/>
    <s v="Mãe"/>
    <x v="0"/>
    <s v="202600428018- DESLIGAMENTO INVOLUNTARIO- REALIZADO INSPEÇÃO NAO ENCONTRADO FALHA DE DESLIGAMENTO NO EQUIPAMENTO"/>
    <s v="MOTOR DE COMBUSTAO"/>
    <s v="MOTOR DE COMBUSTAO"/>
    <s v="MOTOR COMBUSTAO"/>
    <s v="NAO IDENTIFICADO "/>
    <m/>
    <s v="Mecânica"/>
    <s v="Motor Combustao - Motor Combustao"/>
    <s v="Motor Combustao-Travamento"/>
  </r>
  <r>
    <n v="0"/>
    <m/>
    <m/>
    <m/>
    <m/>
    <m/>
    <m/>
    <m/>
    <m/>
    <m/>
    <m/>
    <m/>
    <s v="NÃO"/>
    <n v="1"/>
    <s v="REVISÃO PREVENTIVA"/>
    <x v="4"/>
    <s v="Preventivas"/>
    <n v="1.0000000001164153"/>
    <x v="1"/>
    <s v="NÃO EXP.MAE"/>
    <s v="NÃO"/>
    <n v="0"/>
    <n v="0"/>
    <n v="0"/>
    <x v="280"/>
    <d v="2026-01-24T04:17:04"/>
    <x v="1"/>
    <m/>
    <s v="7116"/>
    <s v="MPS - Hora Manutenção Preventiva Sistemática"/>
    <s v="MPS - AG LOCOMOCAO"/>
    <s v="Mãe"/>
    <x v="0"/>
    <s v="PM: 500h + 06 BL's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2.2658333331928588"/>
    <x v="0"/>
    <s v="EXP.MAE"/>
    <s v="NÃO"/>
    <n v="0"/>
    <n v="0"/>
    <n v="0"/>
    <x v="281"/>
    <d v="2026-01-24T06:33:01"/>
    <x v="1"/>
    <m/>
    <s v="7116"/>
    <s v="MPS - Hora Manutenção Preventiva Sistemática"/>
    <s v="MPS - AG LOCOMOCAO"/>
    <s v="Mãe"/>
    <x v="0"/>
    <s v="PM: 500h + 06 BL's"/>
    <s v="PREVENTIVA"/>
    <s v="500 HORAS"/>
    <m/>
    <m/>
    <m/>
    <m/>
    <m/>
    <m/>
  </r>
  <r>
    <n v="0"/>
    <m/>
    <m/>
    <m/>
    <m/>
    <m/>
    <m/>
    <m/>
    <m/>
    <m/>
    <m/>
    <n v="0"/>
    <m/>
    <n v="0"/>
    <s v="REVISÃO PREVENTIVA"/>
    <x v="4"/>
    <s v="Preventivas"/>
    <n v="0.63194444443797693"/>
    <x v="1"/>
    <s v="NÃO EXP.MAE"/>
    <s v="NÃO"/>
    <n v="0"/>
    <n v="0"/>
    <n v="0"/>
    <x v="282"/>
    <d v="2026-01-24T10:40:48"/>
    <x v="1"/>
    <m/>
    <s v="7000"/>
    <s v="MPS - Hora Manutenção Preventiva Sistemática"/>
    <s v="MPS - EXEC MANUT"/>
    <s v="Mãe"/>
    <x v="0"/>
    <s v="PM: 500h + 06 BL's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4.3500000000349246"/>
    <x v="0"/>
    <s v="EXP.MAE"/>
    <s v="NÃO"/>
    <n v="0"/>
    <n v="0"/>
    <n v="0"/>
    <x v="283"/>
    <d v="2026-01-24T15:01:48"/>
    <x v="1"/>
    <m/>
    <s v="7111"/>
    <s v="MPS - Hora Manutenção Preventiva Sistemática"/>
    <s v="MPS - AG LAVADOR"/>
    <s v="Mãe"/>
    <x v="0"/>
    <s v="PM: 500h + 06 BL's - iníciou lavagem às 14:10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2.2344444444752298"/>
    <x v="1"/>
    <s v="NÃO EXP.MAE"/>
    <s v="NÃO"/>
    <n v="0"/>
    <n v="0"/>
    <n v="0"/>
    <x v="284"/>
    <d v="2026-01-24T17:15:52"/>
    <x v="1"/>
    <m/>
    <s v="7011"/>
    <s v="MPS - Hora Manutenção Preventiva Sistemática"/>
    <s v="MPS - EXEC LAVADOR"/>
    <s v="Mãe"/>
    <x v="0"/>
    <s v="PM: 500h + 06 BL's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16.710833333199844"/>
    <x v="1"/>
    <s v="NÃO EXP.MAE"/>
    <s v="NÃO"/>
    <n v="0"/>
    <n v="0"/>
    <n v="0"/>
    <x v="285"/>
    <d v="2026-01-25T09:58:31"/>
    <x v="1"/>
    <m/>
    <s v="7000"/>
    <s v="MPS - Hora Manutenção Preventiva Sistemática"/>
    <s v="MPS - EXEC MANUT"/>
    <s v="Mãe"/>
    <x v="0"/>
    <s v="PM: 500h + 06 BL's"/>
    <s v="PREVENTIVA"/>
    <s v="500 HORAS"/>
    <m/>
    <m/>
    <m/>
    <m/>
    <m/>
    <m/>
  </r>
  <r>
    <n v="0"/>
    <m/>
    <m/>
    <m/>
    <m/>
    <m/>
    <m/>
    <m/>
    <m/>
    <m/>
    <m/>
    <m/>
    <m/>
    <n v="1"/>
    <s v="COMUNICACAO"/>
    <x v="3"/>
    <s v="Acessórios"/>
    <n v="2.0555555555038154"/>
    <x v="0"/>
    <s v="EXP.MAE"/>
    <s v="NÃO"/>
    <n v="0"/>
    <n v="0"/>
    <n v="0"/>
    <x v="286"/>
    <d v="2026-01-25T20:07:46"/>
    <x v="1"/>
    <s v="202600456767"/>
    <s v="9032"/>
    <s v="HMC - Hora de Manutenção Corretiva"/>
    <s v="HMC - EXEC TERCEIROS TRABALHANDO"/>
    <s v="Mãe"/>
    <x v="0"/>
    <s v="FALHA DE COMUNICAÇÃO  - 202600456767 REALIZADO   RETIRADO FONTE MT: 1150008"/>
    <s v="COMUNICACAO"/>
    <s v="COMUNICACAO"/>
    <s v="FONTE"/>
    <s v="FALHA"/>
    <s v="SUBSTITUIR"/>
    <s v="Automação"/>
    <s v="Rádio Lte - Fonte Queimada"/>
    <s v="Rádio - Sem Alimentação"/>
  </r>
  <r>
    <n v="0"/>
    <m/>
    <m/>
    <m/>
    <m/>
    <m/>
    <m/>
    <m/>
    <m/>
    <m/>
    <m/>
    <m/>
    <m/>
    <n v="1"/>
    <s v="COMUNICACAO"/>
    <x v="3"/>
    <s v="Acessórios"/>
    <n v="0.78611111117061228"/>
    <x v="0"/>
    <s v="EXP.MAE"/>
    <s v="NÃO"/>
    <n v="0"/>
    <n v="0"/>
    <n v="0"/>
    <x v="287"/>
    <d v="2026-01-26T00:32:33"/>
    <x v="1"/>
    <s v="202600456767"/>
    <s v="9032"/>
    <s v="HMC - Hora de Manutenção Corretiva"/>
    <s v="HMC - EXEC TERCEIROS TRABALHANDO"/>
    <s v="Mãe"/>
    <x v="0"/>
    <s v="FALHA NA COMUNICAÇÃO- 202600456767 REALIZADO A TROCA DO CABO DO DISPLAY MT: 1150008"/>
    <s v="COMUNICACAO"/>
    <s v="COMUNICACAO"/>
    <s v="CABO/FIACAO"/>
    <s v="FALHA"/>
    <s v="SUBSTITUIR"/>
    <s v="Automação"/>
    <s v="Rádio Lte - Fonte Queimada"/>
    <s v="Rádio - Sem Alimentação"/>
  </r>
  <r>
    <n v="0"/>
    <m/>
    <m/>
    <m/>
    <m/>
    <m/>
    <m/>
    <m/>
    <m/>
    <m/>
    <m/>
    <m/>
    <m/>
    <n v="0"/>
    <s v="COMUNICACAO"/>
    <x v="3"/>
    <s v="Acessórios"/>
    <n v="0.14416666666511446"/>
    <x v="0"/>
    <s v="EXP.MAE"/>
    <s v="NÃO"/>
    <n v="0"/>
    <n v="0"/>
    <n v="0"/>
    <x v="288"/>
    <d v="2026-01-26T00:41:12"/>
    <x v="1"/>
    <s v="202600456767"/>
    <s v="9032"/>
    <s v="HMC - Hora de Manutenção Corretiva"/>
    <s v="HMC - EXEC TERCEIROS TRABALHANDO"/>
    <s v="Mãe"/>
    <x v="0"/>
    <s v="FALHA NA COMUNICAÇÃO- REALIZADO A TROCA DO CABO DO DISPLAY MT: 1150008"/>
    <s v="COMUNICACAO"/>
    <s v="COMUNICACAO"/>
    <s v="CABO/FIACAO"/>
    <s v="FALHA"/>
    <s v="SUBSTITUIR"/>
    <s v="Automação"/>
    <s v="Rádio Lte - Fonte Queimada"/>
    <s v="Rádio - Sem Alimentação"/>
  </r>
  <r>
    <n v="0"/>
    <m/>
    <m/>
    <m/>
    <m/>
    <m/>
    <m/>
    <m/>
    <m/>
    <m/>
    <m/>
    <m/>
    <m/>
    <n v="1"/>
    <s v="MOTOR DE COMBUSTÃO"/>
    <x v="3"/>
    <s v="Corretivas"/>
    <n v="2.6094444444752298"/>
    <x v="1"/>
    <s v="NÃO EXP.MAE"/>
    <s v="NÃO"/>
    <n v="0"/>
    <n v="0"/>
    <n v="0"/>
    <x v="289"/>
    <d v="2026-01-27T00:53:28"/>
    <x v="1"/>
    <s v="202600477886"/>
    <s v="9000"/>
    <s v="HMC - Hora de Manutenção Corretiva"/>
    <s v="HMC - EXEC MANUT"/>
    <s v="Mãe"/>
    <x v="0"/>
    <s v="BAIXO RENDIMENTO - REALIZAR DRENAGEM DOS FILTROS SEPARADORES DE COMBUSTÍVEL - 202600477886"/>
    <s v="MOTOR DE COMBUSTAO"/>
    <s v="COMBUSTIVEL"/>
    <s v="FILTRO SEPARADOR"/>
    <s v="AVARIA"/>
    <s v="SUBSTITUIR"/>
    <s v="Mecânica"/>
    <s v="Motor Combustao - Combustivel"/>
    <s v="Filtro Separador Agua-Obstrucao"/>
  </r>
  <r>
    <n v="0"/>
    <m/>
    <m/>
    <m/>
    <m/>
    <m/>
    <m/>
    <m/>
    <m/>
    <m/>
    <m/>
    <m/>
    <m/>
    <n v="1"/>
    <s v="COMUNICACAO"/>
    <x v="1"/>
    <s v="Acessórios"/>
    <n v="0.61388888885267079"/>
    <x v="0"/>
    <s v="EXP.MAE"/>
    <s v="NÃO"/>
    <n v="0"/>
    <n v="0"/>
    <n v="0"/>
    <x v="290"/>
    <d v="2026-01-28T23:29:28"/>
    <x v="1"/>
    <m/>
    <s v="8032"/>
    <s v="MPNS - Hora Manutenção Preventiva não Sistemática"/>
    <s v="MPNS - EXEC TERCEIROS TRABALHANDO"/>
    <s v="Mãe"/>
    <x v="0"/>
    <m/>
    <s v="COMUNICACAO"/>
    <m/>
    <m/>
    <m/>
    <m/>
    <m/>
    <m/>
    <m/>
  </r>
  <r>
    <n v="0"/>
    <m/>
    <m/>
    <m/>
    <m/>
    <m/>
    <m/>
    <m/>
    <m/>
    <m/>
    <m/>
    <m/>
    <m/>
    <n v="1"/>
    <s v="ELETRICO"/>
    <x v="3"/>
    <s v="Corretivas"/>
    <n v="3.9222222221433185"/>
    <x v="1"/>
    <s v="NÃO EXP.MAE"/>
    <s v="NÃO"/>
    <n v="0"/>
    <n v="0"/>
    <n v="0"/>
    <x v="291"/>
    <d v="2026-01-30T03:59:01"/>
    <x v="1"/>
    <s v="202600548262"/>
    <s v="9000"/>
    <s v="HMC - Hora de Manutenção Corretiva"/>
    <s v="HMC - EXEC MANUT"/>
    <s v="Mãe"/>
    <x v="0"/>
    <s v="BAIXO RENDIMENTO - SUBSTITUIDO SENSOR DE PRESSÃO CREMALHEIRA DE COMBUSTÍVEL ORDEM:202600548262"/>
    <s v="ELETRICO"/>
    <s v="COMBUSTIVEL"/>
    <s v="SENSOR DE PRESSAO"/>
    <s v="AVARIA"/>
    <s v="SUBSTITUIR"/>
    <s v="Mecânica"/>
    <s v="Motor Combustao - Combustivel"/>
    <s v="Bomba De Transferencia-Pressao"/>
  </r>
  <r>
    <n v="0"/>
    <m/>
    <m/>
    <m/>
    <m/>
    <m/>
    <m/>
    <m/>
    <m/>
    <m/>
    <m/>
    <m/>
    <m/>
    <n v="1"/>
    <s v="ESTRUTURA"/>
    <x v="3"/>
    <s v="Corretivas"/>
    <n v="4.0108333333628252"/>
    <x v="1"/>
    <s v="NÃO EXP.MAE"/>
    <s v="NÃO"/>
    <n v="0"/>
    <n v="0"/>
    <n v="0"/>
    <x v="292"/>
    <d v="2026-01-31T05:42:07"/>
    <x v="1"/>
    <s v="202600565627"/>
    <s v="9000"/>
    <s v="HMC - Hora de Manutenção Corretiva"/>
    <s v="HMC - EXEC MANUT"/>
    <s v="Mãe"/>
    <x v="0"/>
    <s v="SUBSTITUIÇÃO DO RETROVISOR - 202600565627  SUBSTITUIDO RETROVISOR L/E  MT:2201636"/>
    <s v="ESTRUTURA"/>
    <s v="CABINE"/>
    <s v="RETROVISOR LE"/>
    <s v="BAIXA VISIBILIDADE"/>
    <s v="SUBSTITUIR"/>
    <s v="Mecânica"/>
    <s v="Estrutura - Cabine"/>
    <s v="Espelho Retrovisor Externo Le"/>
  </r>
  <r>
    <n v="0"/>
    <m/>
    <m/>
    <m/>
    <m/>
    <m/>
    <m/>
    <m/>
    <m/>
    <m/>
    <m/>
    <m/>
    <m/>
    <n v="1"/>
    <s v="MOTOR DE COMBUSTÃO"/>
    <x v="3"/>
    <s v="Corretivas"/>
    <n v="1.9611111109843478"/>
    <x v="1"/>
    <s v="NÃO EXP.MAE"/>
    <s v="NÃO"/>
    <n v="0"/>
    <n v="0"/>
    <n v="0"/>
    <x v="293"/>
    <d v="2026-01-31T08:39:33"/>
    <x v="1"/>
    <s v="202600571557"/>
    <s v="9000"/>
    <s v="HMC - Hora de Manutenção Corretiva"/>
    <s v="HMC - EXEC MANUT"/>
    <s v="Mãe"/>
    <x v="0"/>
    <s v="202600571557- BAIXO NIVEL DO LIQUIDO ARREFECEDOR / DESLIGAMENTO INVOLUNTARIO- COMPLETADO 200LT DE OLEO"/>
    <s v="MOTOR DE COMBUSTAO"/>
    <s v="ARREFECIMENTO"/>
    <s v="LIQUIDO ARREFECIMENTO"/>
    <s v="BAIXO NIVEL"/>
    <s v="COMPLETAR"/>
    <s v="Mecânica"/>
    <s v="Motor Combustao - Arrefecimento"/>
    <s v="Liquido Arrefecimento-Nivel Baixo"/>
  </r>
  <r>
    <n v="0"/>
    <m/>
    <m/>
    <m/>
    <m/>
    <m/>
    <m/>
    <m/>
    <m/>
    <m/>
    <m/>
    <m/>
    <m/>
    <n v="1"/>
    <s v="MOTOR DE COMBUSTÃO"/>
    <x v="3"/>
    <s v="Corretivas"/>
    <n v="3.1722222221433185"/>
    <x v="1"/>
    <s v="NÃO EXP.MAE"/>
    <s v="NÃO"/>
    <n v="0"/>
    <n v="0"/>
    <n v="0"/>
    <x v="294"/>
    <d v="2026-02-02T13:31:26"/>
    <x v="1"/>
    <s v="202600600856"/>
    <s v="9000"/>
    <s v="HMC - Hora de Manutenção Corretiva"/>
    <s v="HMC - EXEC MANUT"/>
    <s v="Mãe"/>
    <x v="1"/>
    <s v="DESLIGAMENTO INVOLUNTÁRIO. - 202600600856   SUBSTITUIDO FILTRO DE COMBUSTIVEL PRIMÁRIO E SECUNDARIO."/>
    <s v="MOTOR DE COMBUSTAO"/>
    <s v="COMBUSTIVEL"/>
    <s v="FILTRO"/>
    <s v="AVARIA"/>
    <s v="SUBSTITUIR"/>
    <s v="Mecânica"/>
    <s v="Motor Combustao - Combustivel"/>
    <s v="Filtro Secundario"/>
  </r>
  <r>
    <n v="0"/>
    <m/>
    <m/>
    <m/>
    <m/>
    <m/>
    <m/>
    <m/>
    <m/>
    <m/>
    <m/>
    <m/>
    <m/>
    <n v="1"/>
    <s v="ELETRICO"/>
    <x v="3"/>
    <s v="Corretivas"/>
    <n v="9.0680555555736646"/>
    <x v="1"/>
    <s v="NÃO EXP.MAE"/>
    <s v="NÃO"/>
    <n v="0"/>
    <n v="0"/>
    <n v="0"/>
    <x v="295"/>
    <d v="2026-02-03T04:42:25"/>
    <x v="1"/>
    <s v="202600616542"/>
    <s v="9000"/>
    <s v="HMC - Hora de Manutenção Corretiva"/>
    <s v="HMC - EXEC MANUT"/>
    <s v="Mãe"/>
    <x v="1"/>
    <s v="BAIXA EFICIÊNCIA DO MOTOR DIESEL - REALIZAR SUBSTITUIÇÃO DO SENSOR DE TEMPERATURA DO FREIO TRASEIRO L/D - 202600616542 DRENADO ÓLEO E REALIZADO TESTES MATR 1150588"/>
    <s v="ELETRICO"/>
    <s v="FREIO L/D"/>
    <s v="SENSOR DE TEMPERATURA"/>
    <s v="AVARIA"/>
    <s v="SUBSTITUIR"/>
    <s v="Mecânica"/>
    <s v="Motor diesel"/>
    <s v="Filtro de Combustivel"/>
  </r>
  <r>
    <n v="0"/>
    <m/>
    <m/>
    <m/>
    <m/>
    <m/>
    <m/>
    <m/>
    <m/>
    <m/>
    <m/>
    <m/>
    <m/>
    <n v="0"/>
    <s v="MOTOR DE COMBUSTÃO"/>
    <x v="3"/>
    <s v="Corretivas"/>
    <n v="39.843888888834044"/>
    <x v="1"/>
    <s v="NÃO EXP.MAE"/>
    <s v="NÃO"/>
    <n v="0"/>
    <n v="0"/>
    <n v="0"/>
    <x v="296"/>
    <d v="2026-02-04T20:33:03"/>
    <x v="1"/>
    <s v="202600616542"/>
    <s v="9000"/>
    <s v="HMC - Hora de Manutenção Corretiva"/>
    <s v="HMC - EXEC MANUT"/>
    <s v="Mãe"/>
    <x v="1"/>
    <s v="BAIXA EFICIÊNCIA DO MOTOR DIESEL - REALIZAR SUBSTITUIÇÃO DO SENSOR DE TEMPERATURA DO FREIO TRASEIRO L/D - 202600616542 (MSR: Substituido a bombs de combustivel)"/>
    <s v="MOTOR DE COMBUSTAO"/>
    <s v="COMBUSTIVEL"/>
    <s v="BOMBA ALTA"/>
    <s v="AVARIA"/>
    <s v="SUBSTITUIR"/>
    <s v="Elétrica"/>
    <s v="Eletrico - Frenagem"/>
    <s v="Sensor de Temperatura"/>
  </r>
  <r>
    <n v="0"/>
    <m/>
    <m/>
    <m/>
    <m/>
    <m/>
    <m/>
    <m/>
    <m/>
    <m/>
    <m/>
    <m/>
    <m/>
    <n v="1"/>
    <s v="COMBATE INCENDIO"/>
    <x v="3"/>
    <s v="Acessórios"/>
    <n v="0.82888888899469748"/>
    <x v="0"/>
    <s v="EXP.MAE"/>
    <s v="NÃO"/>
    <n v="0"/>
    <n v="0"/>
    <n v="0"/>
    <x v="297"/>
    <d v="2026-02-05T11:37:36"/>
    <x v="1"/>
    <s v="202600672017"/>
    <s v="9032"/>
    <s v="HMC - Hora de Manutenção Corretiva"/>
    <s v="HMC - EXEC TERCEIROS TRABALHANDO"/>
    <s v="Mãe"/>
    <x v="1"/>
    <s v="202600672017- FALHA NO SISTEMA AFEX -  REPOSICIONA SUPORTE DA AMPOLA DO SISTEMA AFEX"/>
    <s v="SISTEMA AFEX"/>
    <s v="COMBATE INCENDIO"/>
    <s v="AMPOLA"/>
    <s v="POSICAO"/>
    <s v="REPOSCIONAR"/>
    <s v="Mecânica"/>
    <s v="Combate Incendio - Reservatorio Agente"/>
    <s v="Suporte"/>
  </r>
  <r>
    <n v="0"/>
    <m/>
    <m/>
    <m/>
    <m/>
    <m/>
    <m/>
    <m/>
    <m/>
    <m/>
    <m/>
    <m/>
    <s v="SIM"/>
    <n v="1"/>
    <s v="HIDRAULICO"/>
    <x v="3"/>
    <s v="Corretivas"/>
    <n v="3.061944444430992"/>
    <x v="0"/>
    <s v="EXP.MAE"/>
    <s v="NÃO"/>
    <n v="0"/>
    <n v="0"/>
    <n v="0"/>
    <x v="298"/>
    <d v="2026-02-05T23:52:41"/>
    <x v="1"/>
    <s v="202600677275"/>
    <s v="9000"/>
    <s v="HMC - Hora de Manutenção Corretiva"/>
    <s v="HMC - EXEC MANUT"/>
    <s v="Mãe"/>
    <x v="1"/>
    <s v="BAIXO NIVEL DO OLEO HD 202600677275 - COMPLETADO NIVEIS MT: 2201636"/>
    <s v="HIDRAULICO"/>
    <s v="TANQUE HIDRAULICO"/>
    <s v="OLEO"/>
    <s v="BAIXO NIVEL"/>
    <s v="COMPLETAR"/>
    <s v="Mecânica"/>
    <s v="Estrutura - Tanque Oleo"/>
    <s v="Oleo"/>
  </r>
  <r>
    <n v="0"/>
    <m/>
    <m/>
    <m/>
    <m/>
    <m/>
    <m/>
    <m/>
    <m/>
    <m/>
    <m/>
    <m/>
    <s v="SIM"/>
    <n v="1"/>
    <s v="TREM DE FORÇA"/>
    <x v="3"/>
    <s v="Corretivas"/>
    <n v="12.239444444538094"/>
    <x v="0"/>
    <s v="EXP.MAE"/>
    <s v="NÃO"/>
    <n v="0"/>
    <n v="0"/>
    <n v="0"/>
    <x v="299"/>
    <d v="2026-02-06T23:49:50"/>
    <x v="1"/>
    <s v="202600688393"/>
    <s v="9000"/>
    <s v="HMC - Hora de Manutenção Corretiva"/>
    <s v="HMC - EXEC MANUT"/>
    <s v="Mãe"/>
    <x v="1"/>
    <s v="ALTA TEMPERATURA DO ÓLEO DO DIFERENCIAL -202600688393 - DRENADO EXCESSO DO OLEO DIFERENCIAL MT: 1150588 (MSR: Substituido filtro)"/>
    <s v="TREM DE FORCA"/>
    <s v="DIFERENCIAL"/>
    <s v="OLEO"/>
    <s v="ALTO NIVEL"/>
    <s v="DRENAR"/>
    <s v="Mecânica"/>
    <s v="Transmissao - Diferencial Traseiro"/>
    <s v="Oleo"/>
  </r>
  <r>
    <n v="0"/>
    <m/>
    <m/>
    <m/>
    <m/>
    <m/>
    <m/>
    <m/>
    <m/>
    <m/>
    <m/>
    <m/>
    <m/>
    <n v="1"/>
    <s v="DIRECAO"/>
    <x v="3"/>
    <s v="Corretivas"/>
    <n v="20.423888888850342"/>
    <x v="1"/>
    <s v="NÃO EXP.MAE"/>
    <s v="NÃO"/>
    <n v="0"/>
    <n v="0"/>
    <n v="0"/>
    <x v="300"/>
    <d v="2026-02-11T04:54:11"/>
    <x v="1"/>
    <s v="202600754414"/>
    <s v="9000"/>
    <s v="HMC - Hora de Manutenção Corretiva"/>
    <s v="HMC - EXEC MANUT"/>
    <s v="Mãe"/>
    <x v="1"/>
    <s v="BAIXA PRESSÃO DOS ACUMULADORES DA DIREÇÃO - 202600754414  CALIBRADO OS ACUMULADORES DE DIREÇÃO  MT:1150588"/>
    <s v="DIRECAO"/>
    <s v="ACUMULADOR"/>
    <s v="ACUMULADOR"/>
    <s v="AVARIA"/>
    <s v="SUBSTITUIR"/>
    <s v="Mecânica"/>
    <s v="Direcao - Acumulador"/>
    <s v="Acumulador"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10487000000284752"/>
    <n v="0"/>
    <n v="0"/>
    <x v="301"/>
    <d v="2026-02-11T01:11:00"/>
    <x v="1"/>
    <s v="202600754414"/>
    <s v="9000"/>
    <s v="HMC - Hora de Manutenção Corretiva"/>
    <s v="HMC - AG LUBRIFICACAO"/>
    <s v="Filha"/>
    <x v="1"/>
    <s v="BAIXA PRESSÃO DOS ACUMULADORES DA DIREÇÃO - 202600754414  CALIBRADO OS ACUMULADORES DE DIREÇÃO  MT:1150588"/>
    <s v="DIRECAO"/>
    <s v="ACUMULADOR"/>
    <s v="ACUMULADOR"/>
    <s v="AVARIA"/>
    <s v="SUBSTITUIR"/>
    <s v="Mecânica"/>
    <s v="Direcao - Acumulador"/>
    <s v="Acumulador"/>
  </r>
  <r>
    <n v="0"/>
    <m/>
    <m/>
    <m/>
    <m/>
    <m/>
    <m/>
    <m/>
    <m/>
    <m/>
    <m/>
    <m/>
    <m/>
    <n v="1"/>
    <s v="DIRECAO"/>
    <x v="3"/>
    <s v="Corretivas"/>
    <n v="83.771388888882939"/>
    <x v="1"/>
    <s v="NÃO EXP.MAE"/>
    <s v="NÃO"/>
    <n v="0"/>
    <n v="0"/>
    <n v="0"/>
    <x v="302"/>
    <d v="2026-02-14T22:51:03"/>
    <x v="1"/>
    <n v="202600784594"/>
    <s v="9000"/>
    <s v="HMC - Hora de Manutenção Corretiva"/>
    <s v="HMC - EXEC MANUT"/>
    <s v="Mãe"/>
    <x v="1"/>
    <s v="SUBSTITUIR BOMBA DE DIREÇÃO - 202600789658"/>
    <s v="DIRECAO"/>
    <s v="BOMBA DE DIRECAO"/>
    <s v="BOMBA"/>
    <s v="AVARIA"/>
    <s v="SUBSTITUIR"/>
    <s v="Mecânica"/>
    <s v="Frenagem - Bomba"/>
    <s v="Vedacao"/>
  </r>
  <r>
    <n v="0"/>
    <m/>
    <m/>
    <m/>
    <m/>
    <m/>
    <m/>
    <m/>
    <m/>
    <m/>
    <m/>
    <m/>
    <s v="NÃO"/>
    <s v=""/>
    <s v=""/>
    <x v="2"/>
    <s v=""/>
    <s v=""/>
    <x v="2"/>
    <s v="NÃO EXP.MAE"/>
    <s v="NÃO"/>
    <n v="0"/>
    <n v="0"/>
    <n v="0"/>
    <x v="303"/>
    <d v="2026-02-11T14:10:00"/>
    <x v="1"/>
    <n v="202600784594"/>
    <s v="9000"/>
    <s v="HMC - Hora de Manutenção Corretiva"/>
    <s v="HMC - AG LOCOMOCAO"/>
    <s v="Filha"/>
    <x v="1"/>
    <s v="SUBSTITUIR BOMBA DE DIREÇÃO - 202600789658"/>
    <s v="DIRECAO"/>
    <s v="BOMBA DE DIRECAO"/>
    <s v="BOMBA"/>
    <s v="AVARIA"/>
    <s v="SUBSTITUIR"/>
    <s v="Mecânica"/>
    <s v="Frenagem - Bomba"/>
    <s v="Vedaca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9.7222222218988463E-2"/>
    <n v="0"/>
    <n v="0"/>
    <x v="304"/>
    <d v="2026-02-11T16:30:00"/>
    <x v="1"/>
    <n v="202600784594"/>
    <s v="9000"/>
    <s v="HMC - Hora de Manutenção Corretiva"/>
    <s v="HMC - AG LOCOMOCAO"/>
    <s v="Filha"/>
    <x v="1"/>
    <s v="SUBSTITUIR BOMBA DE DIREÇÃO - 202600789658"/>
    <s v="DIRECAO"/>
    <s v="BOMBA DE DIRECAO"/>
    <s v="BOMBA"/>
    <s v="AVARIA"/>
    <s v="SUBSTITUIR"/>
    <s v="Mecânica"/>
    <s v="Frenagem - Bomba"/>
    <s v="Vedaca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4.3750000004365575E-2"/>
    <n v="0"/>
    <n v="0"/>
    <x v="305"/>
    <d v="2026-02-11T20:12:00"/>
    <x v="1"/>
    <n v="202600784594"/>
    <s v="9000"/>
    <s v="HMC - Hora de Manutenção Corretiva"/>
    <s v="HMC - AG LAVADOR"/>
    <s v="Filha"/>
    <x v="1"/>
    <s v="SUBSTITUIR BOMBA DE DIREÇÃO - 202600789658"/>
    <s v="DIRECAO"/>
    <s v="BOMBA DE DIRECAO"/>
    <s v="BOMBA"/>
    <s v="AVARIA"/>
    <s v="SUBSTITUIR"/>
    <s v="Mecânica"/>
    <s v="Frenagem - Bomba"/>
    <s v="Vedaca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3.4720000003289897E-2"/>
    <n v="0"/>
    <n v="0"/>
    <x v="306"/>
    <d v="2026-02-12T19:50:00"/>
    <x v="1"/>
    <n v="202600784594"/>
    <s v="9000"/>
    <s v="HMC - Hora de Manutenção Corretiva"/>
    <s v="HMC - AG MAU TEMPO"/>
    <s v="Filha"/>
    <x v="1"/>
    <s v="SUBSTITUIR BOMBA DE DIREÇÃO - 202600789658"/>
    <s v="DIRECAO"/>
    <s v="BOMBA DE DIRECAO"/>
    <s v="BOMBA"/>
    <s v="AVARIA"/>
    <s v="SUBSTITUIR"/>
    <s v="Mecânica"/>
    <s v="Frenagem - Bomba"/>
    <s v="Vedaca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16666666666424135"/>
    <n v="0"/>
    <n v="0"/>
    <x v="307"/>
    <d v="2026-02-13T15:00:00"/>
    <x v="1"/>
    <n v="202600784594"/>
    <s v="9000"/>
    <s v="HMC - Hora de Manutenção Corretiva"/>
    <s v="HMC - AG RECURSO/FERRAMENTAL"/>
    <s v="Filha"/>
    <x v="1"/>
    <s v="SUBSTITUIR BOMBA DE DIREÇÃO - 202600789658"/>
    <s v="DIRECAO"/>
    <s v="BOMBA DE DIRECAO"/>
    <s v="BOMBA"/>
    <s v="AVARIA"/>
    <s v="SUBSTITUIR"/>
    <s v="Mecânica"/>
    <s v="Frenagem - Bomba"/>
    <s v="Vedaca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4.514000000199303E-2"/>
    <n v="0"/>
    <n v="0"/>
    <x v="308"/>
    <d v="2026-02-13T20:45:00"/>
    <x v="1"/>
    <n v="202600784594"/>
    <s v="9000"/>
    <s v="HMC - Hora de Manutenção Corretiva"/>
    <s v="HMC - AG MAU TEMPO"/>
    <s v="Filha"/>
    <x v="1"/>
    <s v="SUBSTITUIR BOMBA DE DIREÇÃO - 202600789658"/>
    <s v="DIRECAO"/>
    <s v="BOMBA DE DIRECAO"/>
    <s v="BOMBA"/>
    <s v="AVARIA"/>
    <s v="SUBSTITUIR"/>
    <s v="Mecânica"/>
    <s v="Frenagem - Bomba"/>
    <s v="Vedaca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4.3750000004365575E-2"/>
    <n v="0"/>
    <n v="0"/>
    <x v="309"/>
    <d v="2026-02-13T22:50:00"/>
    <x v="1"/>
    <n v="202600784594"/>
    <s v="9000"/>
    <s v="HMC - Hora de Manutenção Corretiva"/>
    <s v="HMC - AG MAU TEMPO"/>
    <s v="Filha"/>
    <x v="1"/>
    <s v="SUBSTITUIR BOMBA DE DIREÇÃO - 202600789658"/>
    <s v="DIRECAO"/>
    <s v="BOMBA DE DIRECAO"/>
    <s v="BOMBA"/>
    <s v="AVARIA"/>
    <s v="SUBSTITUIR"/>
    <s v="Mecânica"/>
    <s v="Frenagem - Bomba"/>
    <s v="Vedaca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5.8329999999841675E-2"/>
    <n v="0"/>
    <n v="0"/>
    <x v="310"/>
    <d v="2026-02-14T00:45:00"/>
    <x v="1"/>
    <n v="202600784594"/>
    <s v="9000"/>
    <s v="HMC - Hora de Manutenção Corretiva"/>
    <s v="HMC - AG LUBRIFICACAO"/>
    <s v="Filha"/>
    <x v="1"/>
    <s v="SUBSTITUIR BOMBA DE DIREÇÃO - 202600789658"/>
    <s v="DIRECAO"/>
    <s v="BOMBA DE DIRECAO"/>
    <s v="BOMBA"/>
    <s v="AVARIA"/>
    <s v="SUBSTITUIR"/>
    <s v="Mecânica"/>
    <s v="Frenagem - Bomba"/>
    <s v="Vedaca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5.2083333328482695E-2"/>
    <n v="0"/>
    <n v="0"/>
    <x v="311"/>
    <d v="2026-02-14T13:00:00"/>
    <x v="1"/>
    <n v="202600784594"/>
    <s v="9000"/>
    <s v="HMC - Hora de Manutenção Corretiva"/>
    <s v="HMC - AG LUBRIFICACAO"/>
    <s v="Filha"/>
    <x v="1"/>
    <s v="SUBSTITUIR BOMBA DE DIREÇÃO - 202600789658"/>
    <s v="DIRECAO"/>
    <s v="BOMBA DE DIRECAO"/>
    <s v="BOMBA"/>
    <s v="AVARIA"/>
    <s v="SUBSTITUIR"/>
    <s v="Mecânica"/>
    <s v="Frenagem - Bomba"/>
    <s v="Vedacao"/>
  </r>
  <r>
    <n v="0"/>
    <m/>
    <m/>
    <m/>
    <m/>
    <m/>
    <m/>
    <m/>
    <m/>
    <m/>
    <m/>
    <m/>
    <s v="SIM"/>
    <n v="1"/>
    <s v="HIDRAULICO"/>
    <x v="3"/>
    <s v="Corretivas"/>
    <n v="2.2638888889923692"/>
    <x v="0"/>
    <s v="EXP.MAE"/>
    <s v="NÃO"/>
    <n v="0"/>
    <n v="0"/>
    <n v="0"/>
    <x v="312"/>
    <d v="2026-02-15T13:20:52"/>
    <x v="1"/>
    <s v="202600853819"/>
    <s v="9000"/>
    <s v="HMC - Hora de Manutenção Corretiva"/>
    <s v="HMC - EXEC MANUT"/>
    <s v="Mãe"/>
    <x v="1"/>
    <s v="202600853819- ALARME NÍVEL 2- COMPLETADO 120LT DA DIREÇÃO"/>
    <s v="HIDRAULICO"/>
    <s v="VENTILADOR HIDRAULICO"/>
    <s v="SOLENOIDE DO FAN"/>
    <s v="AVARIA"/>
    <s v="SUBSTITUIR"/>
    <s v="Mecânica"/>
    <s v="Direcao - Hidraulico"/>
    <s v="Conexoes"/>
  </r>
  <r>
    <n v="0"/>
    <m/>
    <m/>
    <m/>
    <m/>
    <m/>
    <m/>
    <m/>
    <m/>
    <m/>
    <m/>
    <m/>
    <m/>
    <n v="1"/>
    <s v="DIRECAO"/>
    <x v="3"/>
    <s v="Corretivas"/>
    <n v="2.2038888887618668"/>
    <x v="1"/>
    <s v="NÃO EXP.MAE"/>
    <s v="NÃO"/>
    <n v="0"/>
    <n v="0"/>
    <n v="0"/>
    <x v="313"/>
    <d v="2026-02-16T04:38:14"/>
    <x v="1"/>
    <s v="202600861701"/>
    <s v="9000"/>
    <s v="HMC - Hora de Manutenção Corretiva"/>
    <s v="HMC - EXEC MANUT"/>
    <s v="Mãe"/>
    <x v="1"/>
    <s v="BAIXO NÍVEL DO ÓLEO DA DIREÇÃO - REALIZAR SUBSTITUIÇÃO DO ORING DO SOLENOIDE DE VELOCIDADE DO FAN - 202600861701"/>
    <s v="DIRECAO"/>
    <s v="TANQUE HIDRAULICO"/>
    <s v="OLEO"/>
    <s v="BAIXO NIVEL"/>
    <s v="COMPLETAR"/>
    <s v="Mecânica"/>
    <s v="Direcao - Hidraulico"/>
    <s v="Filtro de Ole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7.3611111118225381E-2"/>
    <n v="0"/>
    <n v="0"/>
    <x v="314"/>
    <d v="2026-02-16T04:38:00"/>
    <x v="1"/>
    <s v="202600861701"/>
    <s v="9000"/>
    <s v="HMC - Hora de Manutenção Corretiva"/>
    <s v="HMC - AG MAU TEMPO"/>
    <s v="Filha"/>
    <x v="1"/>
    <s v="BAIXO NÍVEL DO ÓLEO DA DIREÇÃO - REALIZAR SUBSTITUIÇÃO DO ORING DO SOLENOIDE DE VELOCIDADE DO FAN - 202600861701"/>
    <s v="DIRECAO"/>
    <s v="TANQUE HIDRAULICO"/>
    <s v="OLEO"/>
    <s v="BAIXO NIVEL"/>
    <s v="COMPLETAR"/>
    <s v="Mecânica"/>
    <s v="Direcao - Hidraulico"/>
    <s v="Filtro de Oleo"/>
  </r>
  <r>
    <n v="0"/>
    <m/>
    <m/>
    <m/>
    <m/>
    <m/>
    <m/>
    <m/>
    <m/>
    <m/>
    <m/>
    <m/>
    <m/>
    <n v="1"/>
    <s v="DIRECAO"/>
    <x v="3"/>
    <s v="Corretivas"/>
    <n v="4.2311111111193895"/>
    <x v="1"/>
    <s v="NÃO EXP.MAE"/>
    <s v="NÃO"/>
    <n v="0"/>
    <n v="0"/>
    <n v="0"/>
    <x v="315"/>
    <d v="2026-02-16T21:01:09"/>
    <x v="1"/>
    <s v="202600874938"/>
    <s v="9000"/>
    <s v="HMC - Hora de Manutenção Corretiva"/>
    <s v="HMC - EXEC MANUT"/>
    <s v="Mãe"/>
    <x v="1"/>
    <s v="BAIXO NIVEL DE OLEO DA DIREÇÃO 202600874938  SUBSTITUIDO  VEDAÇÕES SOLENOIDE DA BOMBA DE DIREÇÃO E COMPLETADO NIVEIS mt: 2201636"/>
    <s v="DIRECAO"/>
    <s v="BOMBA DE DIRECAO"/>
    <s v="VALVULA COMPENSADORA"/>
    <s v="VAZAMENTO"/>
    <s v="SUBSTITUIR"/>
    <s v="Mecânica"/>
    <s v="Direcao - Unidade Hidraulica"/>
    <s v="Valvula Solenoide"/>
  </r>
  <r>
    <n v="0"/>
    <m/>
    <m/>
    <m/>
    <m/>
    <m/>
    <m/>
    <m/>
    <m/>
    <m/>
    <m/>
    <m/>
    <m/>
    <n v="1"/>
    <s v="COMUNICACAO"/>
    <x v="1"/>
    <s v="Acessórios"/>
    <n v="4.217499999969732"/>
    <x v="0"/>
    <s v="EXP.MAE"/>
    <s v="NÃO"/>
    <n v="0"/>
    <n v="0"/>
    <n v="0"/>
    <x v="316"/>
    <d v="2026-02-19T15:26:07"/>
    <x v="1"/>
    <m/>
    <s v="8032"/>
    <s v="MPNS - Hora Manutenção Preventiva não Sistemática"/>
    <s v="MPNS - EXEC TERCEIROS TRABALHANDO"/>
    <s v="Mãe"/>
    <x v="1"/>
    <s v="MACHINE GEN Atraso iniciado: MPNS - Exec mecanica"/>
    <s v="COMUNICACAO"/>
    <s v="COMUNICACAO"/>
    <s v="COMUNICACAO"/>
    <s v="COMUNICACAO"/>
    <s v="COMUNICACAO"/>
    <m/>
    <m/>
    <m/>
  </r>
  <r>
    <n v="0"/>
    <m/>
    <m/>
    <m/>
    <m/>
    <m/>
    <m/>
    <m/>
    <m/>
    <m/>
    <m/>
    <m/>
    <m/>
    <n v="1"/>
    <s v="ESTRUTURA"/>
    <x v="3"/>
    <s v="Corretivas"/>
    <n v="0.8241666667163372"/>
    <x v="1"/>
    <s v="NÃO EXP.MAE"/>
    <s v="NÃO"/>
    <n v="0"/>
    <n v="0"/>
    <n v="0"/>
    <x v="317"/>
    <d v="2026-02-19T17:09:14"/>
    <x v="1"/>
    <s v="202600935213"/>
    <s v="9000"/>
    <s v="HMC - Hora de Manutenção Corretiva"/>
    <s v="HMC - EXEC MANUT"/>
    <s v="Mãe"/>
    <x v="1"/>
    <s v="ESCADA DANIFICADA. - 202600935213   ABASTECIDO 12L DE OLEO DO MOTOR DA ESCADA."/>
    <s v="ESTRUTURA"/>
    <s v="ESCADA RETRATIL"/>
    <s v="MANGUEIRA"/>
    <s v="FOLGA"/>
    <s v="TORQUEAR"/>
    <s v="Mecânica"/>
    <s v="Estrutura"/>
    <s v="Escada"/>
  </r>
  <r>
    <n v="0"/>
    <m/>
    <m/>
    <m/>
    <m/>
    <m/>
    <m/>
    <m/>
    <m/>
    <m/>
    <m/>
    <m/>
    <m/>
    <n v="1"/>
    <s v="DIRECAO"/>
    <x v="3"/>
    <s v="Corretivas"/>
    <n v="41.49916666658828"/>
    <x v="1"/>
    <s v="NÃO EXP.MAE"/>
    <s v="NÃO"/>
    <n v="0"/>
    <n v="0"/>
    <n v="0"/>
    <x v="318"/>
    <d v="2026-02-23T04:19:17"/>
    <x v="1"/>
    <n v="202600965367"/>
    <s v="9000"/>
    <s v="HMC - Hora de Manutenção Corretiva"/>
    <s v="HMC - EXEC MANUT"/>
    <s v="Mãe"/>
    <x v="1"/>
    <s v="SUBSTITUIR BARRA ESTABILIZADORA DE DIREÇÃO. - 202600965367 - FALHA NA BARRA ESTABILIZADORA DE DIREÇÃO - AG LIMPEZA DE BASCULA"/>
    <s v="DIRECAO"/>
    <s v="BARRA ESTABILIZADORA"/>
    <s v="BARRA ESTABILIZADORA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4.1666666664241347E-2"/>
    <n v="0"/>
    <n v="0"/>
    <x v="319"/>
    <d v="2026-02-21T12:00:00"/>
    <x v="1"/>
    <n v="202600965367"/>
    <s v="9000"/>
    <s v="HMC - Hora de Manutenção Corretiva"/>
    <s v="HMC - AG CONDICAO SEGURA"/>
    <s v="Filha"/>
    <x v="1"/>
    <s v="SUBSTITUIR BARRA ESTABILIZADORA DE DIREÇÃO. - 202600965367 - FALHA NA BARRA ESTABILIZADORA DE DIREÇÃO - AG LIMPEZA DE BASCULA"/>
    <s v="DIRECAO"/>
    <s v="BARRA ESTABILIZADORA"/>
    <s v="BARRA ESTABILIZADORA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5"/>
    <n v="0"/>
    <n v="0"/>
    <x v="320"/>
    <d v="2026-02-22T06:00:00"/>
    <x v="1"/>
    <n v="202600965367"/>
    <s v="9000"/>
    <s v="HMC - Hora de Manutenção Corretiva"/>
    <s v="HMC - AG CONDICAO SEGURA"/>
    <s v="Filha"/>
    <x v="1"/>
    <s v="SUBSTITUIR BARRA ESTABILIZADORA DE DIREÇÃO. - 202600965367 - FALHA NA BARRA ESTABILIZADORA DE DIREÇÃO - AG LIMPEZA DE BASCULA"/>
    <s v="DIRECAO"/>
    <s v="BARRA ESTABILIZADORA"/>
    <s v="BARRA ESTABILIZADORA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16319444444525288"/>
    <n v="0"/>
    <n v="0"/>
    <x v="321"/>
    <d v="2026-02-22T09:55:00"/>
    <x v="1"/>
    <n v="202600965367"/>
    <s v="9000"/>
    <s v="HMC - Hora de Manutenção Corretiva"/>
    <s v="HMC - AG CONDICAO SEGURA"/>
    <s v="Filha"/>
    <x v="1"/>
    <s v="SUBSTITUIR BARRA ESTABILIZADORA DE DIREÇÃO. - 202600965367 - FALHA NA BARRA ESTABILIZADORA DE DIREÇÃO - AG LIMPEZA DE BASCULA"/>
    <s v="DIRECAO"/>
    <s v="BARRA ESTABILIZADORA"/>
    <s v="BARRA ESTABILIZADORA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5.9027777781011537E-2"/>
    <n v="0"/>
    <n v="0"/>
    <x v="322"/>
    <d v="2026-02-22T14:10:00"/>
    <x v="1"/>
    <n v="202600965367"/>
    <s v="9000"/>
    <s v="HMC - Hora de Manutenção Corretiva"/>
    <s v="HMC - AG LUBRIFICACAO"/>
    <s v="Filha"/>
    <x v="1"/>
    <s v="SUBSTITUIR BARRA ESTABILIZADORA DE DIREÇÃO. - 202600965367 - FALHA NA BARRA ESTABILIZADORA DE DIREÇÃO - AG LIMPEZA DE BASCULA"/>
    <s v="DIRECAO"/>
    <s v="BARRA ESTABILIZADORA"/>
    <s v="BARRA ESTABILIZADORA"/>
    <s v="AVARIA"/>
    <s v="SUBSTITUIR"/>
    <m/>
    <m/>
    <m/>
  </r>
  <r>
    <n v="0"/>
    <m/>
    <m/>
    <m/>
    <m/>
    <m/>
    <m/>
    <m/>
    <m/>
    <m/>
    <m/>
    <m/>
    <s v="NÃO"/>
    <s v=""/>
    <s v=""/>
    <x v="2"/>
    <s v=""/>
    <s v=""/>
    <x v="2"/>
    <s v="NÃO EXP.MAE"/>
    <s v="NÃO"/>
    <n v="0"/>
    <n v="0"/>
    <n v="0"/>
    <x v="323"/>
    <d v="2026-02-22T15:25:00"/>
    <x v="1"/>
    <n v="202600965367"/>
    <s v="9000"/>
    <s v="HMC - Hora de Manutenção Corretiva"/>
    <s v="HMC - AG LOCOMOCAO"/>
    <s v="Filha"/>
    <x v="1"/>
    <s v="SUBSTITUIR BARRA ESTABILIZADORA DE DIREÇÃO. - 202600965367 - FALHA NA BARRA ESTABILIZADORA DE DIREÇÃO - AG LIMPEZA DE BASCULA"/>
    <s v="DIRECAO"/>
    <s v="BARRA ESTABILIZADORA"/>
    <s v="BARRA ESTABILIZADORA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3.1944444446708076E-2"/>
    <n v="0"/>
    <n v="0"/>
    <x v="324"/>
    <d v="2026-02-22T16:11:00"/>
    <x v="1"/>
    <n v="202600965367"/>
    <s v="9000"/>
    <s v="HMC - Hora de Manutenção Corretiva"/>
    <s v="HMC - AG LOCOMOCAO"/>
    <s v="Filha"/>
    <x v="1"/>
    <s v="SUBSTITUIR BARRA ESTABILIZADORA DE DIREÇÃO. - 202600965367 - FALHA NA BARRA ESTABILIZADORA DE DIREÇÃO - AG LIMPEZA DE BASCULA"/>
    <s v="DIRECAO"/>
    <s v="BARRA ESTABILIZADORA"/>
    <s v="BARRA ESTABILIZADORA"/>
    <s v="AVARIA"/>
    <s v="SUBSTITUIR"/>
    <m/>
    <m/>
    <m/>
  </r>
  <r>
    <n v="0"/>
    <m/>
    <m/>
    <m/>
    <m/>
    <m/>
    <m/>
    <m/>
    <m/>
    <m/>
    <m/>
    <m/>
    <m/>
    <n v="1"/>
    <s v="SISTEMA ALERTA DE FADIGA"/>
    <x v="1"/>
    <s v="Acessórios"/>
    <n v="0.22666666674194857"/>
    <x v="0"/>
    <s v="EXP.MAE"/>
    <s v="NÃO"/>
    <n v="0"/>
    <n v="0"/>
    <n v="0"/>
    <x v="325"/>
    <d v="2026-02-26T17:28:36"/>
    <x v="1"/>
    <m/>
    <s v="8032"/>
    <s v="MPNS - Hora Manutenção Preventiva não Sistemática"/>
    <s v="MPNS - EXEC TERCEIROS TRABALHANDO"/>
    <s v="Mãe"/>
    <x v="1"/>
    <s v="CREARE"/>
    <s v="SISTEMA ALERTA DE FADIGA"/>
    <s v="CREARE"/>
    <s v="OLEO"/>
    <s v="FALHA"/>
    <s v="CORRIGIR"/>
    <m/>
    <m/>
    <m/>
  </r>
  <r>
    <n v="0"/>
    <m/>
    <m/>
    <m/>
    <m/>
    <m/>
    <m/>
    <m/>
    <m/>
    <m/>
    <m/>
    <m/>
    <m/>
    <n v="1"/>
    <s v="INSPEÇÃO SENSITIVA"/>
    <x v="1"/>
    <s v="Inspeção"/>
    <n v="0.96999999991385266"/>
    <x v="1"/>
    <s v="NÃO EXP.MAE"/>
    <s v="NÃO"/>
    <n v="0"/>
    <n v="0"/>
    <n v="0"/>
    <x v="326"/>
    <d v="2026-02-27T11:52:47"/>
    <x v="1"/>
    <m/>
    <s v="8006"/>
    <s v="MPNS - Hora Manutenção Preventiva não Sistemática"/>
    <s v="MPNS - EXEC PREDITIVA"/>
    <s v="Mãe"/>
    <x v="1"/>
    <s v="MACHINE GEN Started a delay: MPNS - Exec preditiva"/>
    <s v="INSPEÇÃO"/>
    <s v="INSPEÇÃO"/>
    <s v="INSPEÇÃO"/>
    <s v="INSPEÇÃO"/>
    <s v="INSPEÇÃO"/>
    <m/>
    <m/>
    <m/>
  </r>
  <r>
    <n v="0"/>
    <m/>
    <m/>
    <m/>
    <m/>
    <m/>
    <m/>
    <m/>
    <m/>
    <m/>
    <m/>
    <n v="0"/>
    <s v="SIM"/>
    <n v="0"/>
    <s v="DIRECAO"/>
    <x v="3"/>
    <s v="Corretivas"/>
    <n v="0.73361111112171784"/>
    <x v="0"/>
    <s v="EXP.MAE"/>
    <s v="NÃO"/>
    <n v="0"/>
    <n v="0"/>
    <n v="0"/>
    <x v="327"/>
    <d v="2026-03-01T03:20:50"/>
    <x v="1"/>
    <s v="202601100157"/>
    <s v="9000"/>
    <s v="HMC - Hora de Manutenção Corretiva"/>
    <s v="HMC - EXEC MANUT"/>
    <s v="Mãe"/>
    <x v="2"/>
    <s v="PRESSÃO BAIXA DOS ACUMULADORES DE DIREÇÃO - 202601100157 COMPLETADO NIVEL  14 LITROS D E DIREÇÃO E 23 HD MT:1150588"/>
    <s v="DIRECAO"/>
    <s v="TANQUE HIDRAULICO"/>
    <s v="OLEO"/>
    <s v="BAIXO NIVEL"/>
    <s v="COMPLETAR"/>
    <s v="Mecânica"/>
    <s v="Direcao - Acumulador"/>
    <s v="Acumulador"/>
  </r>
  <r>
    <n v="0"/>
    <m/>
    <m/>
    <m/>
    <m/>
    <m/>
    <m/>
    <m/>
    <m/>
    <m/>
    <m/>
    <m/>
    <m/>
    <n v="1"/>
    <s v="ELETRICO"/>
    <x v="3"/>
    <s v="Corretivas"/>
    <n v="1.5452777778846212"/>
    <x v="1"/>
    <s v="NÃO EXP.MAE"/>
    <s v="NÃO"/>
    <n v="0"/>
    <n v="0"/>
    <n v="0"/>
    <x v="328"/>
    <d v="2026-03-03T16:41:16"/>
    <x v="1"/>
    <s v="202601145368"/>
    <s v="9000"/>
    <s v="HMC - Hora de Manutenção Corretiva"/>
    <s v="HMC - EXEC MANUT"/>
    <s v="Mãe"/>
    <x v="2"/>
    <s v="FALHA NO ACIONAMENTO DO VIDRO DA PORTA 202601145368 - EFETUADO LIMPEZA NOS CONECTORES DO MOTOR ELETRICO DO VIDRO"/>
    <s v="ELETRICO"/>
    <s v="CABINE"/>
    <s v="VIDRO DA PORTA"/>
    <s v="ALIMENTACAO"/>
    <s v="CORRIGIR"/>
    <s v="Elétrica"/>
    <s v="Eletrico - Cabine"/>
    <s v="Cabo/fiação/Mau contato"/>
  </r>
  <r>
    <n v="0"/>
    <m/>
    <m/>
    <m/>
    <m/>
    <m/>
    <m/>
    <m/>
    <m/>
    <m/>
    <m/>
    <m/>
    <m/>
    <n v="1"/>
    <s v="ELETRICO"/>
    <x v="3"/>
    <s v="Corretivas"/>
    <n v="3.0555555713362992E-3"/>
    <x v="1"/>
    <s v="NÃO EXP.MAE"/>
    <s v="NÃO"/>
    <n v="0"/>
    <n v="0"/>
    <n v="0"/>
    <x v="329"/>
    <d v="2026-03-05T16:05:32"/>
    <x v="1"/>
    <s v="202601195748"/>
    <s v="9000"/>
    <s v="HMC - Hora de Manutenção Corretiva"/>
    <s v="HMC - EXEC MANUT"/>
    <s v="Mãe"/>
    <x v="2"/>
    <s v="SEM PARTIDA - 202601195748 - SUBSTITUIR MOTORES DE PARTIDA"/>
    <s v="ELETRICO"/>
    <s v="MOTOR DE COMBUSTAO"/>
    <s v="MOTOR DE PARTIDA"/>
    <s v="AVARIA"/>
    <s v="SUBSTITUIR"/>
    <s v="Mecânica"/>
    <s v="Motor Combustao - Pneumatico"/>
    <s v="Motor Partida Pneumatico-Travamento"/>
  </r>
  <r>
    <n v="0"/>
    <m/>
    <m/>
    <m/>
    <m/>
    <m/>
    <m/>
    <m/>
    <m/>
    <m/>
    <m/>
    <m/>
    <m/>
    <n v="0"/>
    <s v="ELETRICO"/>
    <x v="3"/>
    <s v="Corretivas"/>
    <n v="12.40500000002794"/>
    <x v="1"/>
    <s v="NÃO EXP.MAE"/>
    <s v="NÃO"/>
    <n v="0"/>
    <n v="0"/>
    <n v="0"/>
    <x v="330"/>
    <d v="2026-03-06T04:29:50"/>
    <x v="1"/>
    <s v="202601195748"/>
    <s v="9000"/>
    <s v="HMC - Hora de Manutenção Corretiva"/>
    <s v="HMC - EXEC MANUT"/>
    <s v="Mãe"/>
    <x v="2"/>
    <s v="SEM PARTIDA - 202601195748 - SUBSTITUIR MOTORES DE PARTIDA"/>
    <s v="ELETRICO"/>
    <s v="MOTOR DE COMBUSTAO"/>
    <s v="MOTOR DE PARTIDA"/>
    <s v="AVARIA"/>
    <s v="SUBSTITUIR"/>
    <s v="Mecânica"/>
    <s v="Motor Combustao - Pneumatico"/>
    <s v="Motor Partida Pneumatico-Travamento"/>
  </r>
  <r>
    <n v="0"/>
    <m/>
    <m/>
    <m/>
    <m/>
    <m/>
    <m/>
    <m/>
    <m/>
    <m/>
    <m/>
    <m/>
    <s v="NÃO"/>
    <n v="1"/>
    <s v="TREM DE FORÇA"/>
    <x v="3"/>
    <s v="Corretivas"/>
    <n v="3.0875000000232831"/>
    <x v="1"/>
    <s v="NÃO EXP.MAE"/>
    <s v="NÃO"/>
    <n v="0"/>
    <n v="0"/>
    <n v="0"/>
    <x v="331"/>
    <d v="2026-03-06T16:14:30"/>
    <x v="1"/>
    <s v="202601210127"/>
    <s v="9000"/>
    <s v="HMC - Hora de Manutenção Corretiva"/>
    <s v="HMC - EXEC MANUT"/>
    <s v="Mãe"/>
    <x v="2"/>
    <s v="202601210127- ALTA TEMPERATURA DO ÓLEO DO DIFERENCIAL - OPERAÇÃO ASSISTIDA- NÃO ENCONTRADO FALHA"/>
    <s v="TREM DE FORCA"/>
    <s v="LUBRIFICACAO"/>
    <s v="OLEO"/>
    <s v="NIVEL ALTO"/>
    <s v="DRENAR"/>
    <s v="Mecânica"/>
    <s v="Transmis Forca - Diferencial"/>
    <s v="Diferencial"/>
  </r>
  <r>
    <n v="0"/>
    <m/>
    <m/>
    <m/>
    <m/>
    <m/>
    <m/>
    <m/>
    <m/>
    <m/>
    <s v="REVISÃO PREVENTIVA"/>
    <n v="0"/>
    <s v="SIM"/>
    <n v="0"/>
    <s v="REVISÃO PREVENTIVA"/>
    <x v="4"/>
    <s v="Preventivas"/>
    <n v="7.3013888889108784"/>
    <x v="0"/>
    <s v="EXP.MAE"/>
    <s v="NÃO"/>
    <n v="0"/>
    <n v="0"/>
    <n v="0"/>
    <x v="332"/>
    <d v="2026-03-07T15:54:01"/>
    <x v="1"/>
    <m/>
    <s v="7000"/>
    <s v="MPS - Hora Manutenção Preventiva Sistemática"/>
    <s v="MPS - EXEC MANUT"/>
    <s v="Mãe"/>
    <x v="2"/>
    <s v="PM: 12000h + 18 BL's"/>
    <s v="PREVENTIVA"/>
    <s v="12000 HORAS"/>
    <m/>
    <m/>
    <m/>
    <m/>
    <m/>
    <m/>
  </r>
  <r>
    <n v="0"/>
    <m/>
    <m/>
    <m/>
    <m/>
    <m/>
    <m/>
    <m/>
    <m/>
    <m/>
    <s v="REVISÃO PREVENTIVA"/>
    <n v="0"/>
    <m/>
    <n v="0"/>
    <s v="REVISÃO PREVENTIVA"/>
    <x v="4"/>
    <s v="Preventivas"/>
    <n v="5.7697222221759148"/>
    <x v="0"/>
    <s v="EXP.MAE"/>
    <s v="NÃO"/>
    <n v="0"/>
    <n v="0"/>
    <n v="0"/>
    <x v="333"/>
    <d v="2026-03-07T21:40:12"/>
    <x v="1"/>
    <m/>
    <s v="7111"/>
    <s v="MPS - Hora Manutenção Preventiva Sistemática"/>
    <s v="MPS - AG LAVADOR"/>
    <s v="Mãe"/>
    <x v="2"/>
    <s v="PM: 12000h + 18 BL's"/>
    <s v="PREVENTIVA"/>
    <s v="12000 HORAS"/>
    <m/>
    <m/>
    <m/>
    <m/>
    <m/>
    <m/>
  </r>
  <r>
    <n v="0"/>
    <m/>
    <m/>
    <m/>
    <m/>
    <m/>
    <m/>
    <m/>
    <m/>
    <m/>
    <s v="REVISÃO PREVENTIVA"/>
    <m/>
    <m/>
    <n v="0"/>
    <s v="REVISÃO PREVENTIVA"/>
    <x v="4"/>
    <s v="Preventivas"/>
    <n v="3.9999999999417923"/>
    <x v="1"/>
    <s v="NÃO EXP.MAE"/>
    <s v="NÃO"/>
    <n v="0"/>
    <n v="0"/>
    <n v="0"/>
    <x v="334"/>
    <d v="2026-03-08T01:40:12"/>
    <x v="1"/>
    <m/>
    <s v="7011"/>
    <s v="MPS - Hora Manutenção Preventiva Sistemática"/>
    <s v="MPS - EXEC LAVADOR"/>
    <s v="Mãe"/>
    <x v="2"/>
    <s v="PM: 12000h + 18 BL's"/>
    <s v="PREVENTIVA"/>
    <s v="12000 HORAS"/>
    <m/>
    <m/>
    <m/>
    <m/>
    <m/>
    <m/>
  </r>
  <r>
    <n v="0"/>
    <m/>
    <m/>
    <m/>
    <m/>
    <m/>
    <m/>
    <m/>
    <m/>
    <m/>
    <s v="REVISÃO PREVENTIVA"/>
    <n v="0"/>
    <s v="SIM"/>
    <n v="0"/>
    <s v="REVISÃO PREVENTIVA"/>
    <x v="4"/>
    <s v="Preventivas"/>
    <n v="1.2713888888829388"/>
    <x v="0"/>
    <s v="EXP.MAE"/>
    <s v="NÃO"/>
    <n v="0"/>
    <n v="0"/>
    <n v="0"/>
    <x v="335"/>
    <d v="2026-03-08T02:56:29"/>
    <x v="1"/>
    <m/>
    <s v="7011"/>
    <s v="MPS - Hora Manutenção Preventiva Sistemática"/>
    <s v="MPS - EXEC LAVADOR"/>
    <s v="Mãe"/>
    <x v="2"/>
    <s v="PM: 12000h + 18 BL's"/>
    <s v="PREVENTIVA"/>
    <s v="12000 HORAS"/>
    <m/>
    <m/>
    <m/>
    <m/>
    <m/>
    <m/>
  </r>
  <r>
    <n v="0"/>
    <m/>
    <m/>
    <m/>
    <m/>
    <m/>
    <m/>
    <m/>
    <m/>
    <m/>
    <s v="REVISÃO PREVENTIVA"/>
    <m/>
    <m/>
    <n v="0"/>
    <s v="REVISÃO PREVENTIVA"/>
    <x v="4"/>
    <s v="Preventivas"/>
    <n v="21.89194444444729"/>
    <x v="1"/>
    <s v="NÃO EXP.MAE"/>
    <s v="NÃO"/>
    <n v="0"/>
    <n v="0"/>
    <n v="0"/>
    <x v="336"/>
    <d v="2026-03-09T00:50:00"/>
    <x v="1"/>
    <m/>
    <s v="7000"/>
    <s v="MPS - Hora Manutenção Preventiva Sistemática"/>
    <s v="MPS - EXEC MANUT"/>
    <s v="Mãe"/>
    <x v="2"/>
    <s v="PM: 12000h + 18 BL's"/>
    <s v="PREVENTIVA"/>
    <s v="12000 HORAS"/>
    <m/>
    <m/>
    <m/>
    <m/>
    <m/>
    <m/>
  </r>
  <r>
    <n v="0"/>
    <m/>
    <m/>
    <m/>
    <m/>
    <m/>
    <m/>
    <m/>
    <m/>
    <m/>
    <s v="REVISÃO PREVENTIVA"/>
    <m/>
    <m/>
    <n v="0"/>
    <s v="REVISÃO PREVENTIVA"/>
    <x v="4"/>
    <s v="Preventivas"/>
    <n v="3.5000000000582077"/>
    <x v="0"/>
    <s v="EXP.MAE"/>
    <s v="NÃO"/>
    <n v="0"/>
    <n v="0"/>
    <n v="0"/>
    <x v="337"/>
    <d v="2026-03-09T04:20:00"/>
    <x v="1"/>
    <m/>
    <s v="7000"/>
    <s v="MPS - Hora Manutenção Preventiva Sistemática"/>
    <s v="MPS - AG LUBRIFICACAO"/>
    <s v="Mãe"/>
    <x v="2"/>
    <s v="PM: 12000h + 18 BL's"/>
    <s v="PREVENTIVA"/>
    <s v="12000 HORAS"/>
    <m/>
    <m/>
    <m/>
    <m/>
    <m/>
    <m/>
  </r>
  <r>
    <n v="0"/>
    <m/>
    <m/>
    <m/>
    <m/>
    <m/>
    <m/>
    <m/>
    <m/>
    <m/>
    <s v="REVISÃO PREVENTIVA"/>
    <m/>
    <m/>
    <n v="0"/>
    <s v="REVISÃO PREVENTIVA"/>
    <x v="4"/>
    <s v="Preventivas"/>
    <n v="1.6400000000721775"/>
    <x v="1"/>
    <s v="NÃO EXP.MAE"/>
    <s v="NÃO"/>
    <n v="0"/>
    <n v="0"/>
    <n v="0"/>
    <x v="338"/>
    <d v="2026-03-09T05:58:24"/>
    <x v="1"/>
    <m/>
    <s v="7000"/>
    <s v="MPS - Hora Manutenção Preventiva Sistemática"/>
    <s v="MPS - EXEC MANUT"/>
    <s v="Mãe"/>
    <x v="2"/>
    <s v="PM: 12000h + 18 BL's"/>
    <s v="PREVENTIVA"/>
    <s v="12000 HORAS"/>
    <m/>
    <m/>
    <m/>
    <m/>
    <m/>
    <m/>
  </r>
  <r>
    <n v="0"/>
    <m/>
    <m/>
    <m/>
    <m/>
    <m/>
    <m/>
    <m/>
    <m/>
    <m/>
    <m/>
    <m/>
    <s v="SIM"/>
    <n v="1"/>
    <s v="DIRECAO"/>
    <x v="3"/>
    <s v="Corretivas"/>
    <n v="14.19499999989057"/>
    <x v="0"/>
    <s v="EXP.MAE"/>
    <s v="NÃO"/>
    <n v="0"/>
    <n v="0"/>
    <n v="0"/>
    <x v="339"/>
    <d v="2026-03-10T02:59:32"/>
    <x v="1"/>
    <s v="202601260891"/>
    <s v="9000"/>
    <s v="HMC - Hora de Manutenção Corretiva"/>
    <s v="HMC - EXEC MANUT"/>
    <s v="Mãe"/>
    <x v="2"/>
    <s v="TM_3 - ALARME DE BAIXO NÍVEL DE ÓLEO DA DIREÇÃO 202601260891 - COMPLETADO TODOS OS NIVEIS"/>
    <s v="DIRECAO"/>
    <s v="LUBRIFICACAO"/>
    <s v="OLEO"/>
    <s v="BAIXO NIVEL"/>
    <s v="COMPLETAR"/>
    <s v="Mecânica"/>
    <s v="Direcao - Hidraulico"/>
    <s v="Acumulador"/>
  </r>
  <r>
    <n v="0"/>
    <m/>
    <m/>
    <m/>
    <m/>
    <m/>
    <m/>
    <m/>
    <m/>
    <m/>
    <m/>
    <m/>
    <s v="SIM"/>
    <n v="1"/>
    <s v="TREM DE FORÇA"/>
    <x v="3"/>
    <s v="Corretivas"/>
    <n v="26.26500000001397"/>
    <x v="0"/>
    <s v="EXP.MAE"/>
    <s v="NÃO"/>
    <n v="0"/>
    <n v="0"/>
    <n v="0"/>
    <x v="340"/>
    <d v="2026-03-11T18:16:49"/>
    <x v="1"/>
    <s v="202601280688"/>
    <s v="9000"/>
    <s v="HMC - Hora de Manutenção Corretiva"/>
    <s v="HMC - EXEC MANUT"/>
    <s v="Mãe"/>
    <x v="2"/>
    <s v="TM_3 - ALARME BAIXA PRESSÃO DE LUBRIFICAÇÃO DO DIFERENCIAL - COMPLETAR ÓLEO DO EIXO DIFERENCIAL E VERIFICAR NÍVEIS - 202601280688"/>
    <s v="TREM DE FORCA"/>
    <s v="TRANSMISSAO"/>
    <s v="OLEO"/>
    <s v="BAIXO NIVEL"/>
    <s v="COMPLETAR"/>
    <m/>
    <m/>
    <m/>
  </r>
  <r>
    <n v="0"/>
    <m/>
    <m/>
    <m/>
    <m/>
    <m/>
    <m/>
    <m/>
    <m/>
    <m/>
    <m/>
    <m/>
    <m/>
    <n v="1"/>
    <s v="TREM DE FORÇA"/>
    <x v="3"/>
    <s v="Corretivas"/>
    <n v="2.1380555555806495"/>
    <x v="1"/>
    <s v="NÃO EXP.MAE"/>
    <s v="NÃO"/>
    <n v="0"/>
    <n v="0"/>
    <n v="0"/>
    <x v="341"/>
    <d v="2026-03-12T10:12:23"/>
    <x v="1"/>
    <s v="202601322538"/>
    <s v="9000"/>
    <s v="HMC - Hora de Manutenção Corretiva"/>
    <s v="HMC - EXEC MANUT"/>
    <s v="Mãe"/>
    <x v="2"/>
    <s v="202601322538- BAIXO NÍVEL DE ÓLEO DA TRANSMISSÃO-  FOI COMPLETADO 250 L DE ÓLEO E HIDRÁULICO"/>
    <s v="TREM DE FORCA"/>
    <s v="TRANSMISSAO"/>
    <s v="OLEO"/>
    <s v="BAIXO NIVEL"/>
    <s v="COMPLETA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4.0277777778101154E-2"/>
    <n v="0"/>
    <n v="0"/>
    <x v="342"/>
    <d v="2026-03-12T09:09:00"/>
    <x v="1"/>
    <s v="202601322538"/>
    <s v="9000"/>
    <s v="HMC - Hora de Manutenção Corretiva"/>
    <s v="HMC - AG CONDICAO SEGURA"/>
    <s v="Filha"/>
    <x v="2"/>
    <s v="202601322538- BAIXO NÍVEL DE ÓLEO DA TRANSMISSÃO-  FOI COMPLETADO 250 L DE ÓLEO E HIDRÁULICO"/>
    <s v="TREM DE FORCA"/>
    <s v="TRANSMISSAO"/>
    <s v="OLEO"/>
    <s v="BAIXO NIVEL"/>
    <s v="COMPLETA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2.8472222220443655E-2"/>
    <n v="0"/>
    <n v="0"/>
    <x v="343"/>
    <d v="2026-03-12T09:50:00"/>
    <x v="1"/>
    <s v="202601322538"/>
    <s v="9000"/>
    <s v="HMC - Hora de Manutenção Corretiva"/>
    <s v="HMC - AG LUBRIFICACAO"/>
    <s v="Filha"/>
    <x v="2"/>
    <s v="202601322538- BAIXO NÍVEL DE ÓLEO DA TRANSMISSÃO-  FOI COMPLETADO 250 L DE ÓLEO E HIDRÁULICO"/>
    <s v="TREM DE FORCA"/>
    <s v="TRANSMISSAO"/>
    <s v="OLEO"/>
    <s v="BAIXO NIVEL"/>
    <s v="COMPLETAR"/>
    <s v="Mecânica"/>
    <s v="Transmissao - Lubrificacao"/>
    <s v="Oleo"/>
  </r>
  <r>
    <n v="0"/>
    <m/>
    <m/>
    <m/>
    <m/>
    <m/>
    <m/>
    <m/>
    <m/>
    <m/>
    <m/>
    <m/>
    <m/>
    <n v="1"/>
    <s v="COMBATE INCENDIO"/>
    <x v="3"/>
    <s v="Acessórios"/>
    <n v="1.1013888889574446"/>
    <x v="0"/>
    <s v="EXP.MAE"/>
    <s v="NÃO"/>
    <n v="0"/>
    <n v="0"/>
    <n v="0"/>
    <x v="344"/>
    <d v="2026-03-12T11:18:28"/>
    <x v="1"/>
    <s v="202601324825"/>
    <s v="9032"/>
    <s v="HMC - Hora de Manutenção Corretiva"/>
    <s v="HMC - EXEC TERCEIROS TRABALHANDO"/>
    <s v="Mãe"/>
    <x v="2"/>
    <s v="SEM A TRAVA DO ATUADOR ELETRICO - FIXADO A TRAVA DO ATUADOR DO SISTEMA  AFEX - 202601324825"/>
    <s v="SISTEMA AFEX"/>
    <s v="COMBATE INCENDIO"/>
    <s v="TRAVA DO SWITCH"/>
    <s v="FIXACAO"/>
    <s v="FIXAR"/>
    <s v="Mecânica"/>
    <s v="Combate Incendio - Extintor Incendio"/>
    <s v="Fixações"/>
  </r>
  <r>
    <n v="0"/>
    <m/>
    <m/>
    <m/>
    <m/>
    <m/>
    <m/>
    <m/>
    <m/>
    <m/>
    <m/>
    <m/>
    <s v="SIM"/>
    <n v="1"/>
    <s v="TREM DE FORÇA"/>
    <x v="3"/>
    <s v="Corretivas"/>
    <n v="4.4797222221968696"/>
    <x v="0"/>
    <s v="EXP.MAE"/>
    <s v="NÃO"/>
    <n v="0"/>
    <n v="0"/>
    <n v="0"/>
    <x v="345"/>
    <d v="2026-03-13T14:13:01"/>
    <x v="1"/>
    <s v="202601340514"/>
    <s v="9000"/>
    <s v="HMC - Hora de Manutenção Corretiva"/>
    <s v="HMC - EXEC MANUT"/>
    <s v="Mãe"/>
    <x v="2"/>
    <s v="202601340514- FILTRO DO DIFERENCIAL ENTUPIDO- SUBSTITUIDO FILTRO DO EIXO TRASEIRO"/>
    <s v="TREM DE FORCA"/>
    <s v="TRANSMISSAO"/>
    <s v="FILTRO"/>
    <s v="AVARIA"/>
    <s v="SUBSTITUIR"/>
    <s v="Mecânica"/>
    <s v="Transmis Forca - Diferencial"/>
    <s v="Diferencial"/>
  </r>
  <r>
    <n v="0"/>
    <m/>
    <m/>
    <m/>
    <m/>
    <m/>
    <m/>
    <m/>
    <m/>
    <m/>
    <m/>
    <m/>
    <m/>
    <n v="1"/>
    <s v="LOCOMOÇÃO"/>
    <x v="4"/>
    <s v="Man. Pneus"/>
    <n v="8.6688888888456859"/>
    <x v="1"/>
    <s v="NÃO EXP.MAE"/>
    <s v="NÃO"/>
    <n v="0"/>
    <n v="0"/>
    <n v="0"/>
    <x v="346"/>
    <d v="2026-03-13T23:38:08"/>
    <x v="1"/>
    <m/>
    <s v="7010"/>
    <s v="MPS - Hora Manutenção Preventiva Sistemática"/>
    <s v="MPS - EXEC BORRACHARIA"/>
    <s v="Mãe"/>
    <x v="2"/>
    <s v="MACHINE GEN Atraso iniciado: MPNS - Ag borracharia"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ELETRICO"/>
    <x v="3"/>
    <s v="Corretivas"/>
    <n v="2.5363888889551163"/>
    <x v="1"/>
    <s v="NÃO EXP.MAE"/>
    <s v="NÃO"/>
    <n v="0"/>
    <n v="0"/>
    <n v="0"/>
    <x v="347"/>
    <d v="2026-03-14T12:35:39"/>
    <x v="1"/>
    <s v="202601354034"/>
    <s v="9000"/>
    <s v="HMC - Hora de Manutenção Corretiva"/>
    <s v="HMC - EXEC MANUT"/>
    <s v="Mãe"/>
    <x v="2"/>
    <s v="202601354034- FILTRO DO DIFERENCIAL OBSTRUIDO- CORRIGIDO ALIMENTAÇÃO SWITE DO FREIO EIXO DIANTEIRO"/>
    <s v="ELETRICO"/>
    <s v="TRANSMISSAO"/>
    <s v="SENSOR DE COMBUSTIVEL"/>
    <s v="ALIMENTACAO"/>
    <s v="CORRIGIR"/>
    <s v="Mecânica"/>
    <s v="Frenagem Prancha - Freio Ld Eixo 1"/>
    <s v="Eixo S"/>
  </r>
  <r>
    <n v="0"/>
    <m/>
    <m/>
    <m/>
    <m/>
    <m/>
    <m/>
    <m/>
    <m/>
    <m/>
    <m/>
    <m/>
    <s v="SIM"/>
    <n v="1"/>
    <s v="DIRECAO"/>
    <x v="3"/>
    <s v="Corretivas"/>
    <n v="1.1038888888433576"/>
    <x v="0"/>
    <s v="EXP.MAE"/>
    <s v="NÃO"/>
    <n v="0"/>
    <n v="0"/>
    <n v="0"/>
    <x v="348"/>
    <d v="2026-03-16T16:22:19"/>
    <x v="1"/>
    <s v="202601390581"/>
    <s v="9000"/>
    <s v="HMC - Hora de Manutenção Corretiva"/>
    <s v="HMC - EXEC MANUT"/>
    <s v="Mãe"/>
    <x v="2"/>
    <s v="TM_3 - ALARME BAIXO NÍVEL DE ÓLEO DA DIREÇÃO - COMPLETADO 300 L DE ÓLEO HD-PASSAGEM DO ÓLEO HD PARA  EIXO TRASEIRO – JÁ MAPEADO - 202601390581"/>
    <s v="DIRECAO"/>
    <s v="TANQUE HIDRAULICO"/>
    <s v="OLEO"/>
    <s v="BAIXO NIVEL"/>
    <s v="COMPLETAR"/>
    <s v="Mecânica"/>
    <s v="Transmis Forca - Eixo Traseiro"/>
    <s v="Mangueira Pressao-Vazamento"/>
  </r>
  <r>
    <n v="0"/>
    <m/>
    <m/>
    <m/>
    <m/>
    <m/>
    <m/>
    <m/>
    <m/>
    <m/>
    <m/>
    <m/>
    <m/>
    <n v="1"/>
    <s v="DIRECAO"/>
    <x v="3"/>
    <s v="Corretivas"/>
    <n v="5.7875000000931323"/>
    <x v="1"/>
    <s v="NÃO EXP.MAE"/>
    <s v="NÃO"/>
    <n v="0"/>
    <n v="0"/>
    <n v="0"/>
    <x v="349"/>
    <d v="2026-03-16T23:44:57"/>
    <x v="1"/>
    <s v="202601392813"/>
    <s v="9000"/>
    <s v="HMC - Hora de Manutenção Corretiva"/>
    <s v="HMC - EXEC MANUT"/>
    <s v="Mãe"/>
    <x v="2"/>
    <s v="BAIXO NÍVEL DE ÓLEO DE DIREÇÃO N3 - 202601392813 - REALIZAR SUBSTITUIÇÃO DO ORING DA MANGUEIRA DO CILINDRO DA DIREÇÃO L/E"/>
    <s v="DIRECAO"/>
    <s v="VÁLVULA DE CONTROLE DA DIREÇÃO"/>
    <s v="MANGUEIRA"/>
    <s v="VAZAMENTO"/>
    <s v="CORRIGIR"/>
    <s v="Mecânica"/>
    <s v="Direcao - Hidraulico"/>
    <s v="Mangueira"/>
  </r>
  <r>
    <n v="0"/>
    <m/>
    <m/>
    <m/>
    <m/>
    <m/>
    <m/>
    <m/>
    <m/>
    <m/>
    <m/>
    <m/>
    <m/>
    <n v="1"/>
    <s v="TREM DE FORÇA"/>
    <x v="3"/>
    <s v="Corretivas"/>
    <n v="1.6983333334210329"/>
    <x v="1"/>
    <s v="NÃO EXP.MAE"/>
    <s v="NÃO"/>
    <n v="0"/>
    <n v="0"/>
    <n v="0"/>
    <x v="350"/>
    <d v="2026-03-17T20:41:11"/>
    <x v="1"/>
    <s v="202601412436"/>
    <s v="9000"/>
    <s v="HMC - Hora de Manutenção Corretiva"/>
    <s v="HMC - EXEC MANUT"/>
    <s v="Mãe"/>
    <x v="2"/>
    <s v="BAIXO NÍVEL DO ÓLEO DA TRANSMISSÃO - REALIZAR COMPLEMENTAÇÃO DO NÍVEL DE ÓLEO DA TRANSMISSÃO - 202601412436"/>
    <s v="TREM DE FORCA"/>
    <s v="LUBRIFICACAO"/>
    <s v="OLEO"/>
    <s v="BAIXO NIVEL"/>
    <s v="COMPLETAR"/>
    <s v="Mecânica"/>
    <s v="Transmis Forca - Tanque"/>
    <s v="Oleo-Nivel Baixo"/>
  </r>
  <r>
    <n v="0"/>
    <m/>
    <m/>
    <m/>
    <m/>
    <m/>
    <m/>
    <m/>
    <m/>
    <m/>
    <m/>
    <m/>
    <m/>
    <n v="1"/>
    <s v="DIRECAO"/>
    <x v="3"/>
    <s v="Corretivas"/>
    <n v="0.40888888895278797"/>
    <x v="1"/>
    <s v="NÃO EXP.MAE"/>
    <s v="NÃO"/>
    <n v="0"/>
    <n v="0"/>
    <n v="0"/>
    <x v="351"/>
    <d v="2026-03-21T05:08:22"/>
    <x v="1"/>
    <s v="202601484402"/>
    <s v="9000"/>
    <s v="HMC - Hora de Manutenção Corretiva"/>
    <s v="HMC - EXEC MANUT"/>
    <s v="Mãe"/>
    <x v="2"/>
    <s v="BAIXO NIVEL DO OLEO DA DIREÇÃO  202601484402   COMPLETADO NIVEL DO OLEO DA DIREÇÃO 2201636"/>
    <s v="DIRECAO"/>
    <s v="TANQUE HIDRAULICO"/>
    <s v="OLEO"/>
    <s v="BAIXO NIVEL"/>
    <s v="COMPLETAR"/>
    <s v="Mecânica"/>
    <s v="Direcao - Tanque Oleo"/>
    <s v="Oleo-Nivel Baixo"/>
  </r>
  <r>
    <n v="0"/>
    <m/>
    <m/>
    <m/>
    <m/>
    <m/>
    <m/>
    <m/>
    <m/>
    <m/>
    <m/>
    <m/>
    <m/>
    <n v="1"/>
    <s v="ELETRICO"/>
    <x v="3"/>
    <s v="Corretivas"/>
    <n v="0.3627777777146548"/>
    <x v="1"/>
    <s v="NÃO EXP.MAE"/>
    <s v="NÃO"/>
    <n v="0"/>
    <n v="0"/>
    <n v="0"/>
    <x v="352"/>
    <d v="2026-03-23T16:36:02"/>
    <x v="1"/>
    <s v="000000000000"/>
    <s v="9000"/>
    <s v="HMC - Hora de Manutenção Corretiva"/>
    <s v="HMC - EXEC MANUT"/>
    <s v="Mãe"/>
    <x v="2"/>
    <s v="FALHA NA PARTIDA - NÃO ENCONTRADO FALHA"/>
    <s v="ELETRICO"/>
    <s v="BATERIA"/>
    <s v="BATERIA"/>
    <s v="NAO IDENTIFICADO "/>
    <m/>
    <s v="Elétrica"/>
    <s v="Eletrico - Bateria"/>
    <s v="Bateria"/>
  </r>
  <r>
    <n v="0"/>
    <m/>
    <m/>
    <m/>
    <m/>
    <m/>
    <m/>
    <m/>
    <m/>
    <m/>
    <m/>
    <m/>
    <m/>
    <n v="1"/>
    <s v="MOTOR DE COMBUSTÃO"/>
    <x v="3"/>
    <s v="Corretivas"/>
    <n v="3.1630555556039326"/>
    <x v="1"/>
    <s v="NÃO EXP.MAE"/>
    <s v="NÃO"/>
    <n v="0"/>
    <n v="0"/>
    <n v="0"/>
    <x v="353"/>
    <d v="2026-03-23T20:06:46"/>
    <x v="1"/>
    <s v="000000000000"/>
    <s v="9000"/>
    <s v="HMC - Hora de Manutenção Corretiva"/>
    <s v="HMC - EXEC MANUT"/>
    <s v="Mãe"/>
    <x v="2"/>
    <s v="BAIXA PROPULSÃO - RESTRIÇÃO DO FILTRO DE COMBUSTÍVEL E NIVEL BAIXO DO ÓLEO DA DIREÇÃO"/>
    <s v="MOTOR DE COMBUSTAO"/>
    <s v="COMBUSTIVEL"/>
    <s v="FILTRO"/>
    <s v="OBSTRUIDO"/>
    <s v="SUBSTITUIR"/>
    <s v="Mecânica"/>
    <s v="Direcao - Tanque Oleo"/>
    <s v="Oleo-Nivel Baix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2.0833333328482695E-2"/>
    <n v="0"/>
    <n v="0"/>
    <x v="354"/>
    <d v="2026-03-23T17:30:00"/>
    <x v="1"/>
    <s v="000000000000"/>
    <s v="9000"/>
    <s v="HMC - Hora de Manutenção Corretiva"/>
    <s v="HMC - AG DETONACAO"/>
    <s v="Filha"/>
    <x v="2"/>
    <s v="BAIXA PROPULSÃO - RESTRIÇÃO DO FILTRO DE COMBUSTÍVEL E NIVEL BAIXO DO ÓLEO DA DIREÇÃO"/>
    <s v="MOTOR DE COMBUSTAO"/>
    <s v="COMBUSTIVEL"/>
    <s v="FILTRO"/>
    <s v="OBSTRUIDO"/>
    <s v="SUBSTITUIR"/>
    <s v="Mecânica"/>
    <s v="Direcao - Tanque Oleo"/>
    <s v="Oleo-Nivel Baixo"/>
  </r>
  <r>
    <n v="0"/>
    <m/>
    <m/>
    <m/>
    <m/>
    <m/>
    <m/>
    <m/>
    <m/>
    <m/>
    <m/>
    <m/>
    <m/>
    <n v="1"/>
    <s v="REVISÃO PREVENTIVA"/>
    <x v="4"/>
    <s v="Preventivas"/>
    <n v="1.7941666666301899"/>
    <x v="1"/>
    <s v="NÃO EXP.MAE"/>
    <s v="NÃO"/>
    <n v="0"/>
    <n v="0"/>
    <n v="0"/>
    <x v="355"/>
    <d v="2026-03-23T21:54:25"/>
    <x v="1"/>
    <m/>
    <s v="7000"/>
    <s v="MPS - Hora Manutenção Preventiva Sistemática"/>
    <s v="MPS - EXEC MANUT"/>
    <s v="Mãe"/>
    <x v="2"/>
    <s v="PM 250HS + 18 BL´s LAVAR BASCULA + LAVAR PONTUAL"/>
    <s v="PREVENTIVA"/>
    <s v="PITSTOP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1.7938888887874782"/>
    <x v="0"/>
    <s v="EXP.MAE"/>
    <s v="NÃO"/>
    <n v="0"/>
    <n v="0"/>
    <n v="0"/>
    <x v="356"/>
    <d v="2026-03-23T23:42:03"/>
    <x v="1"/>
    <m/>
    <s v="7111"/>
    <s v="MPS - Hora Manutenção Preventiva Sistemática"/>
    <s v="MPS - AG LAVADOR"/>
    <s v="Mãe"/>
    <x v="2"/>
    <s v="PM 250HS + 18 BL´s LAVAR BASCULA + LAVAR PONTUAL"/>
    <s v="PREVENTIVA"/>
    <s v="PITSTOP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4.6941666668280959"/>
    <x v="1"/>
    <s v="NÃO EXP.MAE"/>
    <s v="NÃO"/>
    <n v="0"/>
    <n v="0"/>
    <n v="0"/>
    <x v="357"/>
    <d v="2026-03-24T04:23:42"/>
    <x v="1"/>
    <m/>
    <s v="7000"/>
    <s v="MPS - Hora Manutenção Preventiva Sistemática"/>
    <s v="MPS - EXEC MANUT"/>
    <s v="Mãe"/>
    <x v="2"/>
    <s v="PM 250HS + 18 BL´s LAVAR BASCULA + LAVAR PONTUAL"/>
    <s v="PREVENTIVA"/>
    <s v="PITSTOP"/>
    <m/>
    <m/>
    <m/>
    <m/>
    <m/>
    <m/>
  </r>
  <r>
    <n v="0"/>
    <m/>
    <m/>
    <m/>
    <m/>
    <m/>
    <m/>
    <m/>
    <m/>
    <m/>
    <m/>
    <m/>
    <s v="SIM"/>
    <n v="1"/>
    <s v="HIDRAULICO"/>
    <x v="3"/>
    <s v="Corretivas"/>
    <n v="0.96749999985331669"/>
    <x v="0"/>
    <s v="EXP.MAE"/>
    <s v="NÃO"/>
    <n v="0"/>
    <n v="0"/>
    <n v="0"/>
    <x v="358"/>
    <d v="2026-03-24T10:26:40"/>
    <x v="1"/>
    <s v="202601533278"/>
    <s v="9000"/>
    <s v="HMC - Hora de Manutenção Corretiva"/>
    <s v="HMC - EXEC MANUT"/>
    <s v="Mãe"/>
    <x v="2"/>
    <s v="202601533278- COMPLETAR NIVEL DE OLEO HIDRAULICO- COMPLETADO 400 LT DE OLEO HIDRAULICO"/>
    <s v="HIDRAULICO"/>
    <s v="TANQUE HIDRAULICO"/>
    <s v="OLEO"/>
    <s v="BAIXO NIVEL"/>
    <s v="SUBSTITUIR"/>
    <s v="Mecânica"/>
    <s v="Direcao - Tanque Oleo"/>
    <s v="Oleo-Nivel Baixo"/>
  </r>
  <r>
    <n v="0"/>
    <m/>
    <m/>
    <m/>
    <m/>
    <m/>
    <m/>
    <m/>
    <m/>
    <m/>
    <m/>
    <m/>
    <s v="SIM"/>
    <n v="1"/>
    <s v="ELETRICO"/>
    <x v="3"/>
    <s v="Corretivas"/>
    <n v="9.9775000000954606"/>
    <x v="0"/>
    <s v="EXP.MAE"/>
    <s v="NÃO"/>
    <n v="0"/>
    <n v="0"/>
    <n v="0"/>
    <x v="359"/>
    <d v="2026-03-25T01:22:51"/>
    <x v="1"/>
    <s v="202601539238"/>
    <s v="9000"/>
    <s v="HMC - Hora de Manutenção Corretiva"/>
    <s v="HMC - EXEC MANUT"/>
    <s v="Mãe"/>
    <x v="2"/>
    <s v="FALHA NA TROCA DE MARCHA  202601539238   DRENADO  250L DE OLEO DO EIXO TRASEIRO MT:1150588"/>
    <s v="ELETRICO"/>
    <s v="EIXO TRASEIRO"/>
    <s v="SENSOR DE TEMPERATURA"/>
    <s v="AVARIA"/>
    <s v="SUBSTITUIR"/>
    <s v="Mecânica"/>
    <s v="Direcao - Tanque Oleo"/>
    <s v="Oleo-Nivel Alto"/>
  </r>
  <r>
    <n v="0"/>
    <m/>
    <m/>
    <m/>
    <m/>
    <m/>
    <m/>
    <m/>
    <m/>
    <m/>
    <m/>
    <m/>
    <m/>
    <n v="1"/>
    <s v="MOTOR DE COMBUSTÃO"/>
    <x v="3"/>
    <s v="Corretivas"/>
    <n v="15.263888888934162"/>
    <x v="1"/>
    <s v="NÃO EXP.MAE"/>
    <s v="NÃO"/>
    <n v="0"/>
    <n v="0"/>
    <n v="0"/>
    <x v="360"/>
    <d v="2026-03-26T04:06:40"/>
    <x v="1"/>
    <m/>
    <s v="9000"/>
    <s v="HMC - Hora de Manutenção Corretiva"/>
    <s v="HMC - EXEC MANUT"/>
    <s v="Mãe"/>
    <x v="2"/>
    <s v="FALHA NA TRANSMISSÃO - 202601566173   SUBSTITUIDO ABRAÇADEIRA DO TUBO DE EXAUSTÃO MT:1150588"/>
    <s v="MOTOR DE COMBUSTAO"/>
    <s v="EXAUSTAO"/>
    <s v="ABRACADEIRA"/>
    <s v="AVARIA"/>
    <s v="SUBSTITUIR"/>
    <s v="Mecânica"/>
    <s v="Transmis Forca - Transmissao"/>
    <s v="Transmissa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2.7083333334303461E-2"/>
    <n v="0"/>
    <n v="0"/>
    <x v="361"/>
    <d v="2026-03-25T15:29:00"/>
    <x v="1"/>
    <m/>
    <s v="9000"/>
    <s v="HMC - Hora de Manutenção Corretiva"/>
    <s v="HMC - AG DETONACAO"/>
    <s v="Filha"/>
    <x v="2"/>
    <s v="FALHA NA TRANSMISSÃO - 202601566173   SUBSTITUIDO ABRAÇADEIRA DO TUBO DE EXAUSTÃO MT:1150588"/>
    <s v="MOTOR DE COMBUSTAO"/>
    <s v="EXAUSTAO"/>
    <s v="ABRACADEIRA"/>
    <s v="AVARIA"/>
    <s v="SUBSTITUIR"/>
    <s v="Mecânica"/>
    <s v="Transmis Forca - Transmissao"/>
    <s v="Transmissao"/>
  </r>
  <r>
    <n v="0"/>
    <m/>
    <m/>
    <m/>
    <m/>
    <m/>
    <m/>
    <m/>
    <m/>
    <m/>
    <m/>
    <m/>
    <s v="NÃO"/>
    <s v=""/>
    <s v=""/>
    <x v="2"/>
    <s v=""/>
    <s v=""/>
    <x v="2"/>
    <s v="NÃO EXP.MAE"/>
    <s v="NÃO"/>
    <n v="0"/>
    <n v="0"/>
    <n v="0"/>
    <x v="362"/>
    <d v="2026-03-25T16:29:00"/>
    <x v="1"/>
    <m/>
    <s v="9000"/>
    <s v="HMC - Hora de Manutenção Corretiva"/>
    <s v="HMC - AG LOCOMOCAO"/>
    <s v="Filha"/>
    <x v="2"/>
    <s v="FALHA NA TRANSMISSÃO - 202601566173   SUBSTITUIDO ABRAÇADEIRA DO TUBO DE EXAUSTÃO MT:1150588"/>
    <s v="MOTOR DE COMBUSTAO"/>
    <s v="EXAUSTAO"/>
    <s v="ABRACADEIRA"/>
    <s v="AVARIA"/>
    <s v="SUBSTITUIR"/>
    <s v="Mecânica"/>
    <s v="Transmis Forca - Transmissao"/>
    <s v="Transmissa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6.9444444452528842E-3"/>
    <n v="0"/>
    <n v="0"/>
    <x v="363"/>
    <d v="2026-03-25T16:39:00"/>
    <x v="1"/>
    <m/>
    <s v="9000"/>
    <s v="HMC - Hora de Manutenção Corretiva"/>
    <s v="HMC - AG LOCOMOCAO"/>
    <s v="Filha"/>
    <x v="2"/>
    <s v="FALHA NA TRANSMISSÃO - 202601566173   SUBSTITUIDO ABRAÇADEIRA DO TUBO DE EXAUSTÃO MT:1150588"/>
    <s v="MOTOR DE COMBUSTAO"/>
    <s v="EXAUSTAO"/>
    <s v="ABRACADEIRA"/>
    <s v="AVARIA"/>
    <s v="SUBSTITUIR"/>
    <s v="Mecânica"/>
    <s v="Transmis Forca - Transmissao"/>
    <s v="Transmissao"/>
  </r>
  <r>
    <n v="0"/>
    <m/>
    <m/>
    <m/>
    <m/>
    <m/>
    <m/>
    <m/>
    <m/>
    <m/>
    <m/>
    <m/>
    <m/>
    <n v="1"/>
    <s v="ELETRICO"/>
    <x v="3"/>
    <s v="Corretivas"/>
    <n v="4.7433333332883194"/>
    <x v="1"/>
    <s v="NÃO EXP.MAE"/>
    <s v="NÃO"/>
    <n v="0"/>
    <n v="0"/>
    <n v="0"/>
    <x v="364"/>
    <d v="2026-03-26T12:47:00"/>
    <x v="1"/>
    <s v="202601583513"/>
    <s v="9000"/>
    <s v="HMC - Hora de Manutenção Corretiva"/>
    <s v="HMC - EXEC MANUT"/>
    <s v="Mãe"/>
    <x v="2"/>
    <s v="202601583513- FALHA NA SELEÇÃO DE MARCHA E VAZAMENTO DE LIQUIDO ARREFECEDOR"/>
    <s v="ELETRICO"/>
    <s v="MOTOR DE COMBUSTAO"/>
    <s v="SENSOR DE TEMPERATURA ELC"/>
    <s v="AVARIA"/>
    <s v="SUBSTITUIR"/>
    <s v="Mecânica"/>
    <s v="Motor Combustao - Arrefecimento"/>
    <s v="Conexões;Vazamento"/>
  </r>
  <r>
    <n v="0"/>
    <m/>
    <m/>
    <m/>
    <m/>
    <m/>
    <m/>
    <m/>
    <m/>
    <m/>
    <m/>
    <m/>
    <s v="SIM"/>
    <n v="1"/>
    <s v="MOTOR DE COMBUSTÃO"/>
    <x v="3"/>
    <s v="Corretivas"/>
    <n v="4.5786111109773628"/>
    <x v="0"/>
    <s v="EXP.MAE"/>
    <s v="NÃO"/>
    <n v="0"/>
    <n v="0"/>
    <n v="0"/>
    <x v="365"/>
    <d v="2026-03-26T22:36:34"/>
    <x v="1"/>
    <s v="202601590734"/>
    <s v="9000"/>
    <s v="HMC - Hora de Manutenção Corretiva"/>
    <s v="HMC - EXEC MANUT"/>
    <s v="Mãe"/>
    <x v="2"/>
    <s v="BAIXO NIVEL DE OLEO - 202601590734 COMPLETADO 20 LITROS DE OLEO MT:2201636"/>
    <s v="MOTOR DE COMBUSTAO"/>
    <s v="LUBRIFICACAO"/>
    <s v="OLEO"/>
    <s v="BAIXO NIVEL"/>
    <s v="COMPLETAR"/>
    <s v="Mecânica"/>
    <s v="Estrutura - Tanque Oleo"/>
    <s v="Oleo"/>
  </r>
  <r>
    <n v="0"/>
    <m/>
    <m/>
    <m/>
    <m/>
    <m/>
    <m/>
    <m/>
    <m/>
    <m/>
    <m/>
    <m/>
    <s v="SIM"/>
    <n v="1"/>
    <s v="TREM DE FORÇA"/>
    <x v="3"/>
    <s v="Corretivas"/>
    <n v="117.41833333333489"/>
    <x v="0"/>
    <s v="EXP.MAE"/>
    <s v="NÃO"/>
    <n v="0"/>
    <n v="0"/>
    <n v="0"/>
    <x v="366"/>
    <d v="2026-03-31T23:59:59"/>
    <x v="1"/>
    <m/>
    <s v="9000"/>
    <s v="HMC - Hora de Manutenção Corretiva"/>
    <s v="HMC - EXEC MANUT"/>
    <s v="Mãe"/>
    <x v="2"/>
    <s v="BAIXO NIVEL DO OLEO DA TRANSMISSÃO - AG MAU TEMPO"/>
    <s v="TREM DE FORCA"/>
    <s v="TRANSMISSAO"/>
    <s v="TRANSMISSAO"/>
    <s v="AVARIA"/>
    <s v="SUBSTITUIR"/>
    <s v="Mecânica"/>
    <s v="Direcao - Tanque Oleo"/>
    <s v="Oleo-Nivel Baixo"/>
  </r>
  <r>
    <n v="0"/>
    <m/>
    <m/>
    <m/>
    <m/>
    <m/>
    <m/>
    <m/>
    <m/>
    <m/>
    <m/>
    <n v="0"/>
    <s v="SIM"/>
    <n v="0"/>
    <s v="TREM DE FORÇA"/>
    <x v="3"/>
    <s v="Corretivas"/>
    <n v="8.3005555554991588"/>
    <x v="0"/>
    <s v="EXP.MAE"/>
    <s v="NÃO"/>
    <n v="0"/>
    <n v="0"/>
    <n v="0"/>
    <x v="90"/>
    <d v="2026-04-01T08:18:02"/>
    <x v="1"/>
    <m/>
    <s v="9000"/>
    <s v="HMC - Hora de Manutenção Corretiva"/>
    <s v="HMC - EXEC MANUT"/>
    <s v="Mãe"/>
    <x v="3"/>
    <s v="BAIXO NIVEL DO OLEO DA TRANSMISSÃO - AG MAU TEMPO"/>
    <s v="TREM DE FORCA"/>
    <s v="TRANSMISSAO"/>
    <s v="TRANSMISSAO"/>
    <s v="AVARIA"/>
    <s v="SUBSTITUIR"/>
    <s v="Mecânica"/>
    <s v="Direcao - Tanque Oleo"/>
    <s v="Oleo-Nivel Baixo"/>
  </r>
  <r>
    <n v="0"/>
    <m/>
    <m/>
    <m/>
    <m/>
    <m/>
    <m/>
    <m/>
    <m/>
    <s v="Componente (Major e Minor)"/>
    <m/>
    <n v="1"/>
    <s v="SIM"/>
    <n v="1"/>
    <s v="TREM DE FORÇA"/>
    <x v="3"/>
    <s v="Componente (Major e Minor)"/>
    <n v="522.78000000002794"/>
    <x v="0"/>
    <s v="EXP.MAE"/>
    <s v="NÃO"/>
    <n v="0"/>
    <n v="0"/>
    <n v="0"/>
    <x v="367"/>
    <d v="2026-04-23T03:04:50"/>
    <x v="1"/>
    <n v="202601729918"/>
    <s v="9000"/>
    <s v="HMC - Hora de Manutenção Corretiva"/>
    <s v="HMC - EXEC MANUT"/>
    <s v="Mãe"/>
    <x v="3"/>
    <s v="SUBSTITUIÇÃO DOS COMANDOS FINAIS , DIFERENCIAL E TRANSMISSÃO  - 202601729918"/>
    <s v="TREM DE FORCA"/>
    <s v="TRANSMISSAO"/>
    <s v="TRANSMISSAO"/>
    <s v="AVARIA"/>
    <s v="SUBSTITUIR"/>
    <s v="Mecânica"/>
    <s v="Transmissao - Comando Final Td"/>
    <s v="Comando Td"/>
  </r>
  <r>
    <n v="0"/>
    <m/>
    <m/>
    <m/>
    <m/>
    <m/>
    <m/>
    <m/>
    <m/>
    <s v="Componente (Major e Minor)"/>
    <m/>
    <n v="0"/>
    <s v="SIM"/>
    <n v="0"/>
    <s v="TREM DE FORÇA"/>
    <x v="3"/>
    <s v="Componente (Major e Minor)"/>
    <n v="188.91916666663019"/>
    <x v="0"/>
    <s v="EXP.MAE"/>
    <s v="NÃO"/>
    <n v="0"/>
    <n v="0"/>
    <n v="0"/>
    <x v="368"/>
    <d v="2026-04-30T23:59:59"/>
    <x v="1"/>
    <n v="202601729918"/>
    <s v="9000"/>
    <s v="HMC - Hora de Manutenção Corretiva"/>
    <s v="HMC - EXEC MANUT"/>
    <s v="Mãe"/>
    <x v="3"/>
    <s v="SUBSTITUIÇÃO DOS COMANDOS FINAIS , DIFERENCIAL E TRANSMISSÃO  - 202601729918 ag. detonação"/>
    <s v="TREM DE FORCA"/>
    <s v="TRANSMISSAO"/>
    <s v="TRANSMISSAO"/>
    <s v="AVARIA"/>
    <s v="SUBSTITUIR"/>
    <s v="Mecânica"/>
    <s v="Transmissao - Comando Final Td"/>
    <s v="Comando Td"/>
  </r>
  <r>
    <n v="0"/>
    <m/>
    <m/>
    <m/>
    <m/>
    <m/>
    <m/>
    <m/>
    <m/>
    <m/>
    <m/>
    <m/>
    <m/>
    <n v="1"/>
    <s v="TREM DE FORÇA"/>
    <x v="3"/>
    <s v="Corretivas"/>
    <n v="11.741666666697711"/>
    <x v="1"/>
    <s v="NÃO EXP.MAE"/>
    <s v="NÃO"/>
    <n v="0"/>
    <n v="0"/>
    <n v="0"/>
    <x v="369"/>
    <d v="2026-05-01T11:44:30"/>
    <x v="1"/>
    <n v="202601729918"/>
    <s v="9000"/>
    <s v="HMC - Hora de Manutenção Corretiva"/>
    <s v="HMC - EXEC MANUT"/>
    <s v="Mãe"/>
    <x v="4"/>
    <s v="SUBSTITUIÇÃO DOS COMANDOS FINAIS , DIFERENCIAL E TRANSMISSÃO  - 202601729918 ag. detonação"/>
    <s v="TREM DE FORCA"/>
    <s v="TRANSMISSAO"/>
    <s v="TRANSMISSAO"/>
    <s v="AVARIA"/>
    <s v="SUBSTITUIR"/>
    <s v="Mecânica"/>
    <s v="Transmissao - Comando Final Td"/>
    <s v="Comando Td"/>
  </r>
  <r>
    <n v="0"/>
    <m/>
    <m/>
    <m/>
    <m/>
    <m/>
    <m/>
    <m/>
    <m/>
    <m/>
    <m/>
    <m/>
    <m/>
    <s v=""/>
    <s v=""/>
    <x v="2"/>
    <s v=""/>
    <s v=""/>
    <x v="2"/>
    <s v="NÃO EXP.MAE"/>
    <s v="SIM"/>
    <n v="28.827581018515048"/>
    <n v="0"/>
    <n v="0"/>
    <x v="369"/>
    <d v="2026-05-29T19:51:43"/>
    <x v="1"/>
    <n v="202601729918"/>
    <s v="9000"/>
    <s v="HMC - Hora de Manutenção Corretiva"/>
    <s v="HMC - AG DETONACAO"/>
    <s v="Filha"/>
    <x v="4"/>
    <s v="SUBSTITUIÇÃO DOS COMANDOS FINAIS , DIFERENCIAL E TRANSMISSÃO  - 202601729918 ag. detonação"/>
    <s v="TREM DE FORCA"/>
    <s v="TRANSMISSAO"/>
    <s v="TRANSMISSAO"/>
    <s v="AVARIA"/>
    <s v="SUBSTITUIR"/>
    <m/>
    <m/>
    <m/>
  </r>
  <r>
    <n v="0"/>
    <m/>
    <m/>
    <m/>
    <m/>
    <m/>
    <m/>
    <m/>
    <m/>
    <m/>
    <m/>
    <m/>
    <m/>
    <n v="1"/>
    <s v="TREM DE FORÇA"/>
    <x v="3"/>
    <s v="Corretivas"/>
    <n v="680.12027777766343"/>
    <x v="1"/>
    <s v="NÃO EXP.MAE"/>
    <s v="NÃO"/>
    <n v="0"/>
    <n v="0"/>
    <n v="0"/>
    <x v="370"/>
    <d v="2026-05-29T19:51:43"/>
    <x v="1"/>
    <n v="202601729918"/>
    <s v="9000"/>
    <s v="HMC - Hora de Manutenção Corretiva"/>
    <s v="HMC - EXEC MANUT"/>
    <s v="Mãe"/>
    <x v="4"/>
    <s v="SUBSTITUIÇÃO DOS COMANDOS FINAIS , DIFERENCIAL E TRANSMISSÃO  - 202601729918 ag. detonação"/>
    <s v="TREM DE FORCA"/>
    <s v="TRANSMISSAO"/>
    <s v="TRANSMISSAO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27083333333575865"/>
    <n v="0"/>
    <n v="0"/>
    <x v="371"/>
    <d v="2026-05-20T18:00:00"/>
    <x v="1"/>
    <n v="202601729918"/>
    <s v="9000"/>
    <s v="HMC - Hora de Manutenção Corretiva"/>
    <s v="HMC - AG LUBRIFICACAO"/>
    <s v="Filha"/>
    <x v="4"/>
    <s v="AGUARDANDO COMBOIO, ACIONADO AS 11:00"/>
    <s v="TREM DE FORCA"/>
    <s v="TRANSMISSAO"/>
    <s v="TRANSMISSAO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125"/>
    <n v="0"/>
    <n v="0"/>
    <x v="372"/>
    <d v="2026-05-20T21:00:00"/>
    <x v="1"/>
    <n v="202601729918"/>
    <s v="9000"/>
    <s v="HMC - Hora de Manutenção Corretiva"/>
    <s v="HMC - AG LUBRIFICACAO"/>
    <s v="Filha"/>
    <x v="4"/>
    <s v="AGUARDANDO COMBOIO, ACIONADO AS 15:45"/>
    <s v="TREM DE FORCA"/>
    <s v="TRANSMISSAO"/>
    <s v="TRANSMISSAO"/>
    <s v="AVARIA"/>
    <s v="SUBSTITUIR"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0.10703749999811407"/>
    <n v="0"/>
    <n v="0"/>
    <x v="373"/>
    <d v="2026-05-21T18:00:00"/>
    <x v="1"/>
    <n v="202601729918"/>
    <s v="9000"/>
    <s v="HMC - Hora de Manutenção Corretiva"/>
    <s v="HMC - AG. BORRACHARIA"/>
    <s v="Filha"/>
    <x v="4"/>
    <m/>
    <s v="TREM DE FORCA"/>
    <s v="TRANSMISSAO"/>
    <s v="TRANSMISSAO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34722222221898846"/>
    <n v="0"/>
    <n v="0"/>
    <x v="374"/>
    <d v="2026-05-22T06:00:00"/>
    <x v="1"/>
    <n v="202601729918"/>
    <s v="9000"/>
    <s v="HMC - Hora de Manutenção Corretiva"/>
    <s v="HMC - AG RECURSO/FERRAMENTAL"/>
    <s v="Filha"/>
    <x v="4"/>
    <s v="AGUARDANDO EMPILHADEIRA"/>
    <s v="TREM DE FORCA"/>
    <s v="TRANSMISSAO"/>
    <s v="TRANSMISSAO"/>
    <s v="AVARIA"/>
    <s v="SUBSTITUIR"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0.5"/>
    <n v="0"/>
    <n v="0"/>
    <x v="375"/>
    <d v="2026-05-23T18:00:00"/>
    <x v="1"/>
    <n v="202601729918"/>
    <s v="9000"/>
    <s v="HMC - Hora de Manutenção Corretiva"/>
    <s v="HMC - AG ENERGIA"/>
    <s v="Filha"/>
    <x v="4"/>
    <s v="OFICINA SEM ENERGIA, BASE 7, 8 E 9"/>
    <s v="TREM DE FORCA"/>
    <s v="TRANSMISSAO"/>
    <s v="TRANSMISSAO"/>
    <s v="AVARIA"/>
    <s v="SUBSTITUIR"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0.42814999999973224"/>
    <n v="0"/>
    <n v="0"/>
    <x v="376"/>
    <d v="2026-05-24T06:00:00"/>
    <x v="1"/>
    <n v="202601729918"/>
    <s v="9000"/>
    <s v="HMC - Hora de Manutenção Corretiva"/>
    <s v="HMC - AG. BORRACHARIA"/>
    <s v="Filha"/>
    <x v="4"/>
    <m/>
    <s v="TREM DE FORCA"/>
    <s v="TRANSMISSAO"/>
    <s v="TRANSMISSAO"/>
    <s v="AVARIA"/>
    <s v="SUBSTITUIR"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0.35679166666523088"/>
    <n v="0"/>
    <n v="0"/>
    <x v="377"/>
    <d v="2026-05-24T18:00:00"/>
    <x v="1"/>
    <n v="202601729918"/>
    <s v="9000"/>
    <s v="HMC - Hora de Manutenção Corretiva"/>
    <s v="HMC - AG. BORRACHARIA"/>
    <s v="Filha"/>
    <x v="4"/>
    <m/>
    <s v="TREM DE FORCA"/>
    <s v="TRANSMISSAO"/>
    <s v="TRANSMISSAO"/>
    <s v="AVARIA"/>
    <s v="SUBSTITUIR"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0.35679166666523088"/>
    <n v="0"/>
    <n v="0"/>
    <x v="378"/>
    <d v="2026-05-25T06:00:00"/>
    <x v="1"/>
    <n v="202601729918"/>
    <s v="9000"/>
    <s v="HMC - Hora de Manutenção Corretiva"/>
    <s v="HMC - AG. BORRACHARIA"/>
    <s v="Filha"/>
    <x v="4"/>
    <m/>
    <s v="TREM DE FORCA"/>
    <s v="TRANSMISSAO"/>
    <s v="TRANSMISSAO"/>
    <s v="AVARIA"/>
    <s v="SUBSTITUIR"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5.9465277779963799E-2"/>
    <n v="0"/>
    <n v="0"/>
    <x v="379"/>
    <d v="2026-05-26T19:40:00"/>
    <x v="1"/>
    <n v="202601729918"/>
    <s v="9000"/>
    <s v="HMC - Hora de Manutenção Corretiva"/>
    <s v="HMC - AG. BORRACHARIA"/>
    <s v="Filha"/>
    <x v="4"/>
    <m/>
    <s v="TREM DE FORCA"/>
    <s v="TRANSMISSAO"/>
    <s v="TRANSMISSAO"/>
    <s v="AVARIA"/>
    <s v="SUBSTITUIR"/>
    <m/>
    <m/>
    <m/>
  </r>
  <r>
    <n v="0"/>
    <m/>
    <m/>
    <m/>
    <m/>
    <m/>
    <m/>
    <m/>
    <m/>
    <m/>
    <m/>
    <m/>
    <m/>
    <n v="1"/>
    <s v="TREM DE FORÇA"/>
    <x v="3"/>
    <s v="Corretivas"/>
    <n v="2.3813888890435919"/>
    <x v="1"/>
    <s v="NÃO EXP.MAE"/>
    <s v="NÃO"/>
    <n v="0"/>
    <n v="0"/>
    <n v="0"/>
    <x v="380"/>
    <d v="2026-05-29T22:14:36"/>
    <x v="1"/>
    <s v="202601729918"/>
    <s v="9000"/>
    <s v="HMC - Hora de Manutenção Corretiva"/>
    <s v="HMC - EXEC MANUT"/>
    <s v="Mãe"/>
    <x v="4"/>
    <s v="SUBSTITUIÇÃO DOS COMANDOS FINAIS TD  , DIFERENCIAL E TRANSMISSÃO  - 202601729918 ag. detonação    INSTALADO  O CONVERSO DE TRANSMISSÃO DO COMANDO FINAL  MT:22000882"/>
    <s v="TREM DE FORCA"/>
    <s v="TRANSMISSAO"/>
    <s v="COMANDO FINAL"/>
    <s v="AVARIA"/>
    <s v="SUBSTITUIR"/>
    <s v="Mecânica"/>
    <s v="Transmissao - Comando Final Td"/>
    <s v="Comando Td"/>
  </r>
  <r>
    <n v="0"/>
    <m/>
    <m/>
    <m/>
    <m/>
    <m/>
    <m/>
    <m/>
    <m/>
    <m/>
    <m/>
    <m/>
    <m/>
    <n v="1"/>
    <s v="LOCOMOÇÃO"/>
    <x v="1"/>
    <s v="Man. Pneus"/>
    <n v="0.61111111112404615"/>
    <x v="1"/>
    <s v="NÃO EXP.MAE"/>
    <s v="NÃO"/>
    <n v="0"/>
    <n v="0"/>
    <n v="0"/>
    <x v="381"/>
    <d v="2026-05-30T09:32:45"/>
    <x v="1"/>
    <m/>
    <s v="8010"/>
    <s v="MPNS - Hora Manutenção Preventiva não Sistemática"/>
    <s v="MPNS - EXEC BORRACHARIA"/>
    <s v="Mãe"/>
    <x v="4"/>
    <m/>
    <s v="LOCOMOCAO"/>
    <s v="LOCOMOCAO"/>
    <s v="LOCOMOCAO"/>
    <s v="LOCOMOCAO"/>
    <s v="LOCOMOCAO"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2.1803935182106216E-2"/>
    <n v="0"/>
    <n v="0"/>
    <x v="382"/>
    <d v="2026-05-30T09:32:45"/>
    <x v="1"/>
    <m/>
    <s v="8010"/>
    <s v="MPNS - Hora Manutenção Preventiva não Sistemática"/>
    <s v="MPNS - EXEC BORRACHARIA"/>
    <s v="Filha"/>
    <x v="4"/>
    <m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DIRECAO"/>
    <x v="3"/>
    <s v="Corretivas"/>
    <n v="1.652777777868323"/>
    <x v="1"/>
    <s v="NÃO EXP.MAE"/>
    <s v="NÃO"/>
    <n v="0"/>
    <n v="0"/>
    <n v="0"/>
    <x v="383"/>
    <d v="2026-06-01T09:42:41"/>
    <x v="1"/>
    <s v="202602801005"/>
    <s v="9000"/>
    <s v="HMC - Hora de Manutenção Corretiva"/>
    <s v="HMC - EXEC MANUT"/>
    <s v="Mãe"/>
    <x v="5"/>
    <s v="BAIXO NÍVEL DO ÓLEO DA DIREÇÃO-COMPLETADO 30 LITROS DE OLEO HIDRAULICO -202602801005"/>
    <s v="DIRECAO"/>
    <s v="LUBRIFICACAO"/>
    <s v="OLEO"/>
    <s v="BAIXO NIVEL"/>
    <s v="COMPLETAR"/>
    <s v="Mecânica"/>
    <s v="Direcao - Tanque Oleo"/>
    <s v="Oleo-Nivel Baixo"/>
  </r>
  <r>
    <n v="0"/>
    <m/>
    <m/>
    <m/>
    <m/>
    <m/>
    <m/>
    <m/>
    <m/>
    <m/>
    <m/>
    <m/>
    <m/>
    <n v="1"/>
    <s v="INSPEÇÃO SENSITIVA"/>
    <x v="4"/>
    <s v="Inspeção"/>
    <n v="1.3355555555317551"/>
    <x v="1"/>
    <s v="NÃO EXP.MAE"/>
    <s v="NÃO"/>
    <n v="0"/>
    <n v="0"/>
    <n v="0"/>
    <x v="384"/>
    <d v="2026-06-03T11:53:30"/>
    <x v="1"/>
    <m/>
    <s v="7005"/>
    <s v="MPS - Hora Manutenção Preventiva Sistemática"/>
    <s v="MPS-EXEC INSP MECANICA"/>
    <s v="Mãe"/>
    <x v="5"/>
    <s v="MACHINE GEN Started a delay: MPS - Exec insp mecanica"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DIRECAO"/>
    <x v="3"/>
    <s v="Corretivas"/>
    <n v="1.7358333332813345"/>
    <x v="1"/>
    <s v="NÃO EXP.MAE"/>
    <s v="NÃO"/>
    <n v="0"/>
    <n v="0"/>
    <n v="0"/>
    <x v="385"/>
    <d v="2026-06-03T20:43:46"/>
    <x v="1"/>
    <s v="202602861429"/>
    <s v="9000"/>
    <s v="HMC - Hora de Manutenção Corretiva"/>
    <s v="HMC - EXEC MANUT"/>
    <s v="Mãe"/>
    <x v="5"/>
    <s v="BAIXO NIVEL DE OLEO DA DIREÇÃO - REALIZAR COMPLETAMENTO DO NÍVEL DO ÓLEO DA DIREÇÃO - 202602861429"/>
    <s v="DIRECAO"/>
    <s v="LUBRIFICACAO"/>
    <s v="OLEO"/>
    <s v="BAIXO NIVEL"/>
    <s v="COMPLETAR"/>
    <s v="Mecânica"/>
    <s v="Direcao - Tanque Oleo"/>
    <s v="Oleo-Nivel Baix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1.3888888934161514E-3"/>
    <n v="0"/>
    <n v="0"/>
    <x v="386"/>
    <d v="2026-06-03T20:39:00"/>
    <x v="1"/>
    <n v="202602861429"/>
    <s v="9000"/>
    <s v="HMC - Hora de Manutenção Corretiva"/>
    <s v="HMC - AG LUBRIFICACAO"/>
    <s v="Filha"/>
    <x v="5"/>
    <s v="DESVIO AGUARDANDO COMBOIO &gt; 30MIN, AGUARDANDO COMBOIO, ACIONADO AS 20:07"/>
    <s v="DIRECAO"/>
    <s v="LUBRIFICACAO"/>
    <s v="OLEO"/>
    <s v="BAIXO NIVEL"/>
    <s v="COMPLETAR"/>
    <m/>
    <m/>
    <m/>
  </r>
  <r>
    <n v="0"/>
    <m/>
    <m/>
    <m/>
    <m/>
    <m/>
    <m/>
    <m/>
    <m/>
    <m/>
    <m/>
    <m/>
    <m/>
    <n v="1"/>
    <s v="ESTRUTURA"/>
    <x v="3"/>
    <s v="Corretivas"/>
    <n v="0.87833333329763263"/>
    <x v="1"/>
    <s v="NÃO EXP.MAE"/>
    <s v="NÃO"/>
    <n v="0"/>
    <n v="0"/>
    <n v="0"/>
    <x v="387"/>
    <d v="2026-06-06T10:06:33"/>
    <x v="1"/>
    <s v="202602898489"/>
    <s v="9000"/>
    <s v="HMC - Hora de Manutenção Corretiva"/>
    <s v="HMC - EXEC MANUT"/>
    <s v="Mãe"/>
    <x v="5"/>
    <s v="202602898489- FALHA NA VEDAÇÃO DA PORTA - FOI INSTALADO VEDAÇÃO NA PORTA DA CABINE DO OPERADOR."/>
    <s v="ESTRUTURA"/>
    <s v="CABINE"/>
    <s v="PORTA/VEDACAO"/>
    <s v="AVARIA"/>
    <s v="SUBSTITUIR"/>
    <s v="Mecânica"/>
    <s v="Estrutura - Cabine"/>
    <s v="Porta-Vedacao"/>
  </r>
  <r>
    <n v="0"/>
    <m/>
    <m/>
    <m/>
    <m/>
    <m/>
    <m/>
    <m/>
    <m/>
    <m/>
    <m/>
    <m/>
    <m/>
    <n v="1"/>
    <s v="DIRECAO"/>
    <x v="3"/>
    <s v="Corretivas"/>
    <n v="2.6666666666278616"/>
    <x v="1"/>
    <s v="NÃO EXP.MAE"/>
    <s v="NÃO"/>
    <n v="0"/>
    <n v="0"/>
    <n v="0"/>
    <x v="388"/>
    <d v="2026-06-07T23:08:06"/>
    <x v="1"/>
    <s v="202602914283"/>
    <s v="9000"/>
    <s v="HMC - Hora de Manutenção Corretiva"/>
    <s v="HMC - EXEC MANUT"/>
    <s v="Mãe"/>
    <x v="5"/>
    <s v="202602914283- BAIXO NIVEL DO OLEO- COMPLETADO 34 LT DE OLEO DO RESERVATORIO DA DIREÇÃO"/>
    <s v="DIRECAO"/>
    <s v="LUBRIFICACAO"/>
    <s v="OLEO"/>
    <s v="BAIXO NIVEL"/>
    <s v="COMPLETAR"/>
    <s v="Mecânica"/>
    <s v="Direcao - Hidraulico"/>
    <s v="Mangueira"/>
  </r>
  <r>
    <n v="0"/>
    <m/>
    <m/>
    <m/>
    <m/>
    <m/>
    <m/>
    <m/>
    <m/>
    <m/>
    <m/>
    <m/>
    <m/>
    <s v=""/>
    <s v=""/>
    <x v="2"/>
    <s v=""/>
    <s v=""/>
    <x v="2"/>
    <s v="NÃO EXP.MAE"/>
    <s v="SIM"/>
    <n v="4.8611111109494232E-2"/>
    <n v="0"/>
    <n v="0"/>
    <x v="389"/>
    <d v="2026-06-07T23:03:00"/>
    <x v="1"/>
    <n v="202602914283"/>
    <s v="9000"/>
    <s v="HMC - Hora de Manutenção Corretiva"/>
    <s v="HMC - AG LUBRIFICACAO"/>
    <s v="Filha"/>
    <x v="5"/>
    <s v="DESVIO AGUARDANDO COMBOIO &gt; 30MIN, AGUARDANDO COMBOIO, ACIONADO AS 21:23"/>
    <s v="DIRECAO"/>
    <s v="LUBRIFICACAO"/>
    <s v="OLEO"/>
    <s v="BAIXO NIVEL"/>
    <s v="COMPLETAR"/>
    <m/>
    <m/>
    <m/>
  </r>
  <r>
    <n v="0"/>
    <m/>
    <m/>
    <m/>
    <m/>
    <m/>
    <m/>
    <m/>
    <m/>
    <m/>
    <m/>
    <m/>
    <m/>
    <n v="1"/>
    <s v="DIRECAO"/>
    <x v="3"/>
    <s v="Corretivas"/>
    <n v="1.1511111111030914"/>
    <x v="1"/>
    <s v="NÃO EXP.MAE"/>
    <s v="NÃO"/>
    <n v="0"/>
    <n v="0"/>
    <n v="0"/>
    <x v="390"/>
    <d v="2026-06-09T21:29:59"/>
    <x v="1"/>
    <s v="202602957574"/>
    <s v="9000"/>
    <s v="HMC - Hora de Manutenção Corretiva"/>
    <s v="HMC - EXEC MANUT"/>
    <s v="Mãe"/>
    <x v="5"/>
    <s v="BAIXO NÍVEL DO ÓLEO DA DIREÇÃO - ABASTECER NIVEL DO OLEO DA DIREÇÂO - 202602957574"/>
    <s v="DIRECAO"/>
    <s v="LUBRIFICACAO"/>
    <s v="OLEO"/>
    <s v="BAIXO NIVEL"/>
    <s v="COMPLETAR"/>
    <s v="Mecânica"/>
    <s v="Direcao - Tanque Oleo"/>
    <s v="Oleo-Nivel Baixo"/>
  </r>
  <r>
    <n v="0"/>
    <m/>
    <m/>
    <m/>
    <m/>
    <m/>
    <m/>
    <m/>
    <m/>
    <m/>
    <m/>
    <m/>
    <m/>
    <n v="1"/>
    <s v="INSPEÇÃO SENSITIVA"/>
    <x v="4"/>
    <s v="Inspeção"/>
    <n v="7.222222164273262E-3"/>
    <x v="1"/>
    <s v="NÃO EXP.MAE"/>
    <s v="NÃO"/>
    <n v="0"/>
    <n v="0"/>
    <n v="0"/>
    <x v="391"/>
    <d v="2026-06-10T11:07:31"/>
    <x v="1"/>
    <m/>
    <s v="7005"/>
    <s v="MPS - Hora Manutenção Preventiva Sistemática"/>
    <s v="MPS-EXEC INSP MECANICA"/>
    <s v="Mãe"/>
    <x v="5"/>
    <m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INSPEÇÃO SENSITIVA"/>
    <x v="1"/>
    <s v="Inspeção"/>
    <n v="0.14666666672565043"/>
    <x v="1"/>
    <s v="NÃO EXP.MAE"/>
    <s v="NÃO"/>
    <n v="0"/>
    <n v="0"/>
    <n v="0"/>
    <x v="392"/>
    <d v="2026-06-10T11:16:19"/>
    <x v="1"/>
    <m/>
    <s v="8001"/>
    <s v="MPNS - Hora Manutenção Preventiva não Sistemática"/>
    <s v="MPNS - EXEC MECANICA"/>
    <s v="Mãe"/>
    <x v="5"/>
    <m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INSPEÇÃO SENSITIVA"/>
    <x v="4"/>
    <s v="Inspeção"/>
    <n v="0.84305555548053235"/>
    <x v="1"/>
    <s v="NÃO EXP.MAE"/>
    <s v="NÃO"/>
    <n v="0"/>
    <n v="0"/>
    <n v="0"/>
    <x v="393"/>
    <d v="2026-06-10T12:06:54"/>
    <x v="1"/>
    <m/>
    <s v="7005"/>
    <s v="MPS - Hora Manutenção Preventiva Sistemática"/>
    <s v="MPS-EXEC INSP MECANICA"/>
    <s v="Mãe"/>
    <x v="5"/>
    <m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ELETRICO"/>
    <x v="3"/>
    <s v="Corretivas"/>
    <n v="9.2941666668048128"/>
    <x v="1"/>
    <s v="NÃO EXP.MAE"/>
    <s v="NÃO"/>
    <n v="0"/>
    <n v="0"/>
    <n v="0"/>
    <x v="394"/>
    <d v="2026-06-11T15:02:56"/>
    <x v="1"/>
    <s v="202603001301"/>
    <s v="9000"/>
    <s v="HMC - Hora de Manutenção Corretiva"/>
    <s v="HMC - EXEC MANUT"/>
    <s v="Mãe"/>
    <x v="5"/>
    <s v="202603001301- FALHA NA BALANÇA E DETECT -COMPLETADO 80 LITROS DE OLEO HIDRAULICO - SUB TUBO DE FREIO , CORRIGIDO ALIMENTAÇÃO DO SENSOR DA BALANÇA"/>
    <s v="ELETRICO"/>
    <s v="BALANCA"/>
    <s v="SENSOR"/>
    <s v="ALIMENTACAO"/>
    <s v="CORRIGIR"/>
    <s v="Elétrica"/>
    <s v="Eletrico - Balanca"/>
    <s v="Sensor Suspensao De-Mau Contato"/>
  </r>
  <r>
    <n v="0"/>
    <m/>
    <m/>
    <m/>
    <m/>
    <m/>
    <m/>
    <m/>
    <m/>
    <m/>
    <m/>
    <m/>
    <m/>
    <n v="1"/>
    <s v="LOCOMOÇÃO"/>
    <x v="1"/>
    <s v="Man. Pneus"/>
    <n v="0.4330555556807667"/>
    <x v="1"/>
    <s v="NÃO EXP.MAE"/>
    <s v="NÃO"/>
    <n v="0"/>
    <n v="0"/>
    <n v="0"/>
    <x v="395"/>
    <d v="2026-06-11T22:26:10"/>
    <x v="1"/>
    <m/>
    <s v="8010"/>
    <s v="MPNS - Hora Manutenção Preventiva não Sistemática"/>
    <s v="MPNS - EXEC BORRACHARIA"/>
    <s v="Mãe"/>
    <x v="5"/>
    <m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DIRECAO"/>
    <x v="3"/>
    <s v="Corretivas"/>
    <n v="1.1277777777286246"/>
    <x v="1"/>
    <s v="NÃO EXP.MAE"/>
    <s v="NÃO"/>
    <n v="0"/>
    <n v="0"/>
    <n v="0"/>
    <x v="396"/>
    <d v="2026-06-13T23:32:02"/>
    <x v="1"/>
    <s v="000000000000"/>
    <s v="9000"/>
    <s v="HMC - Hora de Manutenção Corretiva"/>
    <s v="HMC - EXEC MANUT"/>
    <s v="Mãe"/>
    <x v="5"/>
    <s v="BAIXA NIVEL DO OLEO DA DIREÇÃO - COMPLETADO OLEO DA DIREÇÃO"/>
    <s v="DIRECAO"/>
    <s v="LUBRIFICACAO"/>
    <s v="OLEO"/>
    <s v="BAIXO NIVEL"/>
    <s v="COMPLETAR"/>
    <s v="Mecânica"/>
    <s v="Direcao - Tanque Oleo"/>
    <s v="Tanque-Nivel Baixo"/>
  </r>
  <r>
    <n v="0"/>
    <m/>
    <m/>
    <m/>
    <m/>
    <m/>
    <m/>
    <m/>
    <m/>
    <m/>
    <m/>
    <m/>
    <m/>
    <n v="1"/>
    <s v="ELETRICO"/>
    <x v="3"/>
    <s v="Corretivas"/>
    <n v="4.8919444445637055"/>
    <x v="1"/>
    <s v="NÃO EXP.MAE"/>
    <s v="NÃO"/>
    <n v="0"/>
    <n v="0"/>
    <n v="0"/>
    <x v="397"/>
    <d v="2026-06-14T09:24:40"/>
    <x v="1"/>
    <s v="202603043618"/>
    <s v="9000"/>
    <s v="HMC - Hora de Manutenção Corretiva"/>
    <s v="HMC - EXEC MANUT"/>
    <s v="Mãe"/>
    <x v="5"/>
    <s v="FALHA NO DETECT-SUBS DETECT TRASEIRO L/D-202603043618"/>
    <s v="ELETRICO"/>
    <s v="SISTEMA DETECT"/>
    <s v="RADAR LD"/>
    <s v="AVARIA"/>
    <s v="SUBSTITUIR"/>
    <s v="Elétrica"/>
    <s v="Eletrico - Sinalizacao"/>
    <s v="Alarme"/>
  </r>
  <r>
    <n v="0"/>
    <m/>
    <m/>
    <m/>
    <m/>
    <m/>
    <m/>
    <m/>
    <m/>
    <m/>
    <m/>
    <m/>
    <m/>
    <n v="1"/>
    <s v="ELETRICO"/>
    <x v="3"/>
    <s v="Corretivas"/>
    <n v="1.6613888888969086"/>
    <x v="1"/>
    <s v="NÃO EXP.MAE"/>
    <s v="NÃO"/>
    <n v="0"/>
    <n v="0"/>
    <n v="0"/>
    <x v="398"/>
    <d v="2026-06-15T00:54:15"/>
    <x v="1"/>
    <s v="202603048505"/>
    <s v="9000"/>
    <s v="HMC - Hora de Manutenção Corretiva"/>
    <s v="HMC - EXEC MANUT"/>
    <s v="Mãe"/>
    <x v="5"/>
    <s v="BAIXO RENDIMENTO - REALIZAR LIMPEZA NO CONECTOR DO SENSOR DE TEMPERATURA DO COLETOR DE ADMISSÃO L/E - 202603048505"/>
    <s v="ELETRICO"/>
    <s v="ADMISSAO"/>
    <s v="SENSOR DE TEMPERATURA"/>
    <s v="SUJEIRA"/>
    <s v="LIMPAR"/>
    <s v="Elétrica"/>
    <s v="Eletrico - Motor Combustao"/>
    <s v="Sensor de Temperatura de Admissao Le"/>
  </r>
  <r>
    <n v="0"/>
    <m/>
    <m/>
    <m/>
    <m/>
    <m/>
    <m/>
    <m/>
    <m/>
    <m/>
    <m/>
    <m/>
    <m/>
    <n v="0"/>
    <s v="ELETRICO"/>
    <x v="3"/>
    <s v="Corretivas"/>
    <n v="0.65777777769835666"/>
    <x v="1"/>
    <s v="NÃO EXP.MAE"/>
    <s v="NÃO"/>
    <n v="0"/>
    <n v="0"/>
    <n v="0"/>
    <x v="399"/>
    <d v="2026-06-15T01:33:43"/>
    <x v="1"/>
    <s v="202603048505"/>
    <s v="9000"/>
    <s v="HMC - Hora de Manutenção Corretiva"/>
    <s v="HMC - EXEC MANUT"/>
    <s v="Mãe"/>
    <x v="5"/>
    <s v="BAIXO RENDIMENTO - REALIZAR LIMPEZA NO CONECTOR DO SENSOR DE TEMPERATURA DO COLETOR DE ADMISSÃO L/E - 202603048505"/>
    <s v="ELETRICO"/>
    <s v="ADMISSAO"/>
    <s v="SENSOR DE TEMPERATURA"/>
    <s v="SUJEIRA"/>
    <s v="LIMPAR"/>
    <s v="Elétrica"/>
    <s v="Eletrico - Motor Combustao"/>
    <s v="Sensor de Temperatura de Admissao Le"/>
  </r>
  <r>
    <n v="0"/>
    <m/>
    <m/>
    <m/>
    <m/>
    <m/>
    <m/>
    <m/>
    <m/>
    <m/>
    <m/>
    <m/>
    <m/>
    <n v="1"/>
    <s v="MOTOR DE COMBUSTÃO"/>
    <x v="3"/>
    <s v="Corretivas"/>
    <n v="29.753611111140344"/>
    <x v="1"/>
    <s v="NÃO EXP.MAE"/>
    <s v="NÃO"/>
    <n v="0"/>
    <n v="0"/>
    <n v="0"/>
    <x v="400"/>
    <d v="2026-06-16T14:10:45"/>
    <x v="1"/>
    <m/>
    <s v="9000"/>
    <s v="HMC - Hora de Manutenção Corretiva"/>
    <s v="HMC - EXEC MANUT"/>
    <s v="Mãe"/>
    <x v="5"/>
    <s v="BAIXO RENDIMENTO - SUBSTITUIR FILTROS DE COMBUSTIVEL - 202603078163"/>
    <s v="MOTOR DE COMBUSTAO"/>
    <s v="COMBUSTIVEL"/>
    <s v="FILTRO"/>
    <s v="OBSTRUIDO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2.7777777722803876E-3"/>
    <n v="0"/>
    <n v="0"/>
    <x v="401"/>
    <d v="2026-06-16T04:42:00"/>
    <x v="1"/>
    <n v="202603078163"/>
    <s v="9000"/>
    <s v="HMC - Hora de Manutenção Corretiva"/>
    <s v="HMC - AG LUBRIFICACAO"/>
    <s v="Filha"/>
    <x v="5"/>
    <s v="DESVIO AGUARDANDO COMBOIO &gt; 30MIN, COMBIOI ACIONADO AS 04:08"/>
    <s v="MOTOR DE COMBUSTAO"/>
    <s v="COMBUSTIVEL"/>
    <s v="FILTRO"/>
    <s v="OBSTRUIDO"/>
    <s v="SUBSTITUIR"/>
    <m/>
    <m/>
    <m/>
  </r>
  <r>
    <n v="0"/>
    <m/>
    <m/>
    <m/>
    <m/>
    <m/>
    <m/>
    <m/>
    <m/>
    <m/>
    <m/>
    <m/>
    <s v="NÃO"/>
    <s v=""/>
    <s v=""/>
    <x v="2"/>
    <s v=""/>
    <s v=""/>
    <x v="2"/>
    <s v="NÃO EXP.MAE"/>
    <s v="NÃO"/>
    <n v="0"/>
    <n v="0"/>
    <n v="0"/>
    <x v="402"/>
    <d v="2026-06-16T07:30:00"/>
    <x v="1"/>
    <n v="202603078163"/>
    <s v="9000"/>
    <s v="HMC - Hora de Manutenção Corretiva"/>
    <s v="HMC - AG LOCOMOCAO"/>
    <s v="Filha"/>
    <x v="5"/>
    <s v="AGUARDANDO LOCOMOÇÃO, 2 FICHAS"/>
    <s v="MOTOR DE COMBUSTAO"/>
    <s v="COMBUSTIVEL"/>
    <s v="FILTRO"/>
    <s v="OBSTRUIDO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4.3749999997089617E-2"/>
    <n v="0"/>
    <n v="0"/>
    <x v="403"/>
    <d v="2026-06-16T07:30:00"/>
    <x v="1"/>
    <n v="202603078163"/>
    <s v="9000"/>
    <s v="HMC - Hora de Manutenção Corretiva"/>
    <s v="HMC - AG LOCOMOCAO"/>
    <s v="Filha"/>
    <x v="5"/>
    <s v="DESVIO AGUARDANDO LOCOMOÇÃO &gt; 1H"/>
    <s v="MOTOR DE COMBUSTAO"/>
    <s v="COMBUSTIVEL"/>
    <s v="FILTRO"/>
    <s v="OBSTRUIDO"/>
    <s v="SUBSTITUIR"/>
    <m/>
    <m/>
    <m/>
  </r>
  <r>
    <n v="0"/>
    <m/>
    <m/>
    <m/>
    <m/>
    <m/>
    <m/>
    <m/>
    <m/>
    <m/>
    <m/>
    <m/>
    <m/>
    <n v="1"/>
    <s v="MOTOR DE COMBUSTÃO"/>
    <x v="4"/>
    <s v="Reparo Programado"/>
    <n v="0.16638888884335756"/>
    <x v="1"/>
    <s v="NÃO EXP.MAE"/>
    <s v="NÃO"/>
    <n v="0"/>
    <n v="0"/>
    <n v="0"/>
    <x v="404"/>
    <d v="2026-06-16T14:20:44"/>
    <x v="1"/>
    <m/>
    <s v="7000"/>
    <s v="MPS - Hora Manutenção Preventiva Sistemática"/>
    <s v="MPS - EXEC MANUT"/>
    <s v="Mãe"/>
    <x v="5"/>
    <s v="BAIXO RENDIMENTO - SUBSTITUIR FILTROS DE COMBUSTIVEL - 202603078163"/>
    <s v="MOTOR DE COMBUSTAO"/>
    <s v="COMBUSTIVEL"/>
    <s v="FILTRO"/>
    <s v="OBSTRUIDO"/>
    <s v="SUBSTITUIR"/>
    <m/>
    <m/>
    <m/>
  </r>
  <r>
    <n v="0"/>
    <m/>
    <m/>
    <m/>
    <m/>
    <m/>
    <m/>
    <m/>
    <m/>
    <m/>
    <m/>
    <m/>
    <m/>
    <n v="0"/>
    <s v="REVISÃO PREVENTIVA"/>
    <x v="4"/>
    <s v="Preventivas"/>
    <n v="2.8047222221503034"/>
    <x v="1"/>
    <s v="NÃO EXP.MAE"/>
    <s v="NÃO"/>
    <n v="0"/>
    <n v="0"/>
    <n v="0"/>
    <x v="405"/>
    <d v="2026-06-16T17:09:01"/>
    <x v="1"/>
    <m/>
    <s v="7011"/>
    <s v="MPS - Hora Manutenção Preventiva Sistemática"/>
    <s v="MPS - EXEC LAVADOR"/>
    <s v="Mãe"/>
    <x v="5"/>
    <s v="PM 500h + 20 BLs"/>
    <s v="PREVENTIVA"/>
    <s v="PITSTOP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32.012777777854353"/>
    <x v="1"/>
    <s v="NÃO EXP.MAE"/>
    <s v="NÃO"/>
    <n v="0"/>
    <n v="0"/>
    <n v="0"/>
    <x v="406"/>
    <d v="2026-06-18T01:09:47"/>
    <x v="1"/>
    <m/>
    <s v="7000"/>
    <s v="MPS - Hora Manutenção Preventiva Sistemática"/>
    <s v="MPS - EXEC MANUT"/>
    <s v="Mãe"/>
    <x v="5"/>
    <s v="PM 500h + 20 BLs"/>
    <s v="PREVENTIVA"/>
    <s v="PITSTOP"/>
    <m/>
    <m/>
    <m/>
    <m/>
    <m/>
    <m/>
  </r>
  <r>
    <n v="0"/>
    <m/>
    <m/>
    <m/>
    <m/>
    <m/>
    <m/>
    <m/>
    <m/>
    <m/>
    <m/>
    <m/>
    <m/>
    <n v="1"/>
    <s v="COMBATE INCENDIO"/>
    <x v="3"/>
    <s v="Acessórios"/>
    <n v="2.2552777777891606"/>
    <x v="0"/>
    <s v="EXP.MAE"/>
    <s v="NÃO"/>
    <n v="0"/>
    <n v="0"/>
    <n v="0"/>
    <x v="407"/>
    <d v="2026-06-19T09:51:23"/>
    <x v="1"/>
    <s v="202603160240"/>
    <s v="9032"/>
    <s v="HMC - Hora de Manutenção Corretiva"/>
    <s v="HMC - EXEC TERCEIROS TRABALHANDO"/>
    <s v="Mãe"/>
    <x v="5"/>
    <s v="FALHA NO AFEX-RECONCTADO CABO DO ATUADOR ELETRICO AFEX -202603160240"/>
    <s v="SISTEMA AFEX"/>
    <s v="COMBATE INCENDIO"/>
    <s v="CABO/FIACAO"/>
    <s v="ALIMENTACAO"/>
    <s v="CORRIGIR"/>
    <s v="Elétrica"/>
    <s v="Combate Incendio - Acionamento Automatico"/>
    <s v="Cabo/Fiacao"/>
  </r>
  <r>
    <n v="0"/>
    <m/>
    <m/>
    <m/>
    <m/>
    <m/>
    <m/>
    <m/>
    <m/>
    <m/>
    <m/>
    <m/>
    <m/>
    <n v="1"/>
    <s v="DIRECAO"/>
    <x v="3"/>
    <s v="Corretivas"/>
    <n v="1.9961111111333594"/>
    <x v="1"/>
    <s v="NÃO EXP.MAE"/>
    <s v="NÃO"/>
    <n v="0"/>
    <n v="0"/>
    <n v="0"/>
    <x v="408"/>
    <d v="2026-06-20T03:40:28"/>
    <x v="1"/>
    <s v="202603169162"/>
    <s v="9000"/>
    <s v="HMC - Hora de Manutenção Corretiva"/>
    <s v="HMC - EXEC MANUT"/>
    <s v="Mãe"/>
    <x v="5"/>
    <s v="BAIXO NIVEL DO OLEO DA DIREÇÃO - REALIZAR COMPLEMENTO DO OLEO DA DIREÇÃO - 202603169162"/>
    <s v="DIRECAO"/>
    <s v="LUBRIFICACAO"/>
    <s v="OLEO"/>
    <s v="BAIXO NIVEL"/>
    <s v="COMPLETAR"/>
    <s v="Mecânica"/>
    <s v="Direcao - Tanque Oleo"/>
    <s v="Oleo-Nivel Baix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2.6388888887595385E-2"/>
    <n v="0"/>
    <n v="0"/>
    <x v="409"/>
    <d v="2026-06-20T02:53:00"/>
    <x v="1"/>
    <n v="202603169162"/>
    <m/>
    <s v="HMC - Hora de Manutenção Corretiva"/>
    <s v="HMC - AG LUBRIFICACAO"/>
    <s v="Filha"/>
    <x v="5"/>
    <s v="DESVIO AGUARDANDO COMBOIO &gt; 30MIN, COMBOIO ACIONADO AS 01:45"/>
    <s v="DIRECAO"/>
    <s v="LUBRIFICACAO"/>
    <s v="OLEO"/>
    <s v="BAIXO NIVEL"/>
    <s v="COMPLETAR"/>
    <m/>
    <m/>
    <m/>
  </r>
  <r>
    <n v="0"/>
    <m/>
    <m/>
    <m/>
    <m/>
    <m/>
    <m/>
    <m/>
    <m/>
    <m/>
    <m/>
    <m/>
    <m/>
    <n v="1"/>
    <s v="ELETRICO"/>
    <x v="3"/>
    <s v="Corretivas"/>
    <n v="5.1394444444449618"/>
    <x v="1"/>
    <s v="NÃO EXP.MAE"/>
    <s v="NÃO"/>
    <n v="0"/>
    <n v="0"/>
    <n v="0"/>
    <x v="410"/>
    <d v="2026-06-20T17:48:23"/>
    <x v="1"/>
    <s v="202603176302"/>
    <s v="9000"/>
    <s v="HMC - Hora de Manutenção Corretiva"/>
    <s v="HMC - EXEC MANUT"/>
    <s v="Mãe"/>
    <x v="5"/>
    <s v="BAIXO RENDIMENTO- REALIZADO LIMPEZA NO SENSOR DE TEMPERATURA DO DIFERENCIAL - 202603176302"/>
    <s v="ELETRICO"/>
    <s v="TRANSMISSAO"/>
    <s v="SENSOR DE TEMPERATURA"/>
    <s v="SUJEIRA"/>
    <s v="LIMPAR"/>
    <s v="Elétrica"/>
    <s v="Eletrico - Transmissao Forca"/>
    <s v="Sensor Temp Oleo Transmis-Sujeira"/>
  </r>
  <r>
    <n v="0"/>
    <m/>
    <m/>
    <m/>
    <m/>
    <m/>
    <m/>
    <m/>
    <m/>
    <m/>
    <m/>
    <m/>
    <m/>
    <s v=""/>
    <s v=""/>
    <x v="2"/>
    <s v=""/>
    <s v=""/>
    <x v="2"/>
    <s v="NÃO EXP.MAE"/>
    <s v="SIM"/>
    <n v="2.7777777781011537E-2"/>
    <n v="0"/>
    <n v="0"/>
    <x v="411"/>
    <d v="2026-06-20T15:40:00"/>
    <x v="1"/>
    <n v="202603176302"/>
    <s v="9000"/>
    <s v="HMC - Hora de Manutenção Corretiva"/>
    <s v="HMC - AG DETONACAO"/>
    <s v="Filha"/>
    <x v="5"/>
    <s v="AGUARDANDO DETONAÇÃO"/>
    <s v="ELETRICO"/>
    <s v="TRANSMISSAO"/>
    <s v="SENSOR DE TEMPERATURA"/>
    <s v="SUJEIRA"/>
    <s v="LIMPAR"/>
    <m/>
    <m/>
    <m/>
  </r>
  <r>
    <n v="0"/>
    <m/>
    <m/>
    <m/>
    <m/>
    <m/>
    <m/>
    <m/>
    <m/>
    <m/>
    <m/>
    <m/>
    <m/>
    <n v="1"/>
    <s v="MOTOR DE COMBUSTÃO"/>
    <x v="3"/>
    <s v="Corretivas"/>
    <n v="2.4475000000675209"/>
    <x v="1"/>
    <s v="NÃO EXP.MAE"/>
    <s v="NÃO"/>
    <n v="0"/>
    <n v="0"/>
    <n v="0"/>
    <x v="412"/>
    <d v="2026-06-21T04:48:07"/>
    <x v="1"/>
    <s v="000000000000"/>
    <s v="9000"/>
    <s v="HMC - Hora de Manutenção Corretiva"/>
    <s v="HMC - EXEC MANUT"/>
    <s v="Mãe"/>
    <x v="5"/>
    <s v="BAIXO RENDIMENTO - OPERAÇÃO ASSISTIDA"/>
    <s v="MOTOR DE COMBUSTAO"/>
    <m/>
    <m/>
    <m/>
    <m/>
    <s v="Mecânica"/>
    <s v="Motor Combustao - Combustivel"/>
    <s v="Filtro Secundario"/>
  </r>
  <r>
    <n v="0"/>
    <m/>
    <m/>
    <m/>
    <m/>
    <m/>
    <m/>
    <m/>
    <m/>
    <m/>
    <m/>
    <m/>
    <m/>
    <n v="1"/>
    <s v="ELETRICO"/>
    <x v="3"/>
    <s v="Corretivas"/>
    <n v="2.8805555555736646"/>
    <x v="1"/>
    <s v="NÃO EXP.MAE"/>
    <s v="NÃO"/>
    <n v="0"/>
    <n v="0"/>
    <n v="0"/>
    <x v="413"/>
    <d v="2026-06-22T01:36:47"/>
    <x v="1"/>
    <s v="202603191257"/>
    <s v="9000"/>
    <s v="HMC - Hora de Manutenção Corretiva"/>
    <s v="HMC - EXEC MANUT"/>
    <s v="Mãe"/>
    <x v="5"/>
    <s v="BAIXO RENDIMENTO - CORRIGIR ALIMENTAÇÃO DO SENSOR DE PRESSÃO DO COLETOR DE ADMISSÃO E COMPLETAR NÍVEIS - 202603191257"/>
    <s v="ELETRICO"/>
    <s v="ADMISSAO"/>
    <s v="SENSOR DE PRESSAO"/>
    <s v="SUJEIRA"/>
    <s v="LIMPAR"/>
    <s v="Mecânica"/>
    <s v="Hidraulico Cavalo - Tanque Oleo"/>
    <s v="Oleo"/>
  </r>
  <r>
    <n v="0"/>
    <m/>
    <m/>
    <m/>
    <m/>
    <m/>
    <m/>
    <m/>
    <m/>
    <m/>
    <m/>
    <m/>
    <m/>
    <n v="1"/>
    <s v="ESTRUTURA"/>
    <x v="3"/>
    <s v="Corretivas"/>
    <n v="5.56388888892252"/>
    <x v="1"/>
    <s v="NÃO EXP.MAE"/>
    <s v="NÃO"/>
    <n v="0"/>
    <n v="0"/>
    <n v="0"/>
    <x v="414"/>
    <d v="2026-06-22T16:54:09"/>
    <x v="1"/>
    <m/>
    <s v="9000"/>
    <s v="HMC - Hora de Manutenção Corretiva"/>
    <s v="HMC - EXEC MANUT"/>
    <s v="Mãe"/>
    <x v="5"/>
    <s v="202603207103 - CORRIMÃO QUEBRADO, BORRACHA DA PORTA DANIFICADA - FOI INSTALADO VEDAÇÃO DA PORTA DA CABINE DO OPERADOR."/>
    <s v="ESTRUTURA"/>
    <s v="ESCADA RETRATIL"/>
    <s v="CORRIMAO"/>
    <s v="AVARIA"/>
    <s v="SOLDAR"/>
    <m/>
    <m/>
    <m/>
  </r>
  <r>
    <n v="0"/>
    <m/>
    <m/>
    <m/>
    <m/>
    <m/>
    <m/>
    <m/>
    <m/>
    <m/>
    <m/>
    <m/>
    <m/>
    <n v="1"/>
    <s v="COMUNICACAO"/>
    <x v="3"/>
    <s v="Acessórios"/>
    <n v="0.37000000005355105"/>
    <x v="0"/>
    <s v="EXP.MAE"/>
    <s v="NÃO"/>
    <n v="0"/>
    <n v="0"/>
    <n v="0"/>
    <x v="415"/>
    <d v="2026-06-23T10:40:37"/>
    <x v="1"/>
    <s v="202603222997"/>
    <s v="9031"/>
    <s v="HMC - Hora de Manutenção Corretiva"/>
    <s v="HMC - EXEC SIST EMBARCADOS/AUTOMACAO"/>
    <s v="Mãe"/>
    <x v="5"/>
    <s v="202603222997 - RADIO DE VOZ COM INTERFERENCIA - REALIZADO  TROCA DO MICROFONE PTT"/>
    <s v="COMUNICACAO"/>
    <s v="RADIO VOZ"/>
    <s v="MICROFONE"/>
    <s v="AVARIA"/>
    <s v="TROCAR"/>
    <s v="Automação"/>
    <s v="Rádio De Voz - Microfone Danificado"/>
    <s v="Rádio De Voz - Falha Comunicação"/>
  </r>
  <r>
    <n v="0"/>
    <m/>
    <m/>
    <m/>
    <m/>
    <m/>
    <m/>
    <m/>
    <m/>
    <m/>
    <m/>
    <m/>
    <m/>
    <n v="1"/>
    <s v="DIRECAO"/>
    <x v="3"/>
    <s v="Corretivas"/>
    <n v="1.5574999999953434"/>
    <x v="1"/>
    <s v="NÃO EXP.MAE"/>
    <s v="NÃO"/>
    <n v="0"/>
    <n v="0"/>
    <n v="0"/>
    <x v="416"/>
    <d v="2026-06-25T10:07:43"/>
    <x v="1"/>
    <s v="202603273102"/>
    <s v="9000"/>
    <s v="HMC - Hora de Manutenção Corretiva"/>
    <s v="HMC - EXEC MANUT"/>
    <s v="Mãe"/>
    <x v="5"/>
    <s v="BAIXO NIVEL DE ÓLEO DA DIREÇÃO - COMPLETADO 76 LITROS DE ÓLEO HIDRÁULICO E 22 LITROS DE ÓLEO DA DIREÇÃO - 202603273102 - SC09AC - DARLISSON"/>
    <s v="DIRECAO"/>
    <s v="LUBRIFICACAO"/>
    <s v="OLEO"/>
    <s v="BAIXO NIVEL"/>
    <s v="COMPLETAR"/>
    <s v="Mecânica"/>
    <s v="Direcao - Tanque Oleo"/>
    <s v="Oleo-Nivel Baixo"/>
  </r>
  <r>
    <n v="0"/>
    <m/>
    <m/>
    <m/>
    <m/>
    <m/>
    <m/>
    <m/>
    <m/>
    <m/>
    <m/>
    <m/>
    <m/>
    <n v="1"/>
    <s v="DIRECAO"/>
    <x v="3"/>
    <s v="Corretivas"/>
    <n v="0.69166666665114462"/>
    <x v="1"/>
    <s v="NÃO EXP.MAE"/>
    <s v="NÃO"/>
    <n v="0"/>
    <n v="0"/>
    <n v="0"/>
    <x v="417"/>
    <d v="2026-06-26T02:46:18"/>
    <x v="1"/>
    <s v="202603281198"/>
    <s v="9000"/>
    <s v="HMC - Hora de Manutenção Corretiva"/>
    <s v="HMC - EXEC MANUT"/>
    <s v="Mãe"/>
    <x v="5"/>
    <s v="BAIXO NIVEL DO OLEO DA DIREÇÃO - REALIZAR COMPLEMENTO DO OLEO DA DIREÇÃO - 202603281198"/>
    <s v="DIRECAO"/>
    <s v="LUBRIFICACAO"/>
    <s v="OLEO"/>
    <s v="BAIXO NIVEL"/>
    <s v="COMPLETAR"/>
    <s v="Mecânica"/>
    <s v="Direcao - Tanque Oleo"/>
    <s v="Oleo-Nivel Baixo"/>
  </r>
  <r>
    <n v="0"/>
    <m/>
    <m/>
    <m/>
    <m/>
    <m/>
    <m/>
    <m/>
    <m/>
    <m/>
    <m/>
    <m/>
    <m/>
    <n v="1"/>
    <s v="DIRECAO"/>
    <x v="3"/>
    <s v="Corretivas"/>
    <n v="0.91777777770766988"/>
    <x v="1"/>
    <s v="NÃO EXP.MAE"/>
    <s v="NÃO"/>
    <n v="0"/>
    <n v="0"/>
    <n v="0"/>
    <x v="418"/>
    <d v="2026-06-28T04:05:45"/>
    <x v="1"/>
    <s v="202603310395"/>
    <s v="9000"/>
    <s v="HMC - Hora de Manutenção Corretiva"/>
    <s v="HMC - EXEC MANUT"/>
    <s v="Mãe"/>
    <x v="5"/>
    <s v="BAIXO NIVEL DE OLEO DA DIREÇÃO - COMPLETAR NÍVEL DO ÓLEO DA DIREÇÃO E VERIFICSR DEMAIS NÍVEIS - 202603310395"/>
    <s v="DIRECAO"/>
    <s v="LUBRIFICACAO"/>
    <s v="OLEO"/>
    <s v="BAIXO NIVEL"/>
    <s v="COMPLETAR"/>
    <s v="Mecânica"/>
    <s v="Direcao - Tanque Oleo"/>
    <s v="Oleo-Nivel Baix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3.4027777779556345E-2"/>
    <n v="0"/>
    <n v="0"/>
    <x v="419"/>
    <d v="2026-06-28T04:02:00"/>
    <x v="1"/>
    <n v="202603310395"/>
    <s v="9000"/>
    <s v="HMC - Hora de Manutenção Corretiva"/>
    <s v="HMC - AG LUBRIFICACAO"/>
    <s v="Filha"/>
    <x v="5"/>
    <s v="DESVIO AGUARDANDO COMBOIO &gt; 30MIN, COMBOIO ACIONADO 02:43"/>
    <s v="DIRECAO"/>
    <s v="LUBRIFICACAO"/>
    <s v="OLEO"/>
    <s v="BAIXO NIVEL"/>
    <s v="COMPLETAR"/>
    <m/>
    <m/>
    <m/>
  </r>
  <r>
    <n v="0"/>
    <m/>
    <m/>
    <m/>
    <m/>
    <m/>
    <m/>
    <m/>
    <m/>
    <m/>
    <m/>
    <m/>
    <m/>
    <n v="1"/>
    <s v="INSPEÇÃO SENSITIVA"/>
    <x v="4"/>
    <s v="Inspeção"/>
    <n v="1.028333333437331"/>
    <x v="1"/>
    <s v="NÃO EXP.MAE"/>
    <s v="NÃO"/>
    <n v="0"/>
    <n v="0"/>
    <n v="0"/>
    <x v="420"/>
    <d v="2026-06-29T13:07:07"/>
    <x v="1"/>
    <m/>
    <s v="7005"/>
    <s v="MPS - Hora Manutenção Preventiva Sistemática"/>
    <s v="MPS-EXEC INSP MECANICA"/>
    <s v="Mãe"/>
    <x v="5"/>
    <m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ELETRICO"/>
    <x v="3"/>
    <s v="Corretivas"/>
    <n v="8.7783333333791234"/>
    <x v="1"/>
    <s v="NÃO EXP.MAE"/>
    <s v="NÃO"/>
    <n v="0"/>
    <n v="0"/>
    <n v="0"/>
    <x v="421"/>
    <d v="2026-06-29T22:26:35"/>
    <x v="1"/>
    <s v="202603331898"/>
    <s v="9000"/>
    <s v="HMC - Hora de Manutenção Corretiva"/>
    <s v="HMC - EXEC MANUT"/>
    <s v="Mãe"/>
    <x v="5"/>
    <s v="FALHA NAS CÂMERAS 202603331898 SUBSTITUIDO CABO DA CÂMERA L/D MATR. 1150588"/>
    <s v="ELETRICO"/>
    <s v="SISTEMA DE CAMERA"/>
    <s v="CABO/FIACAO"/>
    <s v="FALHA"/>
    <s v="TROCAR"/>
    <s v="Elétrica"/>
    <s v="Eletrico - Cabine"/>
    <s v="Camera de Video"/>
  </r>
  <r>
    <n v="0"/>
    <m/>
    <m/>
    <m/>
    <m/>
    <m/>
    <m/>
    <m/>
    <m/>
    <m/>
    <m/>
    <m/>
    <m/>
    <n v="1"/>
    <s v="ELETRICO"/>
    <x v="3"/>
    <s v="Corretivas"/>
    <n v="0.40916666662087664"/>
    <x v="1"/>
    <s v="NÃO EXP.MAE"/>
    <s v="NÃO"/>
    <n v="0"/>
    <n v="0"/>
    <n v="0"/>
    <x v="422"/>
    <d v="2026-06-30T05:29:09"/>
    <x v="1"/>
    <s v="202603342202"/>
    <s v="9000"/>
    <s v="HMC - Hora de Manutenção Corretiva"/>
    <s v="HMC - EXEC MANUT"/>
    <s v="Mãe"/>
    <x v="5"/>
    <s v="FALHA NO DETECT  - 202603342202  REALIZADO  EMENDA DO CABO DA REDE  CAN  MT: 1150588"/>
    <s v="ELETRICO"/>
    <s v="SISTEMA DETECT"/>
    <s v="CABO/FIACAO"/>
    <s v="ROMPIMENTO"/>
    <s v="CORRIGIR"/>
    <s v="Elétrica"/>
    <s v="Comunicacao - Comunicacao Externa"/>
    <s v="Cabo/fiação/Rompimento"/>
  </r>
  <r>
    <n v="0"/>
    <m/>
    <m/>
    <m/>
    <m/>
    <m/>
    <m/>
    <m/>
    <m/>
    <m/>
    <m/>
    <m/>
    <m/>
    <n v="1"/>
    <s v="DIRECAO"/>
    <x v="3"/>
    <s v="Corretivas"/>
    <n v="3.1533333333791234"/>
    <x v="1"/>
    <s v="NÃO EXP.MAE"/>
    <s v="NÃO"/>
    <n v="0"/>
    <n v="0"/>
    <n v="0"/>
    <x v="423"/>
    <d v="2026-06-30T12:23:29"/>
    <x v="1"/>
    <s v="202603345267"/>
    <s v="9000"/>
    <s v="HMC - Hora de Manutenção Corretiva"/>
    <s v="HMC - EXEC MANUT"/>
    <s v="Mãe"/>
    <x v="5"/>
    <s v="202603345267 BAIXO NÍVEL DE ÓLEO DA DIREÇÃO"/>
    <s v="DIRECAO"/>
    <s v="LUBRIFICACAO"/>
    <s v="OLEO"/>
    <s v="BAIXO NIVEL"/>
    <s v="COMPLETAR"/>
    <s v="Mecânica"/>
    <s v="Direcao - Tanque Oleo"/>
    <s v="Oleo-Nivel Baixo"/>
  </r>
  <r>
    <n v="0"/>
    <m/>
    <m/>
    <m/>
    <m/>
    <m/>
    <m/>
    <m/>
    <m/>
    <m/>
    <m/>
    <m/>
    <m/>
    <n v="1"/>
    <s v="COMUNICACAO"/>
    <x v="3"/>
    <s v="Acessórios"/>
    <n v="0.68055555538740009"/>
    <x v="0"/>
    <s v="EXP.MAE"/>
    <s v="NÃO"/>
    <n v="0"/>
    <n v="0"/>
    <n v="0"/>
    <x v="424"/>
    <d v="2026-07-01T22:40:28"/>
    <x v="1"/>
    <s v="202603381061"/>
    <s v="9000"/>
    <s v="HMC - Hora de Manutenção Corretiva"/>
    <s v="HMC - EXEC MANUT"/>
    <s v="Mãe"/>
    <x v="6"/>
    <s v="SUPORTE DA  TELA DO MINESTAR - REALIZAR FIXAÇÃO DO SUPORTE DA TELA DO DISPLAY MANISTAR - 202603381061"/>
    <s v="COMUNICACAO"/>
    <s v="DISPLAY DESPACHO (MINESTAR)"/>
    <s v="SUPORTE"/>
    <s v="FIXACAO"/>
    <s v="FIXAR"/>
    <s v="Elétrica"/>
    <s v="Eletrico - Cabine"/>
    <s v="Monitor de Video"/>
  </r>
  <r>
    <n v="0"/>
    <m/>
    <m/>
    <m/>
    <m/>
    <m/>
    <m/>
    <m/>
    <m/>
    <m/>
    <m/>
    <m/>
    <s v="NÃO"/>
    <n v="1"/>
    <s v="REVISÃO PREVENTIVA"/>
    <x v="4"/>
    <s v="Preventivas"/>
    <n v="1.1180555555038154"/>
    <x v="1"/>
    <s v="NÃO EXP.MAE"/>
    <s v="NÃO"/>
    <n v="0"/>
    <n v="0"/>
    <n v="0"/>
    <x v="425"/>
    <d v="2026-07-02T08:27:03"/>
    <x v="1"/>
    <m/>
    <s v="7116"/>
    <s v="MPS - Hora Manutenção Preventiva Sistemática"/>
    <s v="MPS - AG LOCOMOCAO"/>
    <s v="Mãe"/>
    <x v="6"/>
    <s v="PM 250h + 05BLs"/>
    <s v="PREVENTIVA"/>
    <s v="PITSTOP"/>
    <m/>
    <m/>
    <m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4.9189814817509614E-3"/>
    <n v="0"/>
    <n v="0"/>
    <x v="426"/>
    <d v="2026-07-02T08:27:03"/>
    <x v="1"/>
    <m/>
    <n v="7116"/>
    <s v="MPS - Hora Manutenção Preventiva Sistemática"/>
    <s v="MPS - AG LOCOMOCAO"/>
    <s v="Filha"/>
    <x v="6"/>
    <s v="MACHINE GEN Atraso iniciado: MPNS - Ag locomocao | DESVIO AG LOCOMOCAO &gt; 1H"/>
    <s v="PREVENTIVA"/>
    <s v="PITSTOP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19.380277777730953"/>
    <x v="1"/>
    <s v="NÃO EXP.MAE"/>
    <s v="NÃO"/>
    <n v="0"/>
    <n v="0"/>
    <n v="0"/>
    <x v="427"/>
    <d v="2026-07-03T03:49:52"/>
    <x v="1"/>
    <m/>
    <s v="7000"/>
    <s v="MPS - Hora Manutenção Preventiva Sistemática"/>
    <s v="MPS - EXEC MANUT"/>
    <s v="Mãe"/>
    <x v="6"/>
    <s v="PM 250h + 05BLs"/>
    <s v="PREVENTIVA"/>
    <s v="PITSTOP"/>
    <m/>
    <m/>
    <m/>
    <m/>
    <m/>
    <m/>
  </r>
  <r>
    <n v="0"/>
    <m/>
    <m/>
    <m/>
    <m/>
    <m/>
    <m/>
    <m/>
    <m/>
    <m/>
    <m/>
    <m/>
    <m/>
    <n v="1"/>
    <s v="LOCOMOÇÃO"/>
    <x v="1"/>
    <s v="Man. Pneus"/>
    <n v="0.48500000004423782"/>
    <x v="1"/>
    <s v="NÃO EXP.MAE"/>
    <s v="NÃO"/>
    <n v="0"/>
    <n v="0"/>
    <n v="0"/>
    <x v="428"/>
    <d v="2026-07-04T02:33:34"/>
    <x v="1"/>
    <m/>
    <s v="8010"/>
    <s v="MPNS - Hora Manutenção Preventiva não Sistemática"/>
    <s v="MPNS - EXEC BORRACHARIA"/>
    <s v="Mãe"/>
    <x v="6"/>
    <s v="MACHINE GEN Started a delay: MPNS - Exec borracharia"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ACIDENTE"/>
    <x v="0"/>
    <s v="Acidente operacional"/>
    <n v="618.98999999987427"/>
    <x v="0"/>
    <s v="EXP.MAE"/>
    <s v="NÃO"/>
    <n v="0"/>
    <n v="0"/>
    <n v="0"/>
    <x v="429"/>
    <d v="2026-07-31T23:59:59"/>
    <x v="1"/>
    <n v="202603456835"/>
    <s v="1090"/>
    <s v="HAC - Hora Acidente"/>
    <s v="HAC - EXEC MANUT ACIDENTE"/>
    <s v="Mãe"/>
    <x v="6"/>
    <s v="202603456835 - FALHA NO LINK - (PRINCIPIO DE INCÊNDIO) #MSR: Subst. cordoalhas, mangueiras e transmissão."/>
    <s v="ACIDENTE"/>
    <s v="ACIDENTE"/>
    <s v="ACIDENTE"/>
    <s v="ACIDENTE"/>
    <m/>
    <s v=""/>
    <s v=""/>
    <s v=""/>
  </r>
  <r>
    <n v="0"/>
    <m/>
    <m/>
    <m/>
    <m/>
    <m/>
    <m/>
    <m/>
    <m/>
    <m/>
    <m/>
    <m/>
    <m/>
    <s v=""/>
    <s v=""/>
    <x v="2"/>
    <s v=""/>
    <s v=""/>
    <x v="2"/>
    <s v="EXP.MAE"/>
    <s v="NÃO"/>
    <n v="0"/>
    <n v="0"/>
    <n v="0"/>
    <x v="430"/>
    <d v="2026-07-10T21:32:00"/>
    <x v="1"/>
    <s v="202603456835"/>
    <n v="1090"/>
    <s v="HAC - Hora Acidente"/>
    <s v="HMC - AG RECURSO/FERRAMENTAL"/>
    <s v="Filha"/>
    <x v="6"/>
    <s v="AGUARDANDO CAMINHÃO MUNCK"/>
    <s v="ACIDENTE"/>
    <s v="ACIDENTE"/>
    <s v="ACIDENTE"/>
    <s v="ACIDENTE"/>
    <m/>
    <m/>
    <m/>
    <m/>
  </r>
  <r>
    <n v="0"/>
    <m/>
    <m/>
    <m/>
    <m/>
    <m/>
    <m/>
    <m/>
    <m/>
    <m/>
    <m/>
    <m/>
    <m/>
    <s v=""/>
    <s v=""/>
    <x v="2"/>
    <s v=""/>
    <s v=""/>
    <x v="2"/>
    <s v="EXP.MAE"/>
    <s v="NÃO"/>
    <n v="0"/>
    <n v="0"/>
    <n v="0"/>
    <x v="430"/>
    <d v="2026-07-10T21:32:00"/>
    <x v="1"/>
    <s v="202603456835"/>
    <n v="1090"/>
    <s v="HAC - Hora Acidente"/>
    <s v="HMC - AG RECURSO/FERRAMENTAL"/>
    <s v="Filha"/>
    <x v="6"/>
    <s v="AGUARDANDO CAMINHÃO MUNCK"/>
    <s v="ACIDENTE"/>
    <s v="ACIDENTE"/>
    <s v="ACIDENTE"/>
    <s v="ACIDENTE"/>
    <m/>
    <m/>
    <m/>
    <m/>
  </r>
  <r>
    <n v="0"/>
    <m/>
    <m/>
    <m/>
    <m/>
    <m/>
    <m/>
    <m/>
    <m/>
    <m/>
    <m/>
    <m/>
    <m/>
    <s v=""/>
    <s v=""/>
    <x v="2"/>
    <s v=""/>
    <s v=""/>
    <x v="2"/>
    <s v="EXP.MAE"/>
    <s v="NÃO"/>
    <n v="0"/>
    <n v="0"/>
    <n v="0"/>
    <x v="431"/>
    <d v="2026-07-13T17:40:00"/>
    <x v="1"/>
    <s v="202603456835"/>
    <n v="1090"/>
    <s v="HAC - Hora Acidente"/>
    <s v="HMC - AG DETONACAO"/>
    <s v="Filha"/>
    <x v="6"/>
    <s v="AGUARDANDO DETONAÇÃO, CODIGO ACIDENTE"/>
    <s v="ACIDENTE"/>
    <s v="ACIDENTE"/>
    <s v="ACIDENTE"/>
    <s v="ACIDENTE"/>
    <m/>
    <m/>
    <m/>
    <m/>
  </r>
  <r>
    <n v="0"/>
    <m/>
    <m/>
    <m/>
    <m/>
    <m/>
    <m/>
    <m/>
    <m/>
    <m/>
    <m/>
    <m/>
    <m/>
    <s v=""/>
    <s v=""/>
    <x v="2"/>
    <s v=""/>
    <s v=""/>
    <x v="2"/>
    <s v="EXP.MAE"/>
    <s v="NÃO"/>
    <n v="0"/>
    <n v="0"/>
    <n v="0"/>
    <x v="431"/>
    <d v="2026-07-13T17:40:00"/>
    <x v="1"/>
    <s v="202603456835"/>
    <n v="1090"/>
    <s v="HAC - Hora Acidente"/>
    <s v="HMC - AG DETONACAO"/>
    <s v="Filha"/>
    <x v="6"/>
    <s v="AGUARDANDO DETONAÇÃO, CODIGO ACIDENTE"/>
    <s v="ACIDENTE"/>
    <s v="ACIDENTE"/>
    <s v="ACIDENTE"/>
    <s v="ACIDENTE"/>
    <m/>
    <m/>
    <m/>
    <m/>
  </r>
  <r>
    <n v="0"/>
    <m/>
    <m/>
    <m/>
    <m/>
    <m/>
    <m/>
    <m/>
    <m/>
    <m/>
    <m/>
    <n v="0"/>
    <m/>
    <n v="0"/>
    <s v="ACIDENTE"/>
    <x v="0"/>
    <s v="Acidente operacional"/>
    <n v="10.920277777709998"/>
    <x v="0"/>
    <s v="EXP.MAE"/>
    <s v="NÃO"/>
    <n v="0"/>
    <n v="0"/>
    <n v="0"/>
    <x v="432"/>
    <d v="2026-08-01T10:55:13"/>
    <x v="1"/>
    <m/>
    <s v="1090"/>
    <s v="HAC - Hora Acidente"/>
    <s v="HAC - EXEC MANUT ACIDENTE"/>
    <s v="Mãe"/>
    <x v="7"/>
    <s v="202603456835 - FALHA NO LINK - (PRINCIPIO DE INCÊNDIO) #MSR: Subst. cordoalhas, mangueiras e transmissão."/>
    <s v="ACIDENTE"/>
    <s v="ACIDENTE"/>
    <s v="ACIDENTE"/>
    <s v="ACIDENTE"/>
    <m/>
    <m/>
    <m/>
    <m/>
  </r>
  <r>
    <n v="0"/>
    <m/>
    <m/>
    <m/>
    <m/>
    <m/>
    <m/>
    <m/>
    <m/>
    <m/>
    <m/>
    <n v="0"/>
    <m/>
    <n v="0"/>
    <s v="ACIDENTE"/>
    <x v="0"/>
    <s v="Acidente operacional"/>
    <n v="733.07944444444729"/>
    <x v="0"/>
    <s v="EXP.MAE"/>
    <s v="NÃO"/>
    <n v="0"/>
    <n v="0"/>
    <n v="0"/>
    <x v="433"/>
    <d v="2026-08-31T23:59:59"/>
    <x v="1"/>
    <m/>
    <s v="1090"/>
    <s v="HAC - Hora Acidente"/>
    <s v="HAC - EXEC MANUT ACIDENTE"/>
    <s v="Mãe"/>
    <x v="7"/>
    <s v="202603456835 - FALHA NO LINK - (PRINCIPIO DE INCÊNDIO) #MSR: Subst. cordoalhas, mangueiras e transmissão."/>
    <s v="ACIDENTE"/>
    <s v="ACIDENTE"/>
    <s v="ACIDENTE"/>
    <s v="ACIDENTE"/>
    <m/>
    <m/>
    <m/>
    <m/>
  </r>
  <r>
    <n v="0"/>
    <m/>
    <m/>
    <m/>
    <m/>
    <m/>
    <m/>
    <m/>
    <m/>
    <m/>
    <m/>
    <n v="0"/>
    <m/>
    <n v="0"/>
    <s v="ACIDENTE"/>
    <x v="0"/>
    <s v="Acidente operacional"/>
    <n v="0"/>
    <x v="0"/>
    <s v="EXP.MAE"/>
    <s v="NÃO"/>
    <n v="0"/>
    <n v="0"/>
    <n v="0"/>
    <x v="434"/>
    <d v="2026-09-01T00:00:00"/>
    <x v="1"/>
    <s v="202603456835"/>
    <s v="1090"/>
    <s v="HAC - Hora Acidente"/>
    <s v="HAC - EXEC MANUT ACIDENTE"/>
    <s v="Mãe"/>
    <x v="8"/>
    <s v="202603456835 - FALHA NO LINK - (PRINCIPIO DE INCÊNDIO)"/>
    <s v="ACIDENTE"/>
    <s v="ACIDENTE"/>
    <s v="ACIDENTE"/>
    <s v="ACIDENTE"/>
    <s v=""/>
    <s v="Mecânica"/>
    <s v="Combate Incendio - Acionamento Automatico"/>
    <s v="Alarme"/>
  </r>
  <r>
    <n v="0"/>
    <m/>
    <m/>
    <m/>
    <m/>
    <m/>
    <m/>
    <m/>
    <m/>
    <m/>
    <m/>
    <n v="0"/>
    <m/>
    <n v="0"/>
    <s v="ACIDENTE"/>
    <x v="0"/>
    <s v="Acidente operacional"/>
    <n v="9.7819444444030523"/>
    <x v="0"/>
    <s v="EXP.MAE"/>
    <s v="NÃO"/>
    <n v="0"/>
    <n v="0"/>
    <n v="0"/>
    <x v="434"/>
    <d v="2026-09-01T09:46:55"/>
    <x v="1"/>
    <s v="202603456835"/>
    <s v="1090"/>
    <s v="HAC - Hora Acidente"/>
    <s v="HAC - EXEC MANUT ACIDENTE"/>
    <s v="Mãe"/>
    <x v="8"/>
    <s v="202603456835 - FALHA NO LINK - (PRINCIPIO DE INCÊNDIO)"/>
    <s v="ACIDENTE"/>
    <s v="ACIDENTE"/>
    <s v="ACIDENTE"/>
    <s v="ACIDENTE"/>
    <s v=""/>
    <s v="Mecânica"/>
    <s v="Combate Incendio - Acionamento Automatico"/>
    <s v="Alarme"/>
  </r>
  <r>
    <n v="0"/>
    <m/>
    <m/>
    <m/>
    <m/>
    <m/>
    <m/>
    <m/>
    <m/>
    <m/>
    <m/>
    <m/>
    <m/>
    <n v="0"/>
    <s v="ACIDENTE"/>
    <x v="0"/>
    <s v="Acidente operacional"/>
    <n v="90.073333333362825"/>
    <x v="0"/>
    <s v="EXP.MAE"/>
    <s v="NÃO"/>
    <n v="0"/>
    <n v="0"/>
    <n v="0"/>
    <x v="435"/>
    <d v="2026-09-05T03:51:19"/>
    <x v="1"/>
    <s v="202603456835"/>
    <s v="1090"/>
    <s v="HAC - Hora Acidente"/>
    <s v="HAC - EXEC MANUT ACIDENTE"/>
    <s v="Mãe"/>
    <x v="8"/>
    <s v="202603456835 - FALHA NO LINK - (PRINCIPIO DE INCÊNDIO)"/>
    <s v="ACIDENTE"/>
    <s v="ACIDENTE"/>
    <s v="ACIDENTE"/>
    <s v="ACIDENTE"/>
    <s v=""/>
    <s v="Mecânica"/>
    <s v="Combate Incendio - Acionamento Automatico"/>
    <s v="Alarme"/>
  </r>
  <r>
    <n v="0"/>
    <m/>
    <m/>
    <m/>
    <m/>
    <m/>
    <m/>
    <s v="SUBSTITUIR O COMANDO FINAL L/E - SUBSTITUIDO TRANSMISSÃO"/>
    <m/>
    <s v="Componente (Major e Minor)"/>
    <m/>
    <m/>
    <m/>
    <n v="1"/>
    <s v="TREM DE FORÇA"/>
    <x v="3"/>
    <s v="Componente (Major e Minor)"/>
    <n v="49.644722222175915"/>
    <x v="1"/>
    <s v="NÃO EXP.MAE"/>
    <s v="NÃO"/>
    <n v="0"/>
    <n v="0"/>
    <n v="0"/>
    <x v="436"/>
    <d v="2026-09-07T05:30:00"/>
    <x v="1"/>
    <s v="202603456835"/>
    <s v="9032"/>
    <s v="HMC - Hora de Manutenção Corretiva"/>
    <s v="HMC - EXEC TERCEIROS TRABALHANDO"/>
    <s v="Mãe"/>
    <x v="8"/>
    <s v="202603456835 - FALHA NO LINK - (PRINCIPIO DE INCÊNDIO)    - SUBSTITUIR O COMANDO FINAL L/E   MR:1150619- REVITALIZADO PINO SUPERIOR E INFERIOR E SUBSTITUIDO TRANSMISSÃO"/>
    <s v="TREM DE FORCA"/>
    <s v="TRANSMISSAO"/>
    <s v="COMANDO FINAL L/E"/>
    <s v="FALHA"/>
    <s v="SUBSTITUIR"/>
    <s v="Mecânica"/>
    <s v="Transmissao - Comando Final Te"/>
    <s v="Comando Te"/>
  </r>
  <r>
    <n v="0"/>
    <m/>
    <m/>
    <m/>
    <m/>
    <m/>
    <m/>
    <m/>
    <m/>
    <m/>
    <m/>
    <m/>
    <m/>
    <n v="1"/>
    <s v="LOCOMOÇÃO"/>
    <x v="3"/>
    <s v="Man. Pneus"/>
    <n v="0.56333333335351199"/>
    <x v="1"/>
    <s v="NÃO EXP.MAE"/>
    <s v="NÃO"/>
    <n v="0"/>
    <n v="0"/>
    <n v="0"/>
    <x v="437"/>
    <d v="2026-09-07T09:23:14"/>
    <x v="1"/>
    <s v="202604699701"/>
    <s v="9010"/>
    <s v="HMC - Hora de Manutenção Corretiva"/>
    <s v="HMC - EXEC BORRACHARIA"/>
    <s v="Mãe"/>
    <x v="8"/>
    <s v="202604699701 - REALIZAR CALIBRAÇÃO DO PNEU TEE E TEI - CALIBRADO PNEU TEE E TEI."/>
    <s v="LOCOMOCAO"/>
    <s v="RODA TEE/TEI"/>
    <s v="PNEU"/>
    <s v="BAIXA PRESSAO"/>
    <s v="CALIBRAR"/>
    <s v="Borracharia"/>
    <s v="Locomocao - Roda Tee"/>
    <s v="Pneu-Pressao"/>
  </r>
  <r>
    <n v="0"/>
    <m/>
    <m/>
    <m/>
    <m/>
    <m/>
    <m/>
    <m/>
    <m/>
    <m/>
    <m/>
    <m/>
    <m/>
    <n v="1"/>
    <s v="MOTOR DE COMBUSTÃO"/>
    <x v="1"/>
    <s v="Reparo Programado"/>
    <n v="2.8616666666348465"/>
    <x v="1"/>
    <s v="NÃO EXP.MAE"/>
    <s v="NÃO"/>
    <n v="0"/>
    <n v="0"/>
    <n v="0"/>
    <x v="438"/>
    <d v="2026-09-08T10:45:54"/>
    <x v="1"/>
    <m/>
    <s v="8001"/>
    <s v="MPNS - Hora Manutenção Preventiva não Sistemática"/>
    <s v="MPNS - EXEC MECANICA"/>
    <s v="Mãe"/>
    <x v="8"/>
    <s v="BAIXO RENDIMENTO "/>
    <s v="MOTOR DE COMBUSTAO"/>
    <s v="COMBUSTIVEL"/>
    <m/>
    <s v=""/>
    <s v=""/>
    <m/>
    <m/>
    <m/>
  </r>
  <r>
    <n v="0"/>
    <m/>
    <m/>
    <m/>
    <m/>
    <m/>
    <m/>
    <m/>
    <m/>
    <m/>
    <m/>
    <m/>
    <m/>
    <n v="1"/>
    <s v="ELETRICO"/>
    <x v="3"/>
    <s v="Corretivas"/>
    <n v="28.74805555556668"/>
    <x v="1"/>
    <s v="NÃO EXP.MAE"/>
    <s v="NÃO"/>
    <n v="0"/>
    <n v="0"/>
    <n v="0"/>
    <x v="439"/>
    <d v="2026-09-09T17:37:25"/>
    <x v="1"/>
    <s v="202604717839"/>
    <s v="9000"/>
    <s v="HMC - Hora de Manutenção Corretiva"/>
    <s v="HMC - EXEC MANUT"/>
    <s v="Mãe"/>
    <x v="8"/>
    <s v="202604717839 - FALHA NA SELETORA DE MARCHA - SUBS SELENOIDE DE MODULO DA ENBREAGEM DA TRANSMISSÃO"/>
    <s v="ELETRICO"/>
    <s v="TRANSMISSAO"/>
    <s v="SOLENOIDE"/>
    <s v="FALHA"/>
    <s v="SUBSTITUIR"/>
    <s v="Elétrica"/>
    <s v="Eletrico - Transmissao Forca"/>
    <s v="Valvula Solenoide Marcha Abaixo"/>
  </r>
  <r>
    <n v="0"/>
    <m/>
    <m/>
    <m/>
    <m/>
    <m/>
    <m/>
    <m/>
    <m/>
    <m/>
    <m/>
    <m/>
    <m/>
    <n v="1"/>
    <s v="COMBATE INCENDIO"/>
    <x v="3"/>
    <s v="Acessórios"/>
    <n v="1.1302777777891606"/>
    <x v="0"/>
    <s v="EXP.MAE"/>
    <s v="NÃO"/>
    <n v="0"/>
    <n v="0"/>
    <n v="0"/>
    <x v="440"/>
    <d v="2026-09-15T20:06:57"/>
    <x v="1"/>
    <s v="202604853374"/>
    <s v="9032"/>
    <s v="HMC - Hora de Manutenção Corretiva"/>
    <s v="HMC - EXEC TERCEIROS TRABALHANDO"/>
    <s v="Mãe"/>
    <x v="8"/>
    <s v="AUSENCIA DE PARAFUSO NA ABRAÇADEIRA DO AFEX   202604853374 REALIZADO  FIXAÇÃO DAS ABRAÇADEIRAS DO CILINDRO AFEX MT:359"/>
    <s v="SISTEMA AFEX"/>
    <s v="COMBATE INCENDIO"/>
    <s v="SUPORTE"/>
    <s v="FIXACAO"/>
    <s v="FIXAR"/>
    <s v="Elétrica"/>
    <s v="Combate Incendio - Acionamento Automatico"/>
    <s v="Cabo/Fiacao"/>
  </r>
  <r>
    <n v="0"/>
    <m/>
    <m/>
    <m/>
    <m/>
    <m/>
    <m/>
    <m/>
    <m/>
    <m/>
    <m/>
    <m/>
    <m/>
    <n v="1"/>
    <s v="SUSPENSÃO"/>
    <x v="3"/>
    <s v="Corretivas"/>
    <n v="10.159722222131677"/>
    <x v="1"/>
    <s v="NÃO EXP.MAE"/>
    <s v="NÃO"/>
    <n v="0"/>
    <n v="0"/>
    <n v="0"/>
    <x v="441"/>
    <d v="2026-09-18T21:35:37"/>
    <x v="1"/>
    <s v="202604922425"/>
    <s v="9000"/>
    <s v="HMC - Hora de Manutenção Corretiva"/>
    <s v="HMC - EXEC MANUT"/>
    <s v="Mãe"/>
    <x v="8"/>
    <s v="202604922425 - FALHA NA BALANÇA- CALIBRADO BALANÇA"/>
    <s v="SUSPENSAO"/>
    <s v="BALANCA"/>
    <s v="BALANCA"/>
    <s v="DESCALIBRADO"/>
    <s v="CALIBRAR"/>
    <s v="Mecânica"/>
    <s v="Suspensao - Balanca"/>
    <s v="Balanca do Eixo"/>
  </r>
  <r>
    <n v="0"/>
    <m/>
    <m/>
    <m/>
    <m/>
    <m/>
    <m/>
    <m/>
    <m/>
    <m/>
    <m/>
    <m/>
    <m/>
    <n v="1"/>
    <s v="SUSPENSÃO"/>
    <x v="3"/>
    <s v="Corretivas"/>
    <n v="14.586388888943475"/>
    <x v="1"/>
    <s v="NÃO EXP.MAE"/>
    <s v="NÃO"/>
    <n v="0"/>
    <n v="0"/>
    <n v="0"/>
    <x v="442"/>
    <d v="2026-09-19T13:19:48"/>
    <x v="1"/>
    <s v="202604925728"/>
    <s v="9000"/>
    <s v="HMC - Hora de Manutenção Corretiva"/>
    <s v="HMC - EXEC MANUT"/>
    <s v="Mãe"/>
    <x v="8"/>
    <s v="202604925728 - FALHA NA BALANÇA - CALIBRADO SUSPENSÃO E BALANÇA"/>
    <s v="SUSPENSAO"/>
    <s v="BALANCA"/>
    <s v="BALANCA"/>
    <s v="DESCALIBRADO"/>
    <s v="CALIBRAR"/>
    <s v="Mecânica"/>
    <s v="Suspensao - Balanca"/>
    <s v="Balanca do Eixo"/>
  </r>
  <r>
    <n v="0"/>
    <m/>
    <m/>
    <m/>
    <m/>
    <m/>
    <m/>
    <m/>
    <m/>
    <m/>
    <m/>
    <m/>
    <m/>
    <n v="1"/>
    <s v="ESTRUTURA"/>
    <x v="3"/>
    <s v="Corretivas"/>
    <n v="2.0494444443611428"/>
    <x v="1"/>
    <s v="NÃO EXP.MAE"/>
    <s v="NÃO"/>
    <n v="0"/>
    <n v="0"/>
    <n v="0"/>
    <x v="443"/>
    <d v="2026-09-27T08:29:04"/>
    <x v="1"/>
    <s v="202605080538"/>
    <s v="9000"/>
    <s v="HMC - Hora de Manutenção Corretiva"/>
    <s v="HMC - EXEC MANUT"/>
    <s v="Mãe"/>
    <x v="8"/>
    <s v="202605080538 - FALHA NA ESCADA-SUBS RELÉ  DE ACIONAMENTO DA ESCADA"/>
    <s v="ESTRUTURA"/>
    <s v="ESCADA"/>
    <s v="RELÉ"/>
    <s v="FALHA"/>
    <s v="SUBSTITUIR"/>
    <s v="Mecânica"/>
    <s v="Estrutura"/>
    <s v="Escada"/>
  </r>
  <r>
    <n v="0"/>
    <m/>
    <m/>
    <m/>
    <m/>
    <m/>
    <m/>
    <m/>
    <m/>
    <m/>
    <m/>
    <m/>
    <m/>
    <n v="1"/>
    <s v="REVISÃO PREVENTIVA"/>
    <x v="4"/>
    <s v="Preventivas"/>
    <n v="0.19916666677454486"/>
    <x v="0"/>
    <s v="EXP.MAE"/>
    <s v="NÃO"/>
    <n v="0"/>
    <n v="0"/>
    <n v="0"/>
    <x v="444"/>
    <d v="2026-09-28T08:48:38"/>
    <x v="1"/>
    <m/>
    <s v="7116"/>
    <s v="MPS - Hora Manutenção Preventiva Sistemática"/>
    <s v="MPS - AG LOCOMOCAO"/>
    <s v="Mãe"/>
    <x v="8"/>
    <s v="PM 1000hs + 15 BLs "/>
    <s v="PREVENTIVA"/>
    <s v="1000 HORAS"/>
    <s v=""/>
    <s v=""/>
    <s v=""/>
    <m/>
    <m/>
    <m/>
  </r>
  <r>
    <n v="0"/>
    <m/>
    <m/>
    <m/>
    <m/>
    <m/>
    <m/>
    <m/>
    <m/>
    <m/>
    <m/>
    <m/>
    <m/>
    <n v="0"/>
    <s v="REVISÃO PREVENTIVA"/>
    <x v="4"/>
    <s v="Preventivas"/>
    <n v="4.661111111054197"/>
    <x v="1"/>
    <s v="NÃO EXP.MAE"/>
    <s v="NÃO"/>
    <n v="0"/>
    <n v="0"/>
    <n v="0"/>
    <x v="445"/>
    <d v="2026-09-28T13:28:18"/>
    <x v="1"/>
    <m/>
    <s v="7000"/>
    <s v="MPS - Hora Manutenção Preventiva Sistemática"/>
    <s v="MPS - EXEC MANUT"/>
    <s v="Mãe"/>
    <x v="8"/>
    <s v="PM 1000hs + 15 BLs "/>
    <s v="PREVENTIVA"/>
    <s v="1000 HORAS"/>
    <s v=""/>
    <s v=""/>
    <s v=""/>
    <m/>
    <m/>
    <m/>
  </r>
  <r>
    <n v="0"/>
    <m/>
    <m/>
    <m/>
    <m/>
    <m/>
    <m/>
    <m/>
    <m/>
    <m/>
    <m/>
    <m/>
    <m/>
    <n v="0"/>
    <s v="REVISÃO PREVENTIVA"/>
    <x v="4"/>
    <s v="Preventivas"/>
    <n v="4.063055555569008"/>
    <x v="1"/>
    <s v="NÃO EXP.MAE"/>
    <s v="NÃO"/>
    <n v="0"/>
    <n v="0"/>
    <n v="0"/>
    <x v="446"/>
    <d v="2026-09-28T17:32:05"/>
    <x v="1"/>
    <m/>
    <s v="7011"/>
    <s v="MPS - Hora Manutenção Preventiva Sistemática"/>
    <s v="MPS - EXEC LAVADOR"/>
    <s v="Mãe"/>
    <x v="8"/>
    <s v="PM 1000hs + 15 BLs "/>
    <s v="PREVENTIVA"/>
    <s v="1000 HORAS"/>
    <s v=""/>
    <s v=""/>
    <s v=""/>
    <m/>
    <m/>
    <m/>
  </r>
  <r>
    <n v="0"/>
    <m/>
    <m/>
    <m/>
    <m/>
    <m/>
    <m/>
    <m/>
    <m/>
    <m/>
    <m/>
    <m/>
    <m/>
    <n v="0"/>
    <s v="REVISÃO PREVENTIVA"/>
    <x v="4"/>
    <s v="Preventivas"/>
    <n v="33.969722222245764"/>
    <x v="1"/>
    <s v="NÃO EXP.MAE"/>
    <s v="NÃO"/>
    <n v="0"/>
    <n v="0"/>
    <n v="0"/>
    <x v="447"/>
    <d v="2026-09-30T03:30:16"/>
    <x v="1"/>
    <m/>
    <s v="7000"/>
    <s v="MPS - Hora Manutenção Preventiva Sistemática"/>
    <s v="MPS - EXEC MANUT"/>
    <s v="Mãe"/>
    <x v="8"/>
    <s v="PM 1000hs + 15 BLs "/>
    <s v="PREVENTIVA"/>
    <s v="1000 HORAS"/>
    <s v=""/>
    <s v=""/>
    <s v=""/>
    <m/>
    <m/>
    <m/>
  </r>
  <r>
    <n v="0"/>
    <m/>
    <m/>
    <m/>
    <m/>
    <m/>
    <m/>
    <m/>
    <m/>
    <m/>
    <m/>
    <m/>
    <m/>
    <n v="1"/>
    <s v="MOTOR DE COMBUSTÃO"/>
    <x v="0"/>
    <s v="Acidente operacional"/>
    <n v="30.561666666821111"/>
    <x v="0"/>
    <s v="EXP.MAE"/>
    <s v="NÃO"/>
    <n v="0"/>
    <n v="0"/>
    <n v="0"/>
    <x v="448"/>
    <d v="2026-10-02T17:07:51"/>
    <x v="1"/>
    <m/>
    <s v="1090"/>
    <s v="HAC - Hora Acidente"/>
    <s v="HAC - EXEC MANUT ACIDENTE"/>
    <s v="Mãe"/>
    <x v="9"/>
    <s v="202605173245 VAZAMENTO DE ÓLEO HIDRÁULICO- REALIZADO TROCA DO SUPORTE DO TANQUE DE COMBUSTIVEL"/>
    <s v="MOTOR DE COMBUSTAO"/>
    <s v="COMBUSTIVEL"/>
    <s v="SUPORTE"/>
    <s v="AVARIA"/>
    <s v="SUBSTITUIR"/>
    <m/>
    <m/>
    <m/>
  </r>
  <r>
    <n v="0"/>
    <m/>
    <m/>
    <m/>
    <m/>
    <m/>
    <m/>
    <m/>
    <m/>
    <m/>
    <m/>
    <m/>
    <m/>
    <n v="1"/>
    <s v="TREM DE FORÇA"/>
    <x v="3"/>
    <s v="Corretivas"/>
    <n v="4.8605555556714535"/>
    <x v="1"/>
    <s v="NÃO EXP.MAE"/>
    <s v="NÃO"/>
    <n v="0"/>
    <n v="0"/>
    <n v="0"/>
    <x v="449"/>
    <d v="2026-10-04T02:08:44"/>
    <x v="1"/>
    <s v="202605203113"/>
    <s v="9000"/>
    <s v="HMC - Hora de Manutenção Corretiva"/>
    <s v="HMC - EXEC MANUT"/>
    <s v="Mãe"/>
    <x v="9"/>
    <s v="VAZAMENTO HIDRAULICO  202605203113   SUBSTITUIDO  VEDAÇÃO DA MANGUEIRA DE LUBRIFICAÇÃO DO CONVERSOR DE TORQUE."/>
    <s v="TREM DE FORCA"/>
    <s v="TRANSMISSAO"/>
    <s v="VEDACAO"/>
    <s v="AVARIA"/>
    <s v="SUBSTITUIR"/>
    <s v="Mecânica"/>
    <s v="Hidraulico Cavalo - Tanque Oleo"/>
    <s v="Vedacao"/>
  </r>
  <r>
    <n v="0"/>
    <m/>
    <m/>
    <m/>
    <m/>
    <m/>
    <m/>
    <m/>
    <m/>
    <m/>
    <m/>
    <m/>
    <m/>
    <n v="1"/>
    <s v="LOCOMOÇÃO"/>
    <x v="3"/>
    <s v="Man. Pneus"/>
    <n v="5.4997222222737037"/>
    <x v="1"/>
    <s v="NÃO EXP.MAE"/>
    <s v="NÃO"/>
    <n v="0"/>
    <n v="0"/>
    <n v="0"/>
    <x v="450"/>
    <d v="2026-10-05T10:56:09"/>
    <x v="1"/>
    <s v="202605222878"/>
    <s v="9010"/>
    <s v="HMC - Hora de Manutenção Corretiva"/>
    <s v="HMC - EXEC BORRACHARIA"/>
    <s v="Mãe"/>
    <x v="9"/>
    <s v="202605222878 - FALHA NA COMUNICAÇÃO DO SENSOR DO PNEU DD - SUBSTITUIDO SENSOR DO PNEU DIANTEIRO L/D."/>
    <s v="LOCOMOCAO"/>
    <s v=""/>
    <s v=""/>
    <s v=""/>
    <s v=""/>
    <s v="Borracharia"/>
    <s v="Locomocao - Roda Dd"/>
    <s v="Roda-Fixacao"/>
  </r>
  <r>
    <n v="0"/>
    <m/>
    <m/>
    <m/>
    <m/>
    <m/>
    <m/>
    <m/>
    <m/>
    <m/>
    <m/>
    <m/>
    <m/>
    <n v="1"/>
    <s v="ELETRICO"/>
    <x v="3"/>
    <s v="Corretivas"/>
    <n v="4.7547222222201526"/>
    <x v="1"/>
    <s v="NÃO EXP.MAE"/>
    <s v="NÃO"/>
    <n v="0"/>
    <n v="0"/>
    <n v="0"/>
    <x v="451"/>
    <d v="2026-01-09T21:51:08"/>
    <x v="2"/>
    <s v="202600159125"/>
    <s v="9000"/>
    <s v="HMC - Hora de Manutenção Corretiva"/>
    <s v="HMC - EXEC MANUT"/>
    <s v="Mãe"/>
    <x v="0"/>
    <s v="FALHA NA PARTIDA/ REALIZADO DUBLAGEM DAS BATERIAS 202600159125"/>
    <s v="ELETRICO"/>
    <s v="BATERIA"/>
    <s v="BATERIA"/>
    <s v="BAIXA TENSAO"/>
    <s v="DUBLAR"/>
    <s v="Elétrica"/>
    <s v="Eletrico - Bateria"/>
    <s v="Bateria-Carga"/>
  </r>
  <r>
    <n v="0"/>
    <m/>
    <m/>
    <m/>
    <m/>
    <m/>
    <m/>
    <m/>
    <m/>
    <m/>
    <m/>
    <m/>
    <m/>
    <n v="1"/>
    <s v="ELETRICO"/>
    <x v="3"/>
    <s v="Corretivas"/>
    <n v="1.7794444444589317"/>
    <x v="1"/>
    <s v="NÃO EXP.MAE"/>
    <s v="NÃO"/>
    <n v="0"/>
    <n v="0"/>
    <n v="0"/>
    <x v="452"/>
    <d v="2026-01-10T22:47:18"/>
    <x v="2"/>
    <s v="202600171215"/>
    <s v="9000"/>
    <s v="HMC - Hora de Manutenção Corretiva"/>
    <s v="HMC - EXEC MANUT"/>
    <s v="Mãe"/>
    <x v="0"/>
    <s v="FALHA NA PARTIDA - CORRIGIR ALIMENTAÇÃO DO SISTEMA DE PARTIDA - 202600171215"/>
    <s v="ELETRICO"/>
    <s v="BATERIA"/>
    <s v="BATERIA"/>
    <s v="BAIXA TENSAO"/>
    <s v="DUBLAR"/>
    <s v="Elétrica"/>
    <s v="Eletrico - Bateria"/>
    <s v="Bateria"/>
  </r>
  <r>
    <n v="0"/>
    <m/>
    <m/>
    <m/>
    <m/>
    <m/>
    <m/>
    <m/>
    <m/>
    <m/>
    <m/>
    <m/>
    <s v="NÃO"/>
    <n v="1"/>
    <s v="REVISÃO PREVENTIVA"/>
    <x v="4"/>
    <s v="Preventivas"/>
    <n v="0.74166666663950309"/>
    <x v="1"/>
    <s v="NÃO EXP.MAE"/>
    <s v="NÃO"/>
    <n v="0"/>
    <n v="0"/>
    <n v="0"/>
    <x v="453"/>
    <d v="2026-01-11T02:47:58"/>
    <x v="2"/>
    <m/>
    <s v="7116"/>
    <s v="MPS - Hora Manutenção Preventiva Sistemática"/>
    <s v="MPS - AG LOCOMOCAO"/>
    <s v="Mãe"/>
    <x v="0"/>
    <s v="PM: 1000h + 11 BL's"/>
    <s v="PREVENTIVA"/>
    <s v="10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1.969166666676756"/>
    <x v="1"/>
    <s v="NÃO EXP.MAE"/>
    <s v="NÃO"/>
    <n v="0"/>
    <n v="0"/>
    <n v="0"/>
    <x v="454"/>
    <d v="2026-01-11T04:46:07"/>
    <x v="2"/>
    <m/>
    <s v="7000"/>
    <s v="MPS - Hora Manutenção Preventiva Sistemática"/>
    <s v="MPS - EXEC MANUT"/>
    <s v="Mãe"/>
    <x v="0"/>
    <s v="PM: 1000h + 11 BL's"/>
    <s v="PREVENTIVA"/>
    <s v="10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4.0000000001164153"/>
    <x v="1"/>
    <s v="NÃO EXP.MAE"/>
    <s v="NÃO"/>
    <n v="0"/>
    <n v="0"/>
    <n v="0"/>
    <x v="455"/>
    <d v="2026-01-11T08:46:07"/>
    <x v="2"/>
    <m/>
    <s v="7011"/>
    <s v="MPS - Hora Manutenção Preventiva Sistemática"/>
    <s v="MPS - EXEC LAVADOR"/>
    <s v="Mãe"/>
    <x v="0"/>
    <s v="PM: 1000h + 11 BL's"/>
    <s v="PREVENTIVA"/>
    <s v="1000 HORAS"/>
    <m/>
    <m/>
    <m/>
    <m/>
    <m/>
    <m/>
  </r>
  <r>
    <n v="0"/>
    <m/>
    <m/>
    <m/>
    <m/>
    <m/>
    <m/>
    <m/>
    <m/>
    <m/>
    <m/>
    <m/>
    <s v="SIM"/>
    <n v="0"/>
    <s v="REVISÃO PREVENTIVA"/>
    <x v="4"/>
    <s v="Preventivas"/>
    <n v="7.0380555554875173"/>
    <x v="0"/>
    <s v="EXP.MAE"/>
    <s v="NÃO"/>
    <n v="0"/>
    <n v="0"/>
    <n v="0"/>
    <x v="456"/>
    <d v="2026-01-11T15:48:24"/>
    <x v="2"/>
    <m/>
    <s v="7011"/>
    <s v="MPS - Hora Manutenção Preventiva Sistemática"/>
    <s v="MPS - EXEC LAVADOR"/>
    <s v="Mãe"/>
    <x v="0"/>
    <s v="PM: 1000h + 11 BL's"/>
    <s v="PREVENTIVA"/>
    <s v="10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4.0933333334396593"/>
    <x v="1"/>
    <s v="NÃO EXP.MAE"/>
    <s v="NÃO"/>
    <n v="0"/>
    <n v="0"/>
    <n v="0"/>
    <x v="457"/>
    <d v="2026-01-11T19:54:00"/>
    <x v="2"/>
    <m/>
    <s v="7000"/>
    <s v="MPS - Hora Manutenção Preventiva Sistemática"/>
    <s v="MPS - EXEC MANUT"/>
    <s v="Mãe"/>
    <x v="0"/>
    <s v="PM: 1000h + 11 BL's"/>
    <s v="PREVENTIVA"/>
    <s v="10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2.0999999998603016"/>
    <x v="0"/>
    <s v="EXP.MAE"/>
    <s v="NÃO"/>
    <n v="0"/>
    <n v="0"/>
    <n v="0"/>
    <x v="458"/>
    <d v="2026-01-11T22:00:00"/>
    <x v="2"/>
    <m/>
    <s v="7000"/>
    <s v="MPS - Hora Manutenção Preventiva Sistemática"/>
    <s v="MPS - AG MAU TEMPO"/>
    <s v="Mãe"/>
    <x v="0"/>
    <s v="PM: 1000h + 11 BL's"/>
    <s v="PREVENTIVA"/>
    <s v="10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6"/>
    <x v="1"/>
    <s v="NÃO EXP.MAE"/>
    <s v="NÃO"/>
    <n v="0"/>
    <n v="0"/>
    <n v="0"/>
    <x v="459"/>
    <d v="2026-01-12T04:00:00"/>
    <x v="2"/>
    <m/>
    <s v="7000"/>
    <s v="MPS - Hora Manutenção Preventiva Sistemática"/>
    <s v="MPS - EXEC MANUT"/>
    <s v="Mãe"/>
    <x v="0"/>
    <s v="PM: 1000h + 11 BL's"/>
    <s v="PREVENTIVA"/>
    <s v="10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2.0000000000582077"/>
    <x v="0"/>
    <s v="EXP.MAE"/>
    <s v="NÃO"/>
    <n v="0"/>
    <n v="0"/>
    <n v="0"/>
    <x v="460"/>
    <d v="2026-01-12T06:00:00"/>
    <x v="2"/>
    <m/>
    <s v="7000"/>
    <s v="MPS - Hora Manutenção Preventiva Sistemática"/>
    <s v="MPS - AG LUBRIFICACAO"/>
    <s v="Mãe"/>
    <x v="0"/>
    <s v="PM: 1000h + 11 BL's"/>
    <s v="PREVENTIVA"/>
    <s v="10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10.183333333348855"/>
    <x v="1"/>
    <s v="NÃO EXP.MAE"/>
    <s v="NÃO"/>
    <n v="0"/>
    <n v="0"/>
    <n v="0"/>
    <x v="461"/>
    <d v="2026-01-12T16:11:00"/>
    <x v="2"/>
    <m/>
    <s v="7000"/>
    <s v="MPS - Hora Manutenção Preventiva Sistemática"/>
    <s v="MPS - EXEC MANUT"/>
    <s v="Mãe"/>
    <x v="0"/>
    <s v="PM: 1000h + 11 BL's"/>
    <s v="PREVENTIVA"/>
    <s v="10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1.2333333333372138"/>
    <x v="0"/>
    <s v="EXP.MAE"/>
    <s v="NÃO"/>
    <n v="0"/>
    <n v="0"/>
    <n v="0"/>
    <x v="462"/>
    <d v="2026-01-12T17:25:00"/>
    <x v="2"/>
    <m/>
    <s v="7000"/>
    <s v="MPS - Hora Manutenção Preventiva Sistemática"/>
    <s v="MPS - AG MAU TEMPO"/>
    <s v="Mãe"/>
    <x v="0"/>
    <s v="PM: 1000h + 11 BL's"/>
    <s v="PREVENTIVA"/>
    <s v="10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0.62277777772396803"/>
    <x v="1"/>
    <s v="NÃO EXP.MAE"/>
    <s v="NÃO"/>
    <n v="0"/>
    <n v="0"/>
    <n v="0"/>
    <x v="463"/>
    <d v="2026-01-12T18:02:22"/>
    <x v="2"/>
    <m/>
    <s v="7000"/>
    <s v="MPS - Hora Manutenção Preventiva Sistemática"/>
    <s v="MPS - EXEC MANUT"/>
    <s v="Mãe"/>
    <x v="0"/>
    <s v="PM: 1000h + 11 BL's"/>
    <s v="PREVENTIVA"/>
    <s v="1000 HORAS"/>
    <m/>
    <m/>
    <m/>
    <m/>
    <m/>
    <m/>
  </r>
  <r>
    <n v="0"/>
    <m/>
    <m/>
    <m/>
    <m/>
    <m/>
    <m/>
    <m/>
    <m/>
    <m/>
    <m/>
    <m/>
    <m/>
    <n v="1"/>
    <s v="AR CONDICIONADO"/>
    <x v="3"/>
    <s v="Corretivas"/>
    <n v="27.525555555475876"/>
    <x v="1"/>
    <s v="NÃO EXP.MAE"/>
    <s v="NÃO"/>
    <n v="0"/>
    <n v="0"/>
    <n v="0"/>
    <x v="464"/>
    <d v="2026-01-17T22:54:31"/>
    <x v="2"/>
    <s v="202600295294"/>
    <s v="9000"/>
    <s v="HMC - Hora de Manutenção Corretiva"/>
    <s v="HMC - EXEC MANUT"/>
    <s v="Mãe"/>
    <x v="0"/>
    <s v="FALHA NO AR CONDICIONADO - SUBSTITUIR COMPRESSOR - 202600295294 SUBSTITUIDO MANGUEIRA DE BAIXA PRESSÃO E COMPLETADO RECARGA DE GÁS  MATR 1150588"/>
    <s v="AR CONDICIONADO"/>
    <s v="COMPRESSOR"/>
    <s v="COMPRESSOR "/>
    <s v="VAZAMENTO"/>
    <s v="SUBSTITUIR"/>
    <s v="Mecânica"/>
    <s v="Ar Condicionado - Compressor"/>
    <s v="Compressor-Pressa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2.0138888889050577E-2"/>
    <n v="0"/>
    <n v="0"/>
    <x v="465"/>
    <d v="2026-01-17T10:00:00"/>
    <x v="2"/>
    <s v="202600295294"/>
    <s v="9000"/>
    <s v="HMC - Hora de Manutenção Corretiva"/>
    <s v="HMC - AG MAU TEMPO"/>
    <s v="Filha"/>
    <x v="0"/>
    <s v="FALHA NO AR CONDICIONADO - SUBSTITUIR COMPRESSOR - 202600295294 SUBSTITUIDO MANGUEIRA DE BAIXA PRESSÃO E COMPLETADO RECARGA DE GÁS  MATR 1150588"/>
    <s v="AR CONDICIONADO"/>
    <s v="COMPRESSOR"/>
    <s v="COMPRESSOR "/>
    <s v="VAZAMENTO"/>
    <s v="SUBSTITUIR"/>
    <s v="Mecânica"/>
    <s v="Ar Condicionado - Compressor"/>
    <s v="Compressor-Pressao"/>
  </r>
  <r>
    <n v="0"/>
    <m/>
    <m/>
    <m/>
    <m/>
    <m/>
    <m/>
    <m/>
    <m/>
    <m/>
    <m/>
    <m/>
    <m/>
    <n v="1"/>
    <s v="TREM DE FORÇA"/>
    <x v="3"/>
    <s v="Corretivas"/>
    <n v="2.4755555555457249"/>
    <x v="1"/>
    <s v="NÃO EXP.MAE"/>
    <s v="NÃO"/>
    <n v="0"/>
    <n v="0"/>
    <n v="0"/>
    <x v="466"/>
    <d v="2026-01-24T05:07:43"/>
    <x v="2"/>
    <s v="202600437333"/>
    <s v="9000"/>
    <s v="HMC - Hora de Manutenção Corretiva"/>
    <s v="HMC - EXEC MANUT"/>
    <s v="Mãe"/>
    <x v="0"/>
    <s v="BAIXO NIVEL DO OLEO DA TRANSMISSÃO - 202600437333 COMPLETADO NÍVEL DE ÓLEO DA TRANSMISSÃO MTR 1150588"/>
    <s v="TREM DE FORCA"/>
    <s v="LUBRIFICACAO"/>
    <s v="OLEO"/>
    <s v="BAIXO NIVEL"/>
    <s v="COMPLETAR"/>
    <s v="Mecânica"/>
    <s v="Elevacao - Tanque Oleo"/>
    <s v="Oleo-Nivel Baix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9.0000000003783498E-2"/>
    <n v="0"/>
    <n v="0"/>
    <x v="467"/>
    <d v="2026-01-24T04:59:36"/>
    <x v="2"/>
    <s v="202600437333"/>
    <s v="9000"/>
    <s v="HMC - Hora de Manutenção Corretiva"/>
    <s v="MPS - AG LUBRIFICACAO"/>
    <s v="Filha"/>
    <x v="0"/>
    <s v="BAIXO NIVEL DO OLEO DA TRANSMISSÃO - 202600437333 COMPLETADO NÍVEL DE ÓLEO DA TRANSMISSÃO MTR 1150588"/>
    <s v="TREM DE FORCA"/>
    <s v="LUBRIFICACAO"/>
    <s v="OLEO"/>
    <s v="BAIXO NIVEL"/>
    <s v="COMPLETAR"/>
    <s v="Mecânica"/>
    <s v="Elevacao - Tanque Oleo"/>
    <s v="Oleo-Nivel Baixo"/>
  </r>
  <r>
    <n v="0"/>
    <m/>
    <m/>
    <m/>
    <m/>
    <m/>
    <m/>
    <m/>
    <m/>
    <m/>
    <m/>
    <m/>
    <m/>
    <n v="1"/>
    <s v="LOCOMOÇÃO"/>
    <x v="4"/>
    <s v="Man. Pneus"/>
    <n v="8.6002777777612209"/>
    <x v="1"/>
    <s v="NÃO EXP.MAE"/>
    <s v="NÃO"/>
    <n v="0"/>
    <n v="0"/>
    <n v="0"/>
    <x v="468"/>
    <d v="2026-01-26T16:21:12"/>
    <x v="2"/>
    <m/>
    <s v="7010"/>
    <s v="MPS - Hora Manutenção Preventiva Sistemática"/>
    <s v="MPS - EXEC BORRACHARIA"/>
    <s v="Mãe"/>
    <x v="0"/>
    <s v="MACHINE GEN Started a delay: MPS - Exec borracharia"/>
    <s v="LOCOMOCAO"/>
    <m/>
    <m/>
    <m/>
    <m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0.15838844907557359"/>
    <n v="0"/>
    <n v="0"/>
    <x v="469"/>
    <d v="2026-01-26T16:21:12"/>
    <x v="2"/>
    <m/>
    <s v="7010"/>
    <s v="MPS - Hora Manutenção Preventiva Sistemática"/>
    <s v="MPS - EXEC BORRACHARIA"/>
    <s v="Filha"/>
    <x v="0"/>
    <s v="MACHINE GEN Started a delay: MPS - Exec borracharia"/>
    <s v="LOCOMOCAO"/>
    <m/>
    <m/>
    <m/>
    <m/>
    <m/>
    <m/>
    <m/>
  </r>
  <r>
    <n v="0"/>
    <m/>
    <m/>
    <m/>
    <m/>
    <m/>
    <m/>
    <m/>
    <m/>
    <m/>
    <m/>
    <m/>
    <m/>
    <n v="1"/>
    <s v="REVISÃO PREVENTIVA"/>
    <x v="4"/>
    <s v="Preventivas"/>
    <n v="2.7022222222876735"/>
    <x v="1"/>
    <s v="NÃO EXP.MAE"/>
    <s v="NÃO"/>
    <n v="0"/>
    <n v="0"/>
    <n v="0"/>
    <x v="470"/>
    <d v="2026-01-26T19:24:25"/>
    <x v="2"/>
    <m/>
    <s v="7000"/>
    <s v="MPS - Hora Manutenção Preventiva Sistemática"/>
    <s v="MPS - EXEC MANUT"/>
    <s v="Mãe"/>
    <x v="0"/>
    <s v="PM: 250h"/>
    <s v="PREVENTIVA"/>
    <s v="PITSTOP"/>
    <m/>
    <m/>
    <m/>
    <m/>
    <m/>
    <m/>
  </r>
  <r>
    <n v="0"/>
    <m/>
    <m/>
    <m/>
    <m/>
    <m/>
    <m/>
    <m/>
    <m/>
    <m/>
    <m/>
    <m/>
    <m/>
    <n v="1"/>
    <s v="COMUNICACAO"/>
    <x v="3"/>
    <s v="Acessórios"/>
    <n v="0.68305555562255904"/>
    <x v="0"/>
    <s v="EXP.MAE"/>
    <s v="NÃO"/>
    <n v="0"/>
    <n v="0"/>
    <n v="0"/>
    <x v="471"/>
    <d v="2026-01-27T03:05:58"/>
    <x v="2"/>
    <s v="202600479210"/>
    <s v="9032"/>
    <s v="HMC - Hora de Manutenção Corretiva"/>
    <s v="HMC - EXEC TERCEIROS TRABALHANDO"/>
    <s v="Mãe"/>
    <x v="0"/>
    <s v="FALHA NO GPS - 202600479210 - CORRIGIDO FALHA"/>
    <s v="COMUNICACAO"/>
    <s v="COMUNICACAO"/>
    <s v="GPS"/>
    <s v="FALHA"/>
    <s v="CORRIGIR"/>
    <s v="Tecnologia Telecom Global"/>
    <s v="Controller"/>
    <s v="Falha de Comunicação"/>
  </r>
  <r>
    <n v="0"/>
    <m/>
    <m/>
    <m/>
    <m/>
    <m/>
    <m/>
    <m/>
    <m/>
    <m/>
    <m/>
    <m/>
    <m/>
    <s v=""/>
    <s v=""/>
    <x v="2"/>
    <s v=""/>
    <s v=""/>
    <x v="2"/>
    <s v="EXP.MAE"/>
    <s v="NÃO"/>
    <n v="0"/>
    <n v="0"/>
    <n v="0"/>
    <x v="472"/>
    <d v="2026-01-27T15:27:36"/>
    <x v="2"/>
    <s v="202600496379"/>
    <s v="9000"/>
    <s v="HMC - Hora de Manutenção Corretiva"/>
    <s v="HMC - AG DETONACAO"/>
    <s v="Filha"/>
    <x v="0"/>
    <s v="VAZAMENTO NA MANGUEIRA DO FILTRO DE COMBUSTIVEL - SUBSTITUIR FILTRO SEPARADOR DE ÁGUA - 202600496379"/>
    <s v="MOTOR DE COMBUSTAO"/>
    <s v="COMBUSTIVEL"/>
    <s v="FILTRO SEPARADOR"/>
    <s v="AVARIA"/>
    <s v="SUBSTITUIR"/>
    <s v="Mecânica"/>
    <s v="Motor Combustao - Combustivel"/>
    <s v="Filtro Separador de Agua"/>
  </r>
  <r>
    <n v="0"/>
    <m/>
    <m/>
    <m/>
    <m/>
    <m/>
    <m/>
    <m/>
    <m/>
    <m/>
    <m/>
    <m/>
    <m/>
    <n v="1"/>
    <s v="MOTOR DE COMBUSTÃO"/>
    <x v="3"/>
    <s v="Corretivas"/>
    <n v="3.594722222245764"/>
    <x v="1"/>
    <s v="NÃO EXP.MAE"/>
    <s v="NÃO"/>
    <n v="0"/>
    <n v="0"/>
    <n v="0"/>
    <x v="473"/>
    <d v="2026-01-27T18:43:32"/>
    <x v="2"/>
    <s v="202600496379"/>
    <s v="9000"/>
    <s v="HMC - Hora de Manutenção Corretiva"/>
    <s v="HMC - EXEC MANUT"/>
    <s v="Mãe"/>
    <x v="0"/>
    <s v="VAZAMENTO NA MANGUEIRA DO FILTRO DE COMBUSTIVEL - SUBSTITUIR FILTRO SEPARADOR DE ÁGUA - 202600496379"/>
    <s v="MOTOR DE COMBUSTAO"/>
    <s v="COMBUSTIVEL"/>
    <s v="FILTRO SEPARADOR"/>
    <s v="AVARIA"/>
    <s v="SUBSTITUIR"/>
    <s v="Mecânica"/>
    <s v="Motor Combustao - Combustivel"/>
    <s v="Filtro Separador de Agua"/>
  </r>
  <r>
    <n v="0"/>
    <m/>
    <m/>
    <m/>
    <m/>
    <m/>
    <m/>
    <m/>
    <m/>
    <m/>
    <m/>
    <m/>
    <m/>
    <n v="1"/>
    <s v="LOCOMOÇÃO"/>
    <x v="1"/>
    <s v="Man. Pneus"/>
    <n v="0.99499999999534339"/>
    <x v="1"/>
    <s v="NÃO EXP.MAE"/>
    <s v="NÃO"/>
    <n v="0"/>
    <n v="0"/>
    <n v="0"/>
    <x v="474"/>
    <d v="2026-01-27T21:57:53"/>
    <x v="2"/>
    <m/>
    <s v="8010"/>
    <s v="MPNS - Hora Manutenção Preventiva não Sistemática"/>
    <s v="MPNS - EXEC BORRACHARIA"/>
    <s v="Mãe"/>
    <x v="0"/>
    <s v="CALIBRAR PNEU TEE"/>
    <s v="LOCOMOCAO"/>
    <m/>
    <m/>
    <m/>
    <m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1.8324583332287148E-2"/>
    <n v="0"/>
    <n v="0"/>
    <x v="475"/>
    <d v="2026-01-27T21:57:53"/>
    <x v="2"/>
    <m/>
    <s v="8010"/>
    <s v="MPNS - Hora Manutenção Preventiva não Sistemática"/>
    <s v="MPNS - EXEC BORRACHARIA"/>
    <s v="Filha"/>
    <x v="0"/>
    <s v="CALIBRAR PNEU TEE"/>
    <s v="LOCOMOCAO"/>
    <m/>
    <m/>
    <m/>
    <m/>
    <m/>
    <m/>
    <m/>
  </r>
  <r>
    <n v="0"/>
    <m/>
    <m/>
    <m/>
    <m/>
    <m/>
    <m/>
    <m/>
    <m/>
    <m/>
    <m/>
    <m/>
    <m/>
    <n v="1"/>
    <s v="INSPEÇÃO SENSITIVA"/>
    <x v="1"/>
    <s v="Inspeção"/>
    <n v="0.9030555555364117"/>
    <x v="1"/>
    <s v="NÃO EXP.MAE"/>
    <s v="NÃO"/>
    <n v="0"/>
    <n v="0"/>
    <n v="0"/>
    <x v="476"/>
    <d v="2026-01-29T11:19:01"/>
    <x v="2"/>
    <m/>
    <s v="8001"/>
    <s v="MPNS - Hora Manutenção Preventiva não Sistemática"/>
    <s v="MPNS - EXEC MECANICA"/>
    <s v="Mãe"/>
    <x v="0"/>
    <s v="MACHINE GEN Atraso iniciado: Refeicao"/>
    <s v="INSPEÇÃO"/>
    <m/>
    <m/>
    <m/>
    <m/>
    <m/>
    <m/>
    <m/>
  </r>
  <r>
    <n v="0"/>
    <m/>
    <m/>
    <m/>
    <m/>
    <m/>
    <m/>
    <m/>
    <m/>
    <m/>
    <m/>
    <m/>
    <m/>
    <n v="1"/>
    <s v="COMUNICACAO"/>
    <x v="1"/>
    <s v="Acessórios"/>
    <n v="3.5374999999185093"/>
    <x v="0"/>
    <s v="EXP.MAE"/>
    <s v="NÃO"/>
    <n v="0"/>
    <n v="0"/>
    <n v="0"/>
    <x v="477"/>
    <d v="2026-01-30T15:47:54"/>
    <x v="2"/>
    <m/>
    <s v="8032"/>
    <s v="MPNS - Hora Manutenção Preventiva não Sistemática"/>
    <s v="MPNS - EXEC TERCEIROS TRABALHANDO"/>
    <s v="Mãe"/>
    <x v="0"/>
    <s v="DIAGNOSTICAR FALHA DE COMUNICAÇÃO 202600558610"/>
    <s v="COMUNICACAO"/>
    <m/>
    <m/>
    <m/>
    <m/>
    <m/>
    <m/>
    <m/>
  </r>
  <r>
    <n v="0"/>
    <m/>
    <m/>
    <m/>
    <m/>
    <m/>
    <m/>
    <m/>
    <m/>
    <m/>
    <m/>
    <m/>
    <m/>
    <n v="1"/>
    <s v="DIRECAO"/>
    <x v="3"/>
    <s v="Corretivas"/>
    <n v="0.14055555558297783"/>
    <x v="1"/>
    <s v="NÃO EXP.MAE"/>
    <s v="NÃO"/>
    <n v="0"/>
    <n v="0"/>
    <n v="0"/>
    <x v="478"/>
    <d v="2026-02-03T21:51:14"/>
    <x v="2"/>
    <s v="202600625397"/>
    <s v="9000"/>
    <s v="HMC - Hora de Manutenção Corretiva"/>
    <s v="HMC - EXEC MANUT"/>
    <s v="Mãe"/>
    <x v="1"/>
    <s v="BAIXO NIVEL DO OLEO DA DIREÇÃO - COMPLETAR ÓLEO D AC DIREÇÃO E VERIFICAR NÍVEIS - 202600625397"/>
    <s v="DIRECAO"/>
    <s v="TANQUE HIDRAULICO"/>
    <s v="OLEO"/>
    <s v="BAIXO NIVEL"/>
    <s v="COMPLETAR"/>
    <s v="Mecânica"/>
    <s v="Direcao - Hidraulico"/>
    <s v="Bomba de Oleo"/>
  </r>
  <r>
    <n v="0"/>
    <m/>
    <m/>
    <m/>
    <m/>
    <m/>
    <m/>
    <m/>
    <m/>
    <m/>
    <m/>
    <m/>
    <m/>
    <n v="0"/>
    <s v="DIRECAO"/>
    <x v="3"/>
    <s v="Corretivas"/>
    <n v="1.627222222276032"/>
    <x v="1"/>
    <s v="NÃO EXP.MAE"/>
    <s v="NÃO"/>
    <n v="0"/>
    <n v="0"/>
    <n v="0"/>
    <x v="479"/>
    <d v="2026-02-03T23:28:52"/>
    <x v="2"/>
    <s v="202600625397"/>
    <s v="9000"/>
    <s v="HMC - Hora de Manutenção Corretiva"/>
    <s v="HMC - EXEC MANUT"/>
    <s v="Mãe"/>
    <x v="1"/>
    <s v="BAIXO NIVEL DO OLEO DA DIREÇÃO - COMPLETAR ÓLEO D AC DIREÇÃO E VERIFICAR NÍVEIS - 202600625397"/>
    <s v="DIRECAO"/>
    <s v="TANQUE HIDRAULICO"/>
    <s v="OLEO"/>
    <s v="BAIXO NIVEL"/>
    <s v="COMPLETAR"/>
    <s v="Mecânica"/>
    <s v="Direcao - Hidraulico"/>
    <s v="Bomba de Oleo"/>
  </r>
  <r>
    <n v="0"/>
    <m/>
    <m/>
    <m/>
    <m/>
    <m/>
    <m/>
    <m/>
    <m/>
    <m/>
    <m/>
    <m/>
    <m/>
    <n v="1"/>
    <s v="ELEVAÇÃO"/>
    <x v="3"/>
    <s v="Corretivas"/>
    <n v="3.4897222221479751"/>
    <x v="1"/>
    <s v="NÃO EXP.MAE"/>
    <s v="NÃO"/>
    <n v="0"/>
    <n v="0"/>
    <n v="0"/>
    <x v="480"/>
    <d v="2026-02-05T23:53:54"/>
    <x v="2"/>
    <s v="202600677276"/>
    <s v="9000"/>
    <s v="HMC - Hora de Manutenção Corretiva"/>
    <s v="HMC - EXEC MANUT"/>
    <s v="Mãe"/>
    <x v="1"/>
    <s v="FALHA NA BASCULA - 202600677276 REALIZADO REGULAGEM DA BOMBA PRINCIPAL MT: 2201636"/>
    <s v="ELEVACAO"/>
    <s v="BOMBA DE ELEVACAO"/>
    <s v="BOMBA"/>
    <s v="AJUSTE"/>
    <s v="AJUSTAR"/>
    <m/>
    <m/>
    <m/>
  </r>
  <r>
    <n v="0"/>
    <m/>
    <m/>
    <m/>
    <m/>
    <m/>
    <m/>
    <m/>
    <m/>
    <m/>
    <m/>
    <m/>
    <s v="NÃO"/>
    <n v="1"/>
    <s v="LOCOMOÇÃO"/>
    <x v="1"/>
    <s v="Man. Pneus"/>
    <n v="0.12083333329064772"/>
    <x v="1"/>
    <s v="NÃO EXP.MAE"/>
    <s v="NÃO"/>
    <n v="0"/>
    <n v="0"/>
    <n v="0"/>
    <x v="481"/>
    <d v="2026-02-08T01:35:08"/>
    <x v="2"/>
    <m/>
    <s v="8116"/>
    <s v="MPNS - Hora Manutenção Preventiva não Sistemática"/>
    <s v="MPNS - AG LOCOMOCAO"/>
    <s v="Mãe"/>
    <x v="1"/>
    <m/>
    <s v="LOCOMOCAO"/>
    <m/>
    <m/>
    <m/>
    <m/>
    <m/>
    <m/>
    <m/>
  </r>
  <r>
    <n v="0"/>
    <m/>
    <m/>
    <m/>
    <m/>
    <m/>
    <m/>
    <m/>
    <m/>
    <m/>
    <m/>
    <m/>
    <m/>
    <n v="0"/>
    <s v="LOCOMOÇÃO"/>
    <x v="1"/>
    <s v="Man. Pneus"/>
    <n v="0.42111111123813316"/>
    <x v="1"/>
    <s v="NÃO EXP.MAE"/>
    <s v="NÃO"/>
    <n v="0"/>
    <n v="0"/>
    <n v="0"/>
    <x v="482"/>
    <d v="2026-02-08T02:00:24"/>
    <x v="2"/>
    <m/>
    <s v="8010"/>
    <s v="MPNS - Hora Manutenção Preventiva não Sistemática"/>
    <s v="MPNS - EXEC BORRACHARIA"/>
    <s v="Mãe"/>
    <x v="1"/>
    <m/>
    <s v="LOCOMOCAO"/>
    <m/>
    <m/>
    <m/>
    <m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1.2370141499559395E-2"/>
    <n v="0"/>
    <n v="0"/>
    <x v="483"/>
    <d v="2026-02-08T02:00:24"/>
    <x v="2"/>
    <m/>
    <s v="8010"/>
    <s v="MPNS - Hora Manutenção Preventiva não Sistemática"/>
    <s v="MPNS - EXEC BORRACHARIA"/>
    <s v="Filha"/>
    <x v="1"/>
    <m/>
    <s v="LOCOMOCAO"/>
    <m/>
    <m/>
    <m/>
    <m/>
    <m/>
    <m/>
    <m/>
  </r>
  <r>
    <n v="0"/>
    <m/>
    <m/>
    <m/>
    <m/>
    <m/>
    <m/>
    <m/>
    <m/>
    <m/>
    <m/>
    <m/>
    <m/>
    <n v="1"/>
    <s v="DIRECAO"/>
    <x v="3"/>
    <s v="Corretivas"/>
    <n v="11.855555555492174"/>
    <x v="1"/>
    <s v="NÃO EXP.MAE"/>
    <s v="NÃO"/>
    <n v="0"/>
    <n v="0"/>
    <n v="0"/>
    <x v="484"/>
    <d v="2026-02-08T16:10:03"/>
    <x v="2"/>
    <s v="202600712545"/>
    <s v="9000"/>
    <s v="HMC - Hora de Manutenção Corretiva"/>
    <s v="HMC - EXEC MANUT"/>
    <s v="Mãe"/>
    <x v="1"/>
    <s v="TM_3 - ALARME BAIXO NÍVEL DO ÓLEO DA DIREÇÃO - 202600712545 - REALIZAR SUBSTITUIÇÃO DE MANGUEIRA  DA VÁLVULA DOS ACUMULADORES E FILTPR E COMPLETAR ÓLEO DA DIREÇÃO - SUBSTITUIDO MANGUEIRA DE DIREÇÃO DO"/>
    <s v="DIRECAO"/>
    <s v="ACUMULADOR"/>
    <s v="MANGUEIRA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9.0279999996710103E-2"/>
    <n v="0"/>
    <n v="0"/>
    <x v="485"/>
    <d v="2026-02-08T15:40:00"/>
    <x v="2"/>
    <s v="202600712545"/>
    <s v="9000"/>
    <s v="HMC - Hora de Manutenção Corretiva"/>
    <s v="HMC - AG LUBRIFICACAO"/>
    <s v="Filha"/>
    <x v="1"/>
    <s v="TM_3 - ALARME BAIXO NÍVEL DO ÓLEO DA DIREÇÃO - 202600712545 - REALIZAR SUBSTITUIÇÃO DE MANGUEIRA  DA VÁLVULA DOS ACUMULADORES E FILTPR E COMPLETAR ÓLEO DA DIREÇÃO - SUBSTITUIDO MANGUEIRA DE DIREÇÃO DO"/>
    <s v="DIRECAO"/>
    <s v="ACUMULADOR"/>
    <s v="MANGUEIRA"/>
    <s v="AVARIA"/>
    <s v="SUBSTITUIR"/>
    <m/>
    <m/>
    <m/>
  </r>
  <r>
    <n v="0"/>
    <m/>
    <m/>
    <m/>
    <m/>
    <m/>
    <m/>
    <m/>
    <m/>
    <m/>
    <m/>
    <m/>
    <m/>
    <n v="1"/>
    <s v="COMUNICACAO"/>
    <x v="1"/>
    <s v="Acessórios"/>
    <n v="1.0847222222364508"/>
    <x v="0"/>
    <s v="EXP.MAE"/>
    <s v="NÃO"/>
    <n v="0"/>
    <n v="0"/>
    <n v="0"/>
    <x v="486"/>
    <d v="2026-02-10T17:20:18"/>
    <x v="2"/>
    <m/>
    <s v="8032"/>
    <s v="MPNS - Hora Manutenção Preventiva não Sistemática"/>
    <s v="MPNS - EXEC TERCEIROS TRABALHANDO"/>
    <s v="Mãe"/>
    <x v="1"/>
    <s v="MACHINE GEN Started a delay: MPNS - Exec terceiros trabalhando"/>
    <s v="COMUNICACAO"/>
    <m/>
    <m/>
    <m/>
    <m/>
    <m/>
    <m/>
    <m/>
  </r>
  <r>
    <n v="0"/>
    <m/>
    <m/>
    <m/>
    <m/>
    <m/>
    <m/>
    <m/>
    <m/>
    <m/>
    <m/>
    <m/>
    <m/>
    <n v="1"/>
    <s v="ELETRICO"/>
    <x v="3"/>
    <s v="Corretivas"/>
    <n v="7.342222222185228"/>
    <x v="1"/>
    <s v="NÃO EXP.MAE"/>
    <s v="NÃO"/>
    <n v="0"/>
    <n v="0"/>
    <n v="0"/>
    <x v="487"/>
    <d v="2026-02-11T02:11:44"/>
    <x v="2"/>
    <s v="202600762214"/>
    <s v="9000"/>
    <s v="HMC - Hora de Manutenção Corretiva"/>
    <s v="HMC - EXEC MANUT"/>
    <s v="Mãe"/>
    <x v="1"/>
    <s v="FALHA NA ALIMENTAÇÃO DAS LUZES DE POSIÇÃO - 202600762214  SUBSTITUIDO FUSÍVEIS DE ALIMENTAÇÃO, DETECT, SENSORES DE PRESSÃO DOS FREIOS, E SUBSTITUÍDO  RELÉ E FUSÍVEL DAS LUZES DE POSIÇÃO  MT:2201636"/>
    <s v="ELETRICO"/>
    <s v="SINALIZACAO"/>
    <s v="RELE"/>
    <s v="AVARIA"/>
    <s v="SUBSTITUIR"/>
    <m/>
    <m/>
    <m/>
  </r>
  <r>
    <n v="0"/>
    <m/>
    <m/>
    <m/>
    <m/>
    <m/>
    <m/>
    <m/>
    <m/>
    <m/>
    <m/>
    <m/>
    <m/>
    <n v="1"/>
    <s v="LOCOMOÇÃO"/>
    <x v="3"/>
    <s v="Man. Pneus"/>
    <n v="0.70305555558297783"/>
    <x v="1"/>
    <s v="NÃO EXP.MAE"/>
    <s v="NÃO"/>
    <n v="0"/>
    <n v="0"/>
    <n v="0"/>
    <x v="488"/>
    <d v="2026-02-11T04:32:13"/>
    <x v="2"/>
    <s v="202600775776"/>
    <s v="9010"/>
    <s v="HMC - Hora de Manutenção Corretiva"/>
    <s v="HMC - EXEC BORRACHARIA"/>
    <s v="Mãe"/>
    <x v="1"/>
    <s v="BAIXA PRESSÃO  DO PNEU (TEI) E (TDE)  - 202600775776 CALIBRADO PNEU TEI  e TDE  MT:81036838"/>
    <s v="LOCOMOCAO"/>
    <s v="RODA TEI"/>
    <s v="PNEU"/>
    <s v="BAIXA PRESSAO"/>
    <s v="CALIBRAR"/>
    <s v="Borracharia"/>
    <s v="Locomocao - Roda Tei"/>
    <s v="Pneu-Pressao"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2.0652270002756268E-2"/>
    <n v="0"/>
    <n v="0"/>
    <x v="489"/>
    <d v="2026-02-11T04:32:13"/>
    <x v="2"/>
    <s v="202600775776"/>
    <s v="9010"/>
    <s v="HMC - Hora de Manutenção Corretiva"/>
    <s v="HMC - EXEC BORRACHARIA"/>
    <s v="Filha"/>
    <x v="1"/>
    <s v="BAIXA PRESSÃO  DO PNEU (TEI) E (TDE)  - 202600775776 CALIBRADO PNEU TEI  e TDE  MT:81036838"/>
    <s v="LOCOMOCAO"/>
    <s v="RODA TEI"/>
    <s v="PNEU"/>
    <s v="BAIXA PRESSAO"/>
    <s v="CALIBRAR"/>
    <s v="Borracharia"/>
    <s v="Locomocao - Roda Tei"/>
    <s v="Pneu-Pressao"/>
  </r>
  <r>
    <n v="0"/>
    <m/>
    <m/>
    <m/>
    <m/>
    <m/>
    <m/>
    <m/>
    <m/>
    <m/>
    <m/>
    <m/>
    <m/>
    <n v="1"/>
    <s v="MOTOR DE COMBUSTÃO"/>
    <x v="3"/>
    <s v="Corretivas"/>
    <n v="2.8713888888596557"/>
    <x v="1"/>
    <s v="NÃO EXP.MAE"/>
    <s v="NÃO"/>
    <n v="0"/>
    <n v="0"/>
    <n v="0"/>
    <x v="490"/>
    <d v="2026-02-14T16:33:54"/>
    <x v="2"/>
    <s v="202600843902"/>
    <s v="9000"/>
    <s v="HMC - Hora de Manutenção Corretiva"/>
    <s v="HMC - EXEC MANUT"/>
    <s v="Mãe"/>
    <x v="1"/>
    <s v="FALHA DO LÍQUIDO ARREFECEDOR - DESLIGAMENTRO INVOLUNTARIO - 202600843902  ABASTECIDO 200L DE LÍQUIDO DE ARREFECEDOR."/>
    <s v="MOTOR DE COMBUSTAO"/>
    <s v="ARREFECIMENTO"/>
    <s v="LIQUIDO ARREFECIMENTO"/>
    <s v="BAIXO NIVEL"/>
    <s v="COMPLETAR"/>
    <s v="Mecânica"/>
    <s v="Motor Combustao - Arrefecimento"/>
    <s v="Liquido Arrefecimento-Nivel"/>
  </r>
  <r>
    <n v="0"/>
    <m/>
    <m/>
    <m/>
    <m/>
    <m/>
    <m/>
    <m/>
    <m/>
    <m/>
    <m/>
    <m/>
    <m/>
    <s v=""/>
    <s v=""/>
    <x v="2"/>
    <s v=""/>
    <s v=""/>
    <x v="2"/>
    <s v="NÃO EXP.MAE"/>
    <s v="SIM"/>
    <n v="4.8611111109494232E-2"/>
    <n v="0"/>
    <n v="0"/>
    <x v="491"/>
    <d v="2026-02-14T16:20:00"/>
    <x v="2"/>
    <s v="202600843902"/>
    <s v="9000"/>
    <s v="HMC - Hora de Manutenção Corretiva"/>
    <s v="HMC - AG LUBRIFICACAO"/>
    <s v="Filha"/>
    <x v="1"/>
    <s v="FALHA DO LÍQUIDO ARREFECEDOR - DESLIGAMENTRO INVOLUNTARIO - 202600843902  ABASTECIDO 200L DE LÍQUIDO DE ARREFECEDOR."/>
    <s v="MOTOR DE COMBUSTAO"/>
    <s v="ARREFECIMENTO"/>
    <s v="LIQUIDO ARREFECIMENTO"/>
    <s v="BAIXO NIVEL"/>
    <s v="COMPLETAR"/>
    <s v="Mecânica"/>
    <s v="Motor Combustao - Arrefecimento"/>
    <s v="Liquido Arrefecimento-Nivel"/>
  </r>
  <r>
    <n v="0"/>
    <m/>
    <m/>
    <m/>
    <m/>
    <m/>
    <m/>
    <m/>
    <m/>
    <m/>
    <m/>
    <m/>
    <s v="NÃO"/>
    <n v="1"/>
    <s v="REVISÃO PREVENTIVA"/>
    <x v="4"/>
    <s v="Preventivas"/>
    <n v="0.25250000000232831"/>
    <x v="1"/>
    <s v="NÃO EXP.MAE"/>
    <s v="NÃO"/>
    <n v="0"/>
    <n v="0"/>
    <n v="0"/>
    <x v="492"/>
    <d v="2026-02-15T01:19:44"/>
    <x v="2"/>
    <m/>
    <s v="7116"/>
    <s v="MPS - Hora Manutenção Preventiva Sistemática"/>
    <s v="MPS - AG LOCOMOCAO"/>
    <s v="Mãe"/>
    <x v="1"/>
    <s v="PM 500h + 08 BL´s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3.2374999999883585"/>
    <x v="1"/>
    <s v="NÃO EXP.MAE"/>
    <s v="NÃO"/>
    <n v="0"/>
    <n v="0"/>
    <n v="0"/>
    <x v="493"/>
    <d v="2026-02-15T04:33:59"/>
    <x v="2"/>
    <m/>
    <s v="7000"/>
    <s v="MPS - Hora Manutenção Preventiva Sistemática"/>
    <s v="MPS - EXEC MANUT"/>
    <s v="Mãe"/>
    <x v="1"/>
    <s v="PM 500h + 08 BL´s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3.4458333333022892"/>
    <x v="0"/>
    <s v="EXP.MAE"/>
    <s v="NÃO"/>
    <n v="0"/>
    <n v="0"/>
    <n v="0"/>
    <x v="494"/>
    <d v="2026-02-15T08:00:44"/>
    <x v="2"/>
    <m/>
    <s v="7111"/>
    <s v="MPS - Hora Manutenção Preventiva Sistemática"/>
    <s v="MPS - AG LAVADOR"/>
    <s v="Mãe"/>
    <x v="1"/>
    <s v="PM 500h + 08 BL´s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4.0000000001164153"/>
    <x v="1"/>
    <s v="NÃO EXP.MAE"/>
    <s v="NÃO"/>
    <n v="0"/>
    <n v="0"/>
    <n v="0"/>
    <x v="495"/>
    <d v="2026-02-15T12:00:44"/>
    <x v="2"/>
    <m/>
    <s v="7011"/>
    <s v="MPS - Hora Manutenção Preventiva Sistemática"/>
    <s v="MPS - EXEC LAVADOR"/>
    <s v="Mãe"/>
    <x v="1"/>
    <s v="PM 500h + 08 BL´s"/>
    <s v="PREVENTIVA"/>
    <s v="500 HORAS"/>
    <m/>
    <m/>
    <m/>
    <m/>
    <m/>
    <m/>
  </r>
  <r>
    <n v="0"/>
    <m/>
    <m/>
    <m/>
    <m/>
    <m/>
    <m/>
    <m/>
    <m/>
    <m/>
    <m/>
    <m/>
    <s v="SIM"/>
    <n v="0"/>
    <s v="REVISÃO PREVENTIVA"/>
    <x v="4"/>
    <s v="Preventivas"/>
    <n v="0.70138888887595385"/>
    <x v="0"/>
    <s v="EXP.MAE"/>
    <s v="NÃO"/>
    <n v="0"/>
    <n v="0"/>
    <n v="0"/>
    <x v="496"/>
    <d v="2026-02-15T12:42:49"/>
    <x v="2"/>
    <m/>
    <s v="7011"/>
    <s v="MPS - Hora Manutenção Preventiva Sistemática"/>
    <s v="MPS - EXEC LAVADOR"/>
    <s v="Mãe"/>
    <x v="1"/>
    <s v="PM 500h + 08 BL´s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16.486388888850342"/>
    <x v="1"/>
    <s v="NÃO EXP.MAE"/>
    <s v="NÃO"/>
    <n v="0"/>
    <n v="0"/>
    <n v="0"/>
    <x v="497"/>
    <d v="2026-02-16T05:12:00"/>
    <x v="2"/>
    <m/>
    <s v="7000"/>
    <s v="MPS - Hora Manutenção Preventiva Sistemática"/>
    <s v="MPS - EXEC MANUT"/>
    <s v="Mãe"/>
    <x v="1"/>
    <s v="PM 500h + 08 BL´s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4.4833333332790062"/>
    <x v="0"/>
    <s v="EXP.MAE"/>
    <s v="NÃO"/>
    <n v="0"/>
    <n v="0"/>
    <n v="0"/>
    <x v="498"/>
    <d v="2026-02-16T09:41:00"/>
    <x v="2"/>
    <m/>
    <s v="7000"/>
    <s v="MPS - Hora Manutenção Preventiva Sistemática"/>
    <s v="MPS - AG LUBRIFICACAO"/>
    <s v="Mãe"/>
    <x v="1"/>
    <s v="PM 500h + 08 BL´s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3.2472222222131677"/>
    <x v="1"/>
    <s v="NÃO EXP.MAE"/>
    <s v="NÃO"/>
    <n v="0"/>
    <n v="0"/>
    <n v="0"/>
    <x v="499"/>
    <d v="2026-02-16T12:55:50"/>
    <x v="2"/>
    <m/>
    <s v="7000"/>
    <s v="MPS - Hora Manutenção Preventiva Sistemática"/>
    <s v="MPS - EXEC MANUT"/>
    <s v="Mãe"/>
    <x v="1"/>
    <s v="PM 500h + 08 BL´s"/>
    <s v="PREVENTIVA"/>
    <s v="500 HORAS"/>
    <m/>
    <m/>
    <m/>
    <m/>
    <m/>
    <m/>
  </r>
  <r>
    <n v="0"/>
    <m/>
    <m/>
    <m/>
    <m/>
    <m/>
    <m/>
    <m/>
    <m/>
    <m/>
    <m/>
    <m/>
    <s v="NÃO"/>
    <n v="1"/>
    <s v="LOCOMOÇÃO"/>
    <x v="4"/>
    <s v="Man. Pneus"/>
    <n v="0.75611111096804962"/>
    <x v="1"/>
    <s v="NÃO EXP.MAE"/>
    <s v="NÃO"/>
    <n v="0"/>
    <n v="0"/>
    <n v="0"/>
    <x v="500"/>
    <d v="2026-02-16T13:51:27"/>
    <x v="2"/>
    <m/>
    <s v="7116"/>
    <s v="MPS - Hora Manutenção Preventiva Sistemática"/>
    <s v="MPS - AG LOCOMOCAO"/>
    <s v="Mãe"/>
    <x v="1"/>
    <m/>
    <s v="LOCOMOCAO"/>
    <s v="LOCOMOCAO"/>
    <s v="LOCOMOCAO"/>
    <s v="LOCOMOCAO"/>
    <s v="LOCOMOCAO"/>
    <m/>
    <m/>
    <m/>
  </r>
  <r>
    <n v="0"/>
    <m/>
    <m/>
    <m/>
    <m/>
    <m/>
    <m/>
    <m/>
    <m/>
    <m/>
    <m/>
    <n v="0"/>
    <m/>
    <n v="0"/>
    <s v="LOCOMOÇÃO"/>
    <x v="4"/>
    <s v="Man. Pneus"/>
    <n v="15.263888888934162"/>
    <x v="1"/>
    <s v="NÃO EXP.MAE"/>
    <s v="NÃO"/>
    <n v="0"/>
    <n v="0"/>
    <n v="0"/>
    <x v="501"/>
    <d v="2026-02-17T05:10:53"/>
    <x v="2"/>
    <m/>
    <s v="7010"/>
    <s v="MPS - Hora Manutenção Preventiva Sistemática"/>
    <s v="MPS - EXEC BORRACHARIA"/>
    <s v="Mãe"/>
    <x v="1"/>
    <s v="TROCA DE PNEU"/>
    <s v="LOCOMOCAO"/>
    <s v="LOCOMOCAO"/>
    <s v="LOCOMOCAO"/>
    <s v="LOCOMOCAO"/>
    <s v="LOCOMOCAO"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0.44837675699818647"/>
    <n v="0"/>
    <n v="0"/>
    <x v="502"/>
    <d v="2026-02-17T05:10:53"/>
    <x v="2"/>
    <m/>
    <s v="7010"/>
    <s v="MPS - Hora Manutenção Preventiva Sistemática"/>
    <s v="MPS - EXEC BORRACHARIA"/>
    <s v="Filha"/>
    <x v="1"/>
    <s v="TROCA DE PNEU"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SISTEMA DE FREIO"/>
    <x v="3"/>
    <s v="Corretivas"/>
    <n v="16.28194444446126"/>
    <x v="1"/>
    <s v="NÃO EXP.MAE"/>
    <s v="NÃO"/>
    <n v="0"/>
    <n v="0"/>
    <n v="0"/>
    <x v="503"/>
    <d v="2026-02-18T01:24:56"/>
    <x v="2"/>
    <s v="202600884981"/>
    <s v="9000"/>
    <s v="HMC - Hora de Manutenção Corretiva"/>
    <s v="HMC - EXEC MANUT"/>
    <s v="Mãe"/>
    <x v="1"/>
    <s v="BAIXA PRESSÃO NA BOMBA DE COMANDO DO FREIO -202600884981  SUBSTITUIDO REPARO DE ACUMULADOR DE FREIO MT:1150588"/>
    <s v="FRENAGEM"/>
    <s v="ACUMULADOR"/>
    <s v="ACUMULADOR"/>
    <s v="BAIXA PRESSAO"/>
    <s v="SUBSTITUIR"/>
    <s v="Mecânica"/>
    <s v="Frenagem - Freio"/>
    <s v="Bomba"/>
  </r>
  <r>
    <n v="0"/>
    <m/>
    <m/>
    <m/>
    <m/>
    <m/>
    <m/>
    <m/>
    <m/>
    <m/>
    <m/>
    <m/>
    <m/>
    <n v="1"/>
    <s v="SISTEMA DE FREIO"/>
    <x v="3"/>
    <s v="Corretivas"/>
    <n v="6.8138888888061047"/>
    <x v="1"/>
    <s v="NÃO EXP.MAE"/>
    <s v="NÃO"/>
    <n v="0"/>
    <n v="0"/>
    <n v="0"/>
    <x v="504"/>
    <d v="2026-02-18T13:24:34"/>
    <x v="2"/>
    <s v="202600908381"/>
    <s v="9000"/>
    <s v="HMC - Hora de Manutenção Corretiva"/>
    <s v="HMC - EXEC MANUT"/>
    <s v="Mãe"/>
    <x v="1"/>
    <s v="COMANDO ALTO DA BOMBA DE FREIO. - 202600908381   SUBSTITUIDO SOLENOIDE DO FREIO DIANTEIRO E TRASEIRO."/>
    <s v="FRENAGEM"/>
    <s v="BOMBA DE FREIO"/>
    <s v="SOLENOIDE"/>
    <s v="AVARIA"/>
    <s v="SUBSTITUIR"/>
    <s v="Elétrica"/>
    <s v="Eletrico - Frenagem"/>
    <s v="Valvula Solenoide de Estacionamento"/>
  </r>
  <r>
    <n v="0"/>
    <m/>
    <m/>
    <m/>
    <m/>
    <m/>
    <m/>
    <m/>
    <m/>
    <m/>
    <m/>
    <m/>
    <m/>
    <n v="1"/>
    <s v="SISTEMA DE FREIO"/>
    <x v="3"/>
    <s v="Corretivas"/>
    <n v="2.1766666666371748"/>
    <x v="1"/>
    <s v="NÃO EXP.MAE"/>
    <s v="NÃO"/>
    <n v="0"/>
    <n v="0"/>
    <n v="0"/>
    <x v="505"/>
    <d v="2026-02-18T16:24:01"/>
    <x v="2"/>
    <s v="202600908381"/>
    <s v="9000"/>
    <s v="HMC - Hora de Manutenção Corretiva"/>
    <s v="HMC - EXEC MANUT"/>
    <s v="Mãe"/>
    <x v="1"/>
    <s v="BAIXA PRESSÃO NA BOMBA DO FREIO.- 202600908381 AJUSTE DA PRESSÃO DA BOMBA DE FREIO."/>
    <s v="FRENAGEM"/>
    <s v="BOMBA DE FREIO"/>
    <s v="BOMBA"/>
    <s v="AJUSTE"/>
    <s v="AJUSTAR"/>
    <s v="Mecânica"/>
    <s v="Frenagem - Bomba"/>
    <s v="Vedaca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2.4305555554747116E-2"/>
    <n v="0"/>
    <n v="0"/>
    <x v="506"/>
    <d v="2026-02-18T14:51:00"/>
    <x v="2"/>
    <s v="202600908381"/>
    <s v="9000"/>
    <s v="HMC - Hora de Manutenção Corretiva"/>
    <s v="HMC - AG MAU TEMPO"/>
    <s v="Filha"/>
    <x v="1"/>
    <s v="BAIXA PRESSÃO NA BOMBA DO FREIO.- 202600908381 AJUSTE DA PRESSÃO DA BOMBA DE FREIO."/>
    <s v="FRENAGEM"/>
    <s v="BOMBA DE FREIO"/>
    <s v="BOMBA"/>
    <s v="AJUSTE"/>
    <s v="AJUSTAR"/>
    <s v="Mecânica"/>
    <s v="Frenagem - Bomba"/>
    <s v="Vedacao"/>
  </r>
  <r>
    <n v="0"/>
    <m/>
    <m/>
    <m/>
    <m/>
    <m/>
    <m/>
    <m/>
    <m/>
    <m/>
    <m/>
    <m/>
    <m/>
    <n v="1"/>
    <s v="DIRECAO"/>
    <x v="3"/>
    <s v="Corretivas"/>
    <n v="3.27916666661622"/>
    <x v="1"/>
    <s v="NÃO EXP.MAE"/>
    <s v="NÃO"/>
    <n v="0"/>
    <n v="0"/>
    <n v="0"/>
    <x v="507"/>
    <d v="2026-02-20T20:23:41"/>
    <x v="2"/>
    <s v="202600952628"/>
    <s v="9000"/>
    <s v="HMC - Hora de Manutenção Corretiva"/>
    <s v="HMC - EXEC MANUT"/>
    <s v="Mãe"/>
    <x v="1"/>
    <s v="TM_3 - ALARME BAIXO NÍVEL DE ÓLEO DA DIREÇÃO - REALIZADO INSPEÇÃO E COMPLETAR NÍVEIS - 202600952628"/>
    <s v="DIRECAO"/>
    <s v="TANQUE HIDRAULICO"/>
    <s v="OLEO"/>
    <s v="BAIXO NIVEL"/>
    <s v="COMPLETAR"/>
    <s v="Mecânica"/>
    <s v="Direcao - Hidraulico"/>
    <s v="Acumulador"/>
  </r>
  <r>
    <n v="0"/>
    <m/>
    <m/>
    <m/>
    <m/>
    <m/>
    <m/>
    <m/>
    <m/>
    <m/>
    <m/>
    <m/>
    <m/>
    <n v="1"/>
    <s v="DIRECAO"/>
    <x v="3"/>
    <s v="Corretivas"/>
    <n v="8.1655555555480532"/>
    <x v="1"/>
    <s v="NÃO EXP.MAE"/>
    <s v="NÃO"/>
    <n v="0"/>
    <n v="0"/>
    <n v="0"/>
    <x v="508"/>
    <d v="2026-02-23T13:16:49"/>
    <x v="2"/>
    <m/>
    <s v="9000"/>
    <s v="HMC - Hora de Manutenção Corretiva"/>
    <s v="HMC - EXEC MANUT"/>
    <s v="Mãe"/>
    <x v="1"/>
    <s v="202600988909- BAIXO NIVEL DO OLEO DA DIREÇÃO- SUBSTITUIDO MANGUEIRA DE CILINDRO DE ACIONAMNETO DA DIREÇÃO LD COMPLETADO 40 LT OLEO NA DIREÇÃO E 80 LT OLEO HIDRAULICO"/>
    <s v="DIRECAO"/>
    <s v="CILINDRO LD"/>
    <s v="MANGUEIRA"/>
    <s v="AVARIA"/>
    <s v="SUBSTITUIR"/>
    <s v="Mecânica"/>
    <s v="Direcao - Hidraulico"/>
    <s v="Mangueira"/>
  </r>
  <r>
    <n v="0"/>
    <m/>
    <m/>
    <m/>
    <m/>
    <m/>
    <m/>
    <m/>
    <m/>
    <m/>
    <m/>
    <m/>
    <m/>
    <s v=""/>
    <s v=""/>
    <x v="2"/>
    <s v=""/>
    <s v=""/>
    <x v="2"/>
    <s v="NÃO EXP.MAE"/>
    <s v="SIM"/>
    <n v="3.3333333332848269E-2"/>
    <n v="0"/>
    <n v="0"/>
    <x v="509"/>
    <d v="2026-02-23T12:59:00"/>
    <x v="2"/>
    <m/>
    <s v="9000"/>
    <s v="HMC - Hora de Manutenção Corretiva"/>
    <s v="HMC - AG MAU TEMPO"/>
    <s v="Filha"/>
    <x v="1"/>
    <s v="202600988909- BAIXO NIVEL DO OLEO DA DIREÇÃO- SUBSTITUIDO MANGUEIRA DE CILINDRO DE ACIONAMNETO DA DIREÇÃO LD COMPLETADO 40 LT OLEO NA DIREÇÃO E 80 LT OLEO HIDRAULICO"/>
    <s v="DIRECAO"/>
    <s v="CILINDRO LD"/>
    <s v="MANGUEIRA"/>
    <s v="AVARIA"/>
    <s v="SUBSTITUIR"/>
    <s v="Mecânica"/>
    <s v="Direcao - Hidraulico"/>
    <s v="Mangueira"/>
  </r>
  <r>
    <n v="0"/>
    <m/>
    <m/>
    <m/>
    <m/>
    <m/>
    <m/>
    <m/>
    <m/>
    <m/>
    <m/>
    <m/>
    <m/>
    <n v="1"/>
    <s v="SISTEMA ALERTA DE PROXIMIDADE"/>
    <x v="1"/>
    <s v="Acessórios"/>
    <n v="1.1733333332813345"/>
    <x v="0"/>
    <s v="EXP.MAE"/>
    <s v="NÃO"/>
    <n v="0"/>
    <n v="0"/>
    <n v="0"/>
    <x v="510"/>
    <d v="2026-02-23T20:05:53"/>
    <x v="2"/>
    <m/>
    <s v="8032"/>
    <s v="MPNS - Hora Manutenção Preventiva não Sistemática"/>
    <s v="MPNS - EXEC TERCEIROS TRABALHANDO"/>
    <s v="Mãe"/>
    <x v="1"/>
    <s v="falha no exagon"/>
    <s v="SISTEMA ALERTA DE PROXIMIDADE"/>
    <s v="HEXAGON"/>
    <m/>
    <m/>
    <m/>
    <m/>
    <m/>
    <m/>
  </r>
  <r>
    <n v="0"/>
    <m/>
    <m/>
    <m/>
    <m/>
    <m/>
    <m/>
    <m/>
    <m/>
    <m/>
    <m/>
    <m/>
    <m/>
    <n v="1"/>
    <s v="DIRECAO"/>
    <x v="3"/>
    <s v="Corretivas"/>
    <n v="1.1030555556644686"/>
    <x v="1"/>
    <s v="NÃO EXP.MAE"/>
    <s v="NÃO"/>
    <n v="0"/>
    <n v="0"/>
    <n v="0"/>
    <x v="511"/>
    <d v="2026-02-24T21:19:17"/>
    <x v="2"/>
    <s v="202601016730"/>
    <s v="9000"/>
    <s v="HMC - Hora de Manutenção Corretiva"/>
    <s v="HMC - EXEC MANUT"/>
    <s v="Mãe"/>
    <x v="1"/>
    <s v="202601016730 BAIXO NÍVEL DE ÓLEO DA DIREÇÃO - SUBSTITUIDO VEDAÇÃO DA CONEXÃO DE ACIONAMENTO DO CILINDRO DA DIREÇÃO LE"/>
    <s v="DIRECAO"/>
    <s v="CILINDRO LE"/>
    <s v="VEDACAO"/>
    <s v="AVARIA"/>
    <s v="SUBSTITUIR"/>
    <s v="Mecânica"/>
    <s v="Direcao - Tanque Oleo"/>
    <s v="Oleo-Nivel Baixo"/>
  </r>
  <r>
    <n v="0"/>
    <m/>
    <m/>
    <m/>
    <m/>
    <m/>
    <m/>
    <m/>
    <m/>
    <m/>
    <m/>
    <m/>
    <m/>
    <n v="1"/>
    <s v="INSPEÇÃO SENSITIVA"/>
    <x v="1"/>
    <s v="Inspeção"/>
    <n v="1.6025000000372529"/>
    <x v="1"/>
    <s v="NÃO EXP.MAE"/>
    <s v="NÃO"/>
    <n v="0"/>
    <n v="0"/>
    <n v="0"/>
    <x v="512"/>
    <d v="2026-02-25T15:38:14"/>
    <x v="2"/>
    <m/>
    <s v="8006"/>
    <s v="MPNS - Hora Manutenção Preventiva não Sistemática"/>
    <s v="MPNS - EXEC PREDITIVA"/>
    <s v="Mãe"/>
    <x v="1"/>
    <m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DESPACHO"/>
    <x v="3"/>
    <s v="Corretivas"/>
    <n v="2.7074999999022111"/>
    <x v="1"/>
    <s v="NÃO EXP.MAE"/>
    <s v="NÃO"/>
    <n v="0"/>
    <n v="0"/>
    <n v="0"/>
    <x v="513"/>
    <d v="2026-02-26T16:48:52"/>
    <x v="2"/>
    <s v="202601065783"/>
    <s v="9000"/>
    <s v="HMC - Hora de Manutenção Corretiva"/>
    <s v="HMC - EXEC MANUT"/>
    <s v="Mãe"/>
    <x v="1"/>
    <s v="FALHA GPS - EFETUADO RESETE NO SISTEMA - 202601065783"/>
    <s v="DESPACHO"/>
    <s v="COMUNICACAO"/>
    <s v="GPS"/>
    <s v="FALHA"/>
    <s v="RESETAR"/>
    <s v="Elétrica"/>
    <s v="Eletrico - Painel Controle"/>
    <s v="Painel"/>
  </r>
  <r>
    <n v="0"/>
    <m/>
    <m/>
    <m/>
    <m/>
    <m/>
    <m/>
    <m/>
    <m/>
    <m/>
    <m/>
    <m/>
    <m/>
    <n v="1"/>
    <s v="ELETRICO"/>
    <x v="3"/>
    <s v="Corretivas"/>
    <n v="0.85166666650911793"/>
    <x v="1"/>
    <s v="NÃO EXP.MAE"/>
    <s v="NÃO"/>
    <n v="0"/>
    <n v="0"/>
    <n v="0"/>
    <x v="514"/>
    <d v="2026-02-27T01:34:09"/>
    <x v="2"/>
    <s v="000000000000"/>
    <s v="9000"/>
    <s v="HMC - Hora de Manutenção Corretiva"/>
    <s v="HMC - EXEC MANUT"/>
    <s v="Mãe"/>
    <x v="1"/>
    <s v="REALIZADO AJUSTE NO FAROL"/>
    <s v="ELETRICO"/>
    <s v="ILUMINACAO"/>
    <s v="FAROL"/>
    <s v="AJUSTE"/>
    <s v="AJUSTAR"/>
    <s v="Elétrica"/>
    <s v="Eletrico - Iluminacao"/>
    <s v="Farol"/>
  </r>
  <r>
    <n v="0"/>
    <m/>
    <m/>
    <m/>
    <m/>
    <m/>
    <m/>
    <m/>
    <m/>
    <m/>
    <m/>
    <m/>
    <s v="NÃO"/>
    <n v="1"/>
    <s v="ESTRUTURA"/>
    <x v="4"/>
    <s v="Reparo Programado"/>
    <n v="1.2211111110518686"/>
    <x v="1"/>
    <s v="NÃO EXP.MAE"/>
    <s v="NÃO"/>
    <n v="0"/>
    <n v="0"/>
    <n v="0"/>
    <x v="515"/>
    <d v="2026-03-01T02:18:42"/>
    <x v="2"/>
    <m/>
    <s v="7116"/>
    <s v="MPS - Hora Manutenção Preventiva Sistemática"/>
    <s v="MPS - AG LOCOMOCAO"/>
    <s v="Mãe"/>
    <x v="2"/>
    <m/>
    <s v="ESTRUTURA"/>
    <s v="EIXO TRASEIRO"/>
    <s v="LINK LD"/>
    <s v="DESGASTE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9.2129629629198462E-3"/>
    <n v="0"/>
    <n v="0"/>
    <x v="516"/>
    <d v="2026-03-01T02:18:42"/>
    <x v="2"/>
    <m/>
    <s v="7116"/>
    <s v="MPS - Hora Manutenção Preventiva Sistemática"/>
    <s v="MPS - AG LOCOMOCAO"/>
    <s v="Filha"/>
    <x v="2"/>
    <m/>
    <s v="ESTRUTURA"/>
    <s v="EIXO TRASEIRO"/>
    <s v="LINK LD"/>
    <s v="DESGASTE"/>
    <s v="SUBSTITUIR"/>
    <m/>
    <m/>
    <m/>
  </r>
  <r>
    <n v="0"/>
    <m/>
    <m/>
    <m/>
    <m/>
    <m/>
    <m/>
    <m/>
    <m/>
    <m/>
    <m/>
    <m/>
    <m/>
    <n v="0"/>
    <s v="ESTRUTURA"/>
    <x v="4"/>
    <s v="Reparo Programado"/>
    <n v="0.68527777784038335"/>
    <x v="1"/>
    <s v="NÃO EXP.MAE"/>
    <s v="NÃO"/>
    <n v="0"/>
    <n v="0"/>
    <n v="0"/>
    <x v="517"/>
    <d v="2026-03-01T02:59:49"/>
    <x v="2"/>
    <m/>
    <s v="7000"/>
    <s v="MPS - Hora Manutenção Preventiva Sistemática"/>
    <s v="MPS - EXEC MANUT"/>
    <s v="Mãe"/>
    <x v="2"/>
    <m/>
    <s v="ESTRUTURA"/>
    <s v="EIXO TRASEIRO"/>
    <s v="LINK LD"/>
    <s v="DESGASTE"/>
    <s v="SUBSTITUIR"/>
    <m/>
    <m/>
    <m/>
  </r>
  <r>
    <n v="0"/>
    <m/>
    <m/>
    <m/>
    <m/>
    <m/>
    <m/>
    <m/>
    <m/>
    <m/>
    <m/>
    <m/>
    <m/>
    <n v="0"/>
    <s v="ESTRUTURA"/>
    <x v="4"/>
    <s v="Reparo Programado"/>
    <n v="2.6997222222271375"/>
    <x v="1"/>
    <s v="NÃO EXP.MAE"/>
    <s v="NÃO"/>
    <n v="0"/>
    <n v="0"/>
    <n v="0"/>
    <x v="518"/>
    <d v="2026-03-01T05:41:48"/>
    <x v="2"/>
    <m/>
    <s v="7011"/>
    <s v="MPS - Hora Manutenção Preventiva Sistemática"/>
    <s v="MPS - EXEC LAVADOR"/>
    <s v="Mãe"/>
    <x v="2"/>
    <m/>
    <s v="ESTRUTURA"/>
    <s v="EIXO TRASEIRO"/>
    <s v="LINK LD"/>
    <s v="DESGASTE"/>
    <s v="SUBSTITUIR"/>
    <m/>
    <m/>
    <m/>
  </r>
  <r>
    <n v="0"/>
    <m/>
    <m/>
    <m/>
    <m/>
    <m/>
    <m/>
    <m/>
    <m/>
    <m/>
    <m/>
    <m/>
    <m/>
    <n v="0"/>
    <s v="ESTRUTURA"/>
    <x v="4"/>
    <s v="Reparo Programado"/>
    <n v="10.058888888976071"/>
    <x v="1"/>
    <s v="NÃO EXP.MAE"/>
    <s v="NÃO"/>
    <n v="0"/>
    <n v="0"/>
    <n v="0"/>
    <x v="519"/>
    <d v="2026-03-01T15:45:20"/>
    <x v="2"/>
    <m/>
    <s v="8001"/>
    <s v="MPS - Hora Manutenção Preventiva Sistemática"/>
    <s v="MPNS - EXEC MECANICA"/>
    <s v="Mãe"/>
    <x v="2"/>
    <m/>
    <s v="ESTRUTURA"/>
    <s v="EIXO TRASEIRO"/>
    <s v="LINK LD"/>
    <s v="DESGASTE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8.3333333328482695E-2"/>
    <n v="0"/>
    <n v="0"/>
    <x v="520"/>
    <d v="2026-03-01T08:30:00"/>
    <x v="2"/>
    <m/>
    <s v="8001"/>
    <s v="MPS - Hora Manutenção Preventiva Sistemática"/>
    <s v="MPNS - AG MAO DE OBRA"/>
    <s v="Filha"/>
    <x v="2"/>
    <m/>
    <s v="ESTRUTURA"/>
    <s v="EIXO TRASEIRO"/>
    <s v="LINK LD"/>
    <s v="DESGASTE"/>
    <s v="SUBSTITUIR"/>
    <m/>
    <m/>
    <m/>
  </r>
  <r>
    <n v="0"/>
    <m/>
    <m/>
    <m/>
    <m/>
    <m/>
    <m/>
    <m/>
    <m/>
    <m/>
    <m/>
    <n v="0"/>
    <m/>
    <n v="0"/>
    <s v="ESTRUTURA"/>
    <x v="1"/>
    <s v="Reparo Programado"/>
    <n v="3.281666666676756"/>
    <x v="1"/>
    <s v="NÃO EXP.MAE"/>
    <s v="NÃO"/>
    <n v="0"/>
    <n v="0"/>
    <n v="0"/>
    <x v="521"/>
    <d v="2026-03-01T19:02:14"/>
    <x v="2"/>
    <m/>
    <s v="8001"/>
    <s v="MPNS - Hora Manutenção Preventiva não Sistemática"/>
    <s v="MPNS - EXEC MECANICA"/>
    <s v="Mãe"/>
    <x v="2"/>
    <m/>
    <s v="ESTRUTURA"/>
    <s v="EIXO TRASEIRO"/>
    <s v="LINK LD"/>
    <s v="DESGASTE"/>
    <s v="SUBSTITUIR"/>
    <m/>
    <m/>
    <m/>
  </r>
  <r>
    <n v="0"/>
    <m/>
    <m/>
    <m/>
    <m/>
    <m/>
    <m/>
    <m/>
    <m/>
    <m/>
    <m/>
    <m/>
    <m/>
    <n v="1"/>
    <s v="LOCOMOÇÃO"/>
    <x v="4"/>
    <s v="Man. Pneus"/>
    <n v="7.9869444445939735"/>
    <x v="1"/>
    <s v="NÃO EXP.MAE"/>
    <s v="NÃO"/>
    <n v="0"/>
    <n v="0"/>
    <n v="0"/>
    <x v="522"/>
    <d v="2026-03-02T17:26:08"/>
    <x v="2"/>
    <m/>
    <s v="7010"/>
    <s v="MPS - Hora Manutenção Preventiva Sistemática"/>
    <s v="MPS - EXEC BORRACHARIA"/>
    <s v="Mãe"/>
    <x v="2"/>
    <s v="MACHINE GEN Atraso iniciado: MPNS - Exec borracharia"/>
    <s v="LOCOMOCAO"/>
    <m/>
    <m/>
    <m/>
    <m/>
    <m/>
    <m/>
    <m/>
  </r>
  <r>
    <n v="0"/>
    <m/>
    <m/>
    <m/>
    <m/>
    <m/>
    <m/>
    <m/>
    <m/>
    <m/>
    <m/>
    <m/>
    <m/>
    <n v="1"/>
    <s v="ELETRICO"/>
    <x v="3"/>
    <s v="Corretivas"/>
    <n v="7.126666666707024"/>
    <x v="1"/>
    <s v="NÃO EXP.MAE"/>
    <s v="NÃO"/>
    <n v="0"/>
    <n v="0"/>
    <n v="0"/>
    <x v="523"/>
    <d v="2026-03-03T23:40:42"/>
    <x v="2"/>
    <m/>
    <s v="9000"/>
    <s v="HMC - Hora de Manutenção Corretiva"/>
    <s v="HMC - EXEC MANUT"/>
    <s v="Mãe"/>
    <x v="2"/>
    <s v="FALHA NA ELEVAÇÃO DA ESCADA  202601146171"/>
    <s v="ELETRICO"/>
    <s v="ESCADA RETRATIL"/>
    <s v="CABO/FIACAO"/>
    <s v="AVARIA"/>
    <s v="CORRIGIR"/>
    <m/>
    <m/>
    <m/>
  </r>
  <r>
    <n v="0"/>
    <m/>
    <m/>
    <m/>
    <m/>
    <m/>
    <m/>
    <m/>
    <m/>
    <m/>
    <m/>
    <m/>
    <m/>
    <n v="1"/>
    <s v="AR CONDICIONADO"/>
    <x v="3"/>
    <s v="Corretivas"/>
    <n v="0.91138888889690861"/>
    <x v="1"/>
    <s v="NÃO EXP.MAE"/>
    <s v="NÃO"/>
    <n v="0"/>
    <n v="0"/>
    <n v="0"/>
    <x v="524"/>
    <d v="2026-03-04T13:05:20"/>
    <x v="2"/>
    <s v="202601170946"/>
    <s v="9000"/>
    <s v="HMC - Hora de Manutenção Corretiva"/>
    <s v="HMC - EXEC MANUT"/>
    <s v="Mãe"/>
    <x v="2"/>
    <s v="FALHA NO AR CONDICIONADO - REPOSICIONADO FUSÍVEL E RELÉ DO AR-CONDICIONADO - 202601170946"/>
    <s v="AR CONDICIONADO"/>
    <s v="PAINEL"/>
    <s v="FUSIVEL"/>
    <s v="AVARIA"/>
    <s v="SUBSTITUIR"/>
    <s v="Elétrica"/>
    <s v="Ar Condicionado - Painel"/>
    <s v="Fusivel-Fixacao"/>
  </r>
  <r>
    <n v="0"/>
    <m/>
    <m/>
    <m/>
    <m/>
    <m/>
    <m/>
    <m/>
    <m/>
    <m/>
    <m/>
    <m/>
    <m/>
    <n v="1"/>
    <s v="COMUNICACAO"/>
    <x v="3"/>
    <s v="Acessórios"/>
    <n v="0.88722222216892987"/>
    <x v="0"/>
    <s v="EXP.MAE"/>
    <s v="NÃO"/>
    <n v="0"/>
    <n v="0"/>
    <n v="0"/>
    <x v="525"/>
    <d v="2026-03-09T21:48:32"/>
    <x v="2"/>
    <s v="202601261908"/>
    <s v="9032"/>
    <s v="HMC - Hora de Manutenção Corretiva"/>
    <s v="HMC - EXEC TERCEIROS TRABALHANDO"/>
    <s v="Mãe"/>
    <x v="2"/>
    <s v="COPRETA O OLEO DO MOTOR - COMPLETARNIVEL DO ÓLEO DA DIREÇÃO E VERIFICAR DEMAIS NÍVEIS_x0009_202601261908"/>
    <s v="COMUNICACAO"/>
    <s v="COMUNICACAO"/>
    <s v="COMUNICACAO"/>
    <s v="COMUNICACAO"/>
    <s v="COMUNICACAO"/>
    <s v="Mecânica"/>
    <s v="Direcao - Hidraulico"/>
    <s v="Acumulador"/>
  </r>
  <r>
    <n v="0"/>
    <m/>
    <m/>
    <m/>
    <m/>
    <m/>
    <m/>
    <m/>
    <m/>
    <m/>
    <m/>
    <m/>
    <s v="NÃO"/>
    <n v="1"/>
    <s v="REVISÃO PREVENTIVA"/>
    <x v="4"/>
    <s v="Preventivas"/>
    <n v="0.73583333333954215"/>
    <x v="1"/>
    <s v="NÃO EXP.MAE"/>
    <s v="NÃO"/>
    <n v="0"/>
    <n v="0"/>
    <n v="0"/>
    <x v="526"/>
    <d v="2026-03-10T09:50:00"/>
    <x v="2"/>
    <m/>
    <s v="7116"/>
    <s v="MPS - Hora Manutenção Preventiva Sistemática"/>
    <s v="MPS - AG LOCOMOCAO"/>
    <s v="Mãe"/>
    <x v="2"/>
    <s v="PM 250h + 5 BLs"/>
    <s v="PREVENTIVA"/>
    <s v="PITSTOP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4.6877777778427117"/>
    <x v="1"/>
    <s v="NÃO EXP.MAE"/>
    <s v="NÃO"/>
    <n v="0"/>
    <n v="0"/>
    <n v="0"/>
    <x v="527"/>
    <d v="2026-03-10T14:31:16"/>
    <x v="2"/>
    <m/>
    <s v="7000"/>
    <s v="MPS - Hora Manutenção Preventiva Sistemática"/>
    <s v="MPS - EXEC MANUT"/>
    <s v="Mãe"/>
    <x v="2"/>
    <s v="PM 250h + 5 BLs"/>
    <s v="PREVENTIVA"/>
    <s v="PITSTOP"/>
    <m/>
    <m/>
    <m/>
    <m/>
    <m/>
    <m/>
  </r>
  <r>
    <n v="0"/>
    <m/>
    <m/>
    <m/>
    <m/>
    <m/>
    <m/>
    <m/>
    <m/>
    <m/>
    <m/>
    <m/>
    <m/>
    <n v="1"/>
    <s v="ESTRUTURA"/>
    <x v="3"/>
    <s v="Corretivas"/>
    <n v="7.1052777778822929"/>
    <x v="1"/>
    <s v="NÃO EXP.MAE"/>
    <s v="NÃO"/>
    <n v="0"/>
    <n v="0"/>
    <n v="0"/>
    <x v="528"/>
    <d v="2026-03-11T19:26:12"/>
    <x v="2"/>
    <s v="202601305063"/>
    <s v="9000"/>
    <s v="HMC - Hora de Manutenção Corretiva"/>
    <s v="HMC - EXEC MANUT"/>
    <s v="Mãe"/>
    <x v="2"/>
    <s v="QUEBRA DO SUPORTE DO RETROVISOR LADO ESQUERDO  202601305063 - REALIZADO SERVIÇO DE SOLDA"/>
    <s v="ESTRUTURA"/>
    <s v="CABINE"/>
    <s v="RETROVISOR LE"/>
    <s v="AVARIA"/>
    <s v="REPARAR"/>
    <s v="Mecânica"/>
    <s v="Estrutura - Cabine"/>
    <s v="Espelho Retrovisor Externo Le"/>
  </r>
  <r>
    <n v="0"/>
    <m/>
    <m/>
    <m/>
    <m/>
    <m/>
    <m/>
    <m/>
    <m/>
    <m/>
    <m/>
    <m/>
    <m/>
    <n v="1"/>
    <s v="INSPEÇÃO SENSITIVA"/>
    <x v="1"/>
    <s v="Inspeção"/>
    <n v="2.121944444370456"/>
    <x v="1"/>
    <s v="NÃO EXP.MAE"/>
    <s v="NÃO"/>
    <n v="0"/>
    <n v="0"/>
    <n v="0"/>
    <x v="529"/>
    <d v="2026-03-13T12:48:18"/>
    <x v="2"/>
    <m/>
    <s v="8001"/>
    <s v="MPNS - Hora Manutenção Preventiva não Sistemática"/>
    <s v="MPNS - EXEC MECANICA"/>
    <s v="Mãe"/>
    <x v="2"/>
    <m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ELETRICO"/>
    <x v="3"/>
    <s v="Corretivas"/>
    <n v="3.588888888945803"/>
    <x v="1"/>
    <s v="NÃO EXP.MAE"/>
    <s v="NÃO"/>
    <n v="0"/>
    <n v="0"/>
    <n v="0"/>
    <x v="530"/>
    <d v="2026-03-18T12:41:31"/>
    <x v="2"/>
    <s v="202601436654"/>
    <s v="9000"/>
    <s v="HMC - Hora de Manutenção Corretiva"/>
    <s v="HMC - EXEC MANUT"/>
    <s v="Mãe"/>
    <x v="2"/>
    <s v="202601436654- REPOSICIONAMENTO DO LED DE CARGA- REALIZADO SOLDA NO MONITOR DA BALANÇA L/E"/>
    <s v="ELETRICO"/>
    <s v="BALANCA"/>
    <s v="DISPLAY"/>
    <s v="POSICAO"/>
    <s v="REPOSCIONAR"/>
    <s v="Mecânica"/>
    <s v="Suspensao - Balanca"/>
    <s v="Balanca do Eixo"/>
  </r>
  <r>
    <n v="0"/>
    <m/>
    <m/>
    <m/>
    <m/>
    <m/>
    <m/>
    <m/>
    <m/>
    <m/>
    <m/>
    <m/>
    <s v="NÃO"/>
    <s v=""/>
    <s v=""/>
    <x v="2"/>
    <s v=""/>
    <s v=""/>
    <x v="2"/>
    <s v="NÃO EXP.MAE"/>
    <s v="NÃO"/>
    <n v="0"/>
    <n v="0"/>
    <n v="0"/>
    <x v="531"/>
    <d v="2026-03-18T11:01:00"/>
    <x v="2"/>
    <s v="202601436654"/>
    <s v="9000"/>
    <s v="HMC - Hora de Manutenção Corretiva"/>
    <s v="HMC - AG LOCOMOCAO"/>
    <s v="Filha"/>
    <x v="2"/>
    <s v="202601436654- REPOSICIONAMENTO DO LED DE CARGA- REALIZADO SOLDA NO MONITOR DA BALANÇA L/E"/>
    <s v="ELETRICO"/>
    <s v="BALANCA"/>
    <s v="DISPLAY"/>
    <s v="POSICAO"/>
    <s v="REPOSCIONAR"/>
    <s v="Mecânica"/>
    <s v="Suspensao - Balanca"/>
    <s v="Balanca do Eix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2.4305555554747116E-2"/>
    <n v="0"/>
    <n v="0"/>
    <x v="532"/>
    <d v="2026-03-18T11:36:00"/>
    <x v="2"/>
    <s v="202601436654"/>
    <s v="9000"/>
    <s v="HMC - Hora de Manutenção Corretiva"/>
    <s v="HMC - AG LOCOMOCAO"/>
    <s v="Filha"/>
    <x v="2"/>
    <s v="202601436654- REPOSICIONAMENTO DO LED DE CARGA- REALIZADO SOLDA NO MONITOR DA BALANÇA L/E"/>
    <s v="ELETRICO"/>
    <s v="BALANCA"/>
    <s v="DISPLAY"/>
    <s v="POSICAO"/>
    <s v="REPOSCIONAR"/>
    <s v="Mecânica"/>
    <s v="Suspensao - Balanca"/>
    <s v="Balanca do Eixo"/>
  </r>
  <r>
    <n v="0"/>
    <m/>
    <m/>
    <m/>
    <m/>
    <m/>
    <m/>
    <m/>
    <m/>
    <m/>
    <m/>
    <m/>
    <m/>
    <n v="1"/>
    <s v="ELETRICO"/>
    <x v="3"/>
    <s v="Corretivas"/>
    <n v="1.6727777778287418"/>
    <x v="1"/>
    <s v="NÃO EXP.MAE"/>
    <s v="NÃO"/>
    <n v="0"/>
    <n v="0"/>
    <n v="0"/>
    <x v="533"/>
    <d v="2026-03-19T07:55:26"/>
    <x v="2"/>
    <s v="202601455387"/>
    <s v="9000"/>
    <s v="HMC - Hora de Manutenção Corretiva"/>
    <s v="HMC - EXEC MANUT"/>
    <s v="Mãe"/>
    <x v="2"/>
    <s v="202601455387- FALHA NA PARTIDA- CORRIGIDO ALIMENTAÇÃO DO RELÉ MOTOR DE PARTIDA"/>
    <s v="ELETRICO"/>
    <s v="MOTOR DE COMBUSTAO"/>
    <s v="MOTOR DE PARTIDA"/>
    <s v="ALIMENTACAO"/>
    <s v="CORRIGIR"/>
    <s v="Mecânica"/>
    <s v="Motor Combustao - Pneumatico"/>
    <s v="Motor Partida Pneumatico-Travamento"/>
  </r>
  <r>
    <n v="0"/>
    <m/>
    <m/>
    <m/>
    <m/>
    <m/>
    <m/>
    <m/>
    <m/>
    <m/>
    <m/>
    <m/>
    <m/>
    <n v="1"/>
    <s v="DIRECAO"/>
    <x v="3"/>
    <s v="Corretivas"/>
    <n v="1.4655555557110347"/>
    <x v="1"/>
    <s v="NÃO EXP.MAE"/>
    <s v="NÃO"/>
    <n v="0"/>
    <n v="0"/>
    <n v="0"/>
    <x v="534"/>
    <d v="2026-03-19T11:55:43"/>
    <x v="2"/>
    <s v="202601457826"/>
    <s v="9000"/>
    <s v="HMC - Hora de Manutenção Corretiva"/>
    <s v="HMC - EXEC MANUT"/>
    <s v="Mãe"/>
    <x v="2"/>
    <s v="202601457826 BAIXO NIVEL DO OLEO DA DIREÇÃO - COMPLETADO 20 LITROS DE OLEO DA DIREÇÃO"/>
    <s v="DIRECAO"/>
    <s v="TANQUE HIDRAULICO"/>
    <s v="OLEO"/>
    <s v="BAIXO NIVEL"/>
    <s v="COMPLETAR"/>
    <s v="Mecânica"/>
    <s v="Direcao - Tanque Oleo"/>
    <s v="Oleo-Nivel Baixo"/>
  </r>
  <r>
    <n v="0"/>
    <m/>
    <m/>
    <m/>
    <m/>
    <m/>
    <m/>
    <m/>
    <m/>
    <m/>
    <m/>
    <m/>
    <m/>
    <n v="1"/>
    <s v="INSPEÇÃO SENSITIVA"/>
    <x v="4"/>
    <s v="Inspeção"/>
    <n v="1.121666666585952"/>
    <x v="1"/>
    <s v="NÃO EXP.MAE"/>
    <s v="NÃO"/>
    <n v="0"/>
    <n v="0"/>
    <n v="0"/>
    <x v="535"/>
    <d v="2026-03-20T11:13:38"/>
    <x v="2"/>
    <m/>
    <s v="4003"/>
    <s v="MPS - Hora Manutenção Preventiva Sistemática"/>
    <s v="Inspeção Mecânica"/>
    <s v="Mãe"/>
    <x v="2"/>
    <s v="MACHINE GEN Started a delay: MPS - Exec insp mecanica"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ESTRUTURA"/>
    <x v="0"/>
    <s v="Acidente operacional"/>
    <n v="18.421944444417022"/>
    <x v="0"/>
    <s v="EXP.MAE"/>
    <s v="NÃO"/>
    <n v="0"/>
    <n v="0"/>
    <n v="0"/>
    <x v="536"/>
    <d v="2026-03-24T00:42:18"/>
    <x v="2"/>
    <m/>
    <s v="1090"/>
    <s v="HAC - Hora Acidente"/>
    <s v="HAC - EXEC MANUT ACIDENTE"/>
    <s v="Mãe"/>
    <x v="2"/>
    <s v="VAZAMENTO DE ÓLEO - 202601514083 - CORRIGIR VAZAMENTO HIDRAÚLICO"/>
    <s v="ESTRUTURA"/>
    <s v="ESCADA RETRATIL"/>
    <s v="OLEO"/>
    <s v="ACIDENTE"/>
    <s v="REPARAR"/>
    <m/>
    <m/>
    <m/>
  </r>
  <r>
    <n v="0"/>
    <m/>
    <m/>
    <m/>
    <m/>
    <m/>
    <m/>
    <m/>
    <m/>
    <m/>
    <m/>
    <m/>
    <m/>
    <n v="1"/>
    <s v="LOCOMOÇÃO"/>
    <x v="4"/>
    <s v="Man. Pneus"/>
    <n v="7.345555555424653"/>
    <x v="1"/>
    <s v="NÃO EXP.MAE"/>
    <s v="NÃO"/>
    <n v="0"/>
    <n v="0"/>
    <n v="0"/>
    <x v="537"/>
    <d v="2026-03-24T13:48:51"/>
    <x v="2"/>
    <m/>
    <s v="7010"/>
    <s v="MPS - Hora Manutenção Preventiva Sistemática"/>
    <s v="MPS - EXEC BORRACHARIA"/>
    <s v="Mãe"/>
    <x v="2"/>
    <s v="MACHINE GEN Started a delay: MPS - Exec borracharia"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LOCOMOÇÃO"/>
    <x v="1"/>
    <s v="Man. Pneus"/>
    <n v="0.91361111111473292"/>
    <x v="1"/>
    <s v="NÃO EXP.MAE"/>
    <s v="NÃO"/>
    <n v="0"/>
    <n v="0"/>
    <n v="0"/>
    <x v="538"/>
    <d v="2026-03-25T04:03:32"/>
    <x v="2"/>
    <m/>
    <s v="8010"/>
    <s v="MPNS - Hora Manutenção Preventiva não Sistemática"/>
    <s v="MPNS - EXEC BORRACHARIA"/>
    <s v="Mãe"/>
    <x v="2"/>
    <m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MOTOR DE COMBUSTÃO"/>
    <x v="3"/>
    <s v="Corretivas"/>
    <n v="4.1758333333418705"/>
    <x v="1"/>
    <s v="NÃO EXP.MAE"/>
    <s v="NÃO"/>
    <n v="0"/>
    <n v="0"/>
    <n v="0"/>
    <x v="539"/>
    <d v="2026-03-28T05:23:18"/>
    <x v="2"/>
    <s v="202601613093"/>
    <s v="9000"/>
    <s v="HMC - Hora de Manutenção Corretiva"/>
    <s v="HMC - EXEC MANUT"/>
    <s v="Mãe"/>
    <x v="2"/>
    <s v="TM_3 - RESTRIÇÃO NO FILTRO DE COMBUSTÍVEL - 202601613093 - SUBSTITUIR FILTROS DE COMBUSTÍVEL"/>
    <s v="MOTOR DE COMBUSTAO"/>
    <s v="COMBUSTIVEL"/>
    <s v="FILTRO"/>
    <s v="OBSTRUIDO"/>
    <s v="SUBSTITUIR"/>
    <s v="Mecânica"/>
    <s v="Motor Combustao - Combustivel"/>
    <s v="Filtro De Malha-Obstrucao"/>
  </r>
  <r>
    <n v="0"/>
    <m/>
    <m/>
    <m/>
    <m/>
    <m/>
    <m/>
    <m/>
    <m/>
    <m/>
    <m/>
    <m/>
    <m/>
    <n v="1"/>
    <s v="ELETRICO"/>
    <x v="3"/>
    <s v="Corretivas"/>
    <n v="4.4297222222085111"/>
    <x v="1"/>
    <s v="NÃO EXP.MAE"/>
    <s v="NÃO"/>
    <n v="0"/>
    <n v="0"/>
    <n v="0"/>
    <x v="540"/>
    <d v="2026-04-01T11:49:16"/>
    <x v="2"/>
    <s v="202601688962"/>
    <s v="9000"/>
    <s v="HMC - Hora de Manutenção Corretiva"/>
    <s v="HMC - EXEC MANUT"/>
    <s v="Mãe"/>
    <x v="3"/>
    <s v="202601688962  FALHA NO ACIONAMENTO DO VIDRO DA PORTA DO OPERADOR - 2  REPARO NO VIDRO DA CABINE , COMPLETADO 87 LITROS DE HIDRAULICO"/>
    <s v="ELETRICO"/>
    <s v="CABINE"/>
    <s v="MOTOR DO VIDRO DA PORTA"/>
    <s v="CURTO CIRCUITO"/>
    <s v="CORRIGIR"/>
    <s v="Mecânica"/>
    <s v="Estrutura - Cabine"/>
    <s v="Vidro-Quebra"/>
  </r>
  <r>
    <n v="0"/>
    <m/>
    <m/>
    <m/>
    <m/>
    <m/>
    <m/>
    <m/>
    <m/>
    <m/>
    <m/>
    <m/>
    <s v="NÃO"/>
    <s v=""/>
    <s v=""/>
    <x v="2"/>
    <s v=""/>
    <s v=""/>
    <x v="2"/>
    <s v="NÃO EXP.MAE"/>
    <s v="NÃO"/>
    <n v="0"/>
    <n v="0"/>
    <n v="0"/>
    <x v="541"/>
    <d v="2026-04-01T11:10:00"/>
    <x v="2"/>
    <s v="202601688962"/>
    <s v="9000"/>
    <s v="HMC - Hora de Manutenção Corretiva"/>
    <s v="HMC - AG LUBRIFICACAO"/>
    <s v="Filha"/>
    <x v="3"/>
    <s v="AGUARDANDO COMBOIO"/>
    <s v="ELETRICO"/>
    <s v="CABINE"/>
    <s v="MOTOR DO VIDRO DA PORTA"/>
    <s v="CURTO CIRCUITO"/>
    <s v="CORRIG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8.3333333335758653E-2"/>
    <n v="0"/>
    <n v="0"/>
    <x v="542"/>
    <d v="2026-04-01T11:10:00"/>
    <x v="2"/>
    <s v="202601688962"/>
    <s v="9000"/>
    <s v="HMC - Hora de Manutenção Corretiva"/>
    <s v="HMC - AG LUBRIFICACAO"/>
    <s v="Filha"/>
    <x v="3"/>
    <s v="AGUARDANDO COMBOIO"/>
    <s v="ELETRICO"/>
    <s v="CABINE"/>
    <s v="MOTOR DO VIDRO DA PORTA"/>
    <s v="CURTO CIRCUITO"/>
    <s v="CORRIGIR"/>
    <m/>
    <m/>
    <m/>
  </r>
  <r>
    <n v="0"/>
    <m/>
    <m/>
    <m/>
    <m/>
    <m/>
    <m/>
    <m/>
    <m/>
    <m/>
    <m/>
    <n v="0"/>
    <m/>
    <n v="0"/>
    <s v="REVISÃO PREVENTIVA"/>
    <x v="4"/>
    <s v="Preventivas"/>
    <n v="0.63805555558064952"/>
    <x v="0"/>
    <s v="EXP.MAE"/>
    <s v="NÃO"/>
    <n v="0"/>
    <n v="0"/>
    <n v="0"/>
    <x v="543"/>
    <d v="2026-04-04T08:55:35"/>
    <x v="2"/>
    <m/>
    <s v="7116"/>
    <s v="MPS - Hora Manutenção Preventiva Sistemática"/>
    <s v="MPS - AG LOCOMOCAO"/>
    <s v="Mãe"/>
    <x v="3"/>
    <s v="PM 2000h + 30 BLS"/>
    <s v="PREVENTIVA"/>
    <s v="2000 HORAS"/>
    <m/>
    <m/>
    <m/>
    <m/>
    <m/>
    <m/>
  </r>
  <r>
    <n v="0"/>
    <m/>
    <m/>
    <m/>
    <m/>
    <m/>
    <m/>
    <m/>
    <m/>
    <m/>
    <m/>
    <m/>
    <m/>
    <n v="1"/>
    <s v="REVISÃO PREVENTIVA"/>
    <x v="4"/>
    <s v="Preventivas"/>
    <n v="2.0800000000745058"/>
    <x v="1"/>
    <s v="NÃO EXP.MAE"/>
    <s v="NÃO"/>
    <n v="0"/>
    <n v="0"/>
    <n v="0"/>
    <x v="544"/>
    <d v="2026-04-04T11:00:30"/>
    <x v="2"/>
    <m/>
    <s v="7000"/>
    <s v="MPS - Hora Manutenção Preventiva Sistemática"/>
    <s v="MPS - EXEC MANUT"/>
    <s v="Mãe"/>
    <x v="3"/>
    <s v="PM 2000h + 30 BLS"/>
    <s v="PREVENTIVA"/>
    <s v="20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0.65833333320915699"/>
    <x v="0"/>
    <s v="EXP.MAE"/>
    <s v="NÃO"/>
    <n v="0"/>
    <n v="0"/>
    <n v="0"/>
    <x v="545"/>
    <d v="2026-04-04T11:40:00"/>
    <x v="2"/>
    <m/>
    <n v="7111"/>
    <s v="MPS - Hora Manutenção Preventiva Sistemática"/>
    <s v="MPS - AG LAVADOR"/>
    <s v="Mãe"/>
    <x v="3"/>
    <s v="PM 2000h + 30 BLS"/>
    <s v="PREVENTIVA"/>
    <s v="20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5.6683333333348855"/>
    <x v="1"/>
    <s v="NÃO EXP.MAE"/>
    <s v="NÃO"/>
    <n v="0"/>
    <n v="0"/>
    <n v="0"/>
    <x v="546"/>
    <d v="2026-04-04T17:20:06"/>
    <x v="2"/>
    <m/>
    <s v="7011"/>
    <s v="MPS - Hora Manutenção Preventiva Sistemática"/>
    <s v="MPS - EXEC LAVADOR"/>
    <s v="Mãe"/>
    <x v="3"/>
    <s v="PM 2000h + 30 BLS"/>
    <s v="PREVENTIVA"/>
    <s v="2000 HORAS"/>
    <m/>
    <m/>
    <m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2.7847222219861578E-2"/>
    <n v="0"/>
    <n v="0"/>
    <x v="547"/>
    <d v="2026-04-04T17:20:06"/>
    <x v="2"/>
    <m/>
    <s v="7011"/>
    <s v="MPS - Hora Manutenção Preventiva Sistemática"/>
    <s v="MPS - EXEC LAVADOR"/>
    <s v="Filha"/>
    <x v="3"/>
    <s v="PM 2000h + 30 BLS"/>
    <s v="PREVENTIVA"/>
    <s v="2000 HORAS"/>
    <m/>
    <m/>
    <m/>
    <m/>
    <m/>
    <m/>
  </r>
  <r>
    <n v="0"/>
    <m/>
    <m/>
    <m/>
    <m/>
    <m/>
    <m/>
    <m/>
    <m/>
    <m/>
    <m/>
    <n v="0"/>
    <m/>
    <n v="0"/>
    <s v="REVISÃO PREVENTIVA"/>
    <x v="4"/>
    <s v="Preventivas"/>
    <n v="69.465000000083819"/>
    <x v="1"/>
    <s v="NÃO EXP.MAE"/>
    <s v="NÃO"/>
    <n v="0"/>
    <n v="0"/>
    <n v="0"/>
    <x v="548"/>
    <d v="2026-04-07T14:48:00"/>
    <x v="2"/>
    <m/>
    <s v="7000"/>
    <s v="MPS - Hora Manutenção Preventiva Sistemática"/>
    <s v="MPS - EXEC MANUT"/>
    <s v="Mãe"/>
    <x v="3"/>
    <s v="PM 2000h + 30 BLS"/>
    <s v="PREVENTIVA"/>
    <s v="2000 HORAS"/>
    <m/>
    <m/>
    <m/>
    <m/>
    <m/>
    <m/>
  </r>
  <r>
    <n v="0"/>
    <m/>
    <m/>
    <m/>
    <m/>
    <m/>
    <m/>
    <m/>
    <m/>
    <m/>
    <m/>
    <m/>
    <m/>
    <n v="1"/>
    <s v="COMUNICACAO"/>
    <x v="3"/>
    <s v="Acessórios"/>
    <n v="0.84083333326270804"/>
    <x v="0"/>
    <s v="EXP.MAE"/>
    <s v="NÃO"/>
    <n v="0"/>
    <n v="0"/>
    <n v="0"/>
    <x v="549"/>
    <d v="2026-04-09T21:40:54"/>
    <x v="2"/>
    <m/>
    <s v="9032"/>
    <s v="HMC - Hora de Manutenção Corretiva"/>
    <s v="HMC - EXEC TERCEIROS TRABALHANDO"/>
    <s v="Mãe"/>
    <x v="3"/>
    <s v="FALHA DE COMUNICAÇÃO RADIO AVI-  SUBSTITUÍDO O CABO DE COMUNICAÇÃO AVI  202601842583"/>
    <s v="COMUNICACAO"/>
    <s v="COMUNICACAO"/>
    <s v="CABO/FIACAO"/>
    <s v="AVARIA"/>
    <s v="SUBSTITUIR"/>
    <s v="Automação"/>
    <s v="Rádio Lte - Fonte Queimada"/>
    <s v="Rádio - Sem Alimentação"/>
  </r>
  <r>
    <n v="0"/>
    <m/>
    <m/>
    <m/>
    <m/>
    <m/>
    <m/>
    <m/>
    <m/>
    <m/>
    <m/>
    <m/>
    <m/>
    <n v="1"/>
    <s v="SISTEMA ALERTA DE PROXIMIDADE"/>
    <x v="3"/>
    <s v="Acessórios"/>
    <n v="3.7719444443355314"/>
    <x v="0"/>
    <s v="EXP.MAE"/>
    <s v="NÃO"/>
    <n v="0"/>
    <n v="0"/>
    <n v="0"/>
    <x v="550"/>
    <d v="2026-04-11T05:19:15"/>
    <x v="2"/>
    <s v="202601842583"/>
    <s v="9032"/>
    <s v="HMC - Hora de Manutenção Corretiva"/>
    <s v="HMC - EXEC TERCEIROS TRABALHANDO"/>
    <s v="Mãe"/>
    <x v="3"/>
    <s v="FALHA NO SENSOR DE APROXIMAÇÃO EXAGON - SUBSTITUIDO CABO DE ALIMENTAÇÃO DO SISTEMA DE APROXIMAÇÃO 202601842583"/>
    <s v="SISTEMA ALERTA DE PROXIMIDADE"/>
    <s v="HEXAGON"/>
    <s v="CABO/FIACAO"/>
    <s v="AVARIA"/>
    <s v="SUBSTITUIR"/>
    <s v="Automação"/>
    <s v="Alerta De Proximidade - Cabo Danificado"/>
    <s v="Gps - Falha Comunicação"/>
  </r>
  <r>
    <n v="0"/>
    <m/>
    <m/>
    <m/>
    <m/>
    <m/>
    <m/>
    <m/>
    <m/>
    <m/>
    <m/>
    <m/>
    <m/>
    <n v="1"/>
    <s v="ELEVAÇÃO"/>
    <x v="3"/>
    <s v="Corretivas"/>
    <n v="4.7369444443029352"/>
    <x v="1"/>
    <s v="NÃO EXP.MAE"/>
    <s v="NÃO"/>
    <n v="0"/>
    <n v="0"/>
    <n v="0"/>
    <x v="551"/>
    <d v="2026-04-11T11:49:54"/>
    <x v="2"/>
    <m/>
    <s v="9000"/>
    <s v="HMC - Hora de Manutenção Corretiva"/>
    <s v="HMC - EXEC MANUT"/>
    <s v="Mãe"/>
    <x v="3"/>
    <s v="FALHA NA ELEVAÇÃO- COMPLETADO 400 L DE ÓLEO HIDRAULICO"/>
    <s v="ELEVACAO"/>
    <s v="TANQUE HIDRAULICO"/>
    <s v="OLEO"/>
    <s v="BAIXO NIVEL"/>
    <s v="COMPLETAR"/>
    <m/>
    <m/>
    <m/>
  </r>
  <r>
    <n v="0"/>
    <m/>
    <m/>
    <m/>
    <m/>
    <m/>
    <m/>
    <m/>
    <m/>
    <m/>
    <m/>
    <m/>
    <s v="NÃO"/>
    <s v=""/>
    <s v=""/>
    <x v="2"/>
    <s v=""/>
    <s v=""/>
    <x v="2"/>
    <s v="NÃO EXP.MAE"/>
    <s v="NÃO"/>
    <n v="0"/>
    <n v="0"/>
    <n v="0"/>
    <x v="552"/>
    <d v="2026-04-11T08:10:00"/>
    <x v="2"/>
    <m/>
    <s v="9000"/>
    <s v="HMC - Hora de Manutenção Corretiva"/>
    <s v="HMC - AG LUBRIFICACAO"/>
    <s v="Filha"/>
    <x v="3"/>
    <s v="AGUARDANDO COMBOIO"/>
    <s v="ELEVACAO"/>
    <s v="TANQUE HIDRAULICO"/>
    <s v="OLEO"/>
    <s v="BAIXO NIVEL"/>
    <s v="COMPLETA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3.4722222262644209E-3"/>
    <n v="0"/>
    <n v="0"/>
    <x v="553"/>
    <d v="2026-04-11T08:10:00"/>
    <x v="2"/>
    <m/>
    <s v="9000"/>
    <s v="HMC - Hora de Manutenção Corretiva"/>
    <s v="HMC - AG LUBRIFICACAO"/>
    <s v="Filha"/>
    <x v="3"/>
    <s v="AGUARDANDO COMBOIO"/>
    <s v="ELEVACAO"/>
    <s v="TANQUE HIDRAULICO"/>
    <s v="OLEO"/>
    <s v="BAIXO NIVEL"/>
    <s v="COMPLETAR"/>
    <m/>
    <m/>
    <m/>
  </r>
  <r>
    <n v="0"/>
    <m/>
    <m/>
    <m/>
    <m/>
    <m/>
    <m/>
    <m/>
    <m/>
    <m/>
    <m/>
    <m/>
    <m/>
    <n v="1"/>
    <s v="TREM DE FORÇA"/>
    <x v="3"/>
    <s v="Corretivas"/>
    <n v="3.437777777784504"/>
    <x v="1"/>
    <s v="NÃO EXP.MAE"/>
    <s v="NÃO"/>
    <n v="0"/>
    <n v="0"/>
    <n v="0"/>
    <x v="554"/>
    <d v="2026-04-12T02:56:20"/>
    <x v="2"/>
    <s v="202601869507"/>
    <s v="9000"/>
    <s v="HMC - Hora de Manutenção Corretiva"/>
    <s v="HMC - EXEC MANUT"/>
    <s v="Mãe"/>
    <x v="3"/>
    <s v="202601869507 VAZAMENTO DE OLEO HIDRAULICO -SUBSTITUIDO VEDAÇÃO DA MANGUEIRA LE"/>
    <s v="TREM DE FORCA"/>
    <s v="COMANDO FINAL LE"/>
    <s v="DUO CONE"/>
    <s v="VAZAMENTO"/>
    <s v="CORRIGIR"/>
    <s v="Mecânica"/>
    <s v="Direcao - Tanque Oleo"/>
    <s v="Conexões;Vedação"/>
  </r>
  <r>
    <n v="0"/>
    <m/>
    <m/>
    <m/>
    <m/>
    <m/>
    <m/>
    <m/>
    <m/>
    <m/>
    <m/>
    <m/>
    <m/>
    <n v="1"/>
    <s v="COMBATE INCENDIO"/>
    <x v="3"/>
    <s v="Acessórios"/>
    <n v="0.75722222233889624"/>
    <x v="0"/>
    <s v="EXP.MAE"/>
    <s v="NÃO"/>
    <n v="0"/>
    <n v="0"/>
    <n v="0"/>
    <x v="555"/>
    <d v="2026-04-12T05:04:56"/>
    <x v="2"/>
    <s v="202601869507"/>
    <s v="9032"/>
    <s v="HMC - Hora de Manutenção Corretiva"/>
    <s v="HMC - EXEC TERCEIROS TRABALHANDO"/>
    <s v="Mãe"/>
    <x v="3"/>
    <s v="202601869507 AFEX - LIMPEZXA DOS CONECTORES DO SISTEMA AFEX"/>
    <s v="SISTEMA AFEX"/>
    <s v="COMBATE INCENDIO"/>
    <s v="CONECTOR"/>
    <s v="SUJEIRA"/>
    <s v="LIMPAR"/>
    <s v="Mecânica"/>
    <s v="Combate Incendio - Acionamento Automatico"/>
    <s v="Alarme"/>
  </r>
  <r>
    <n v="0"/>
    <m/>
    <m/>
    <m/>
    <m/>
    <m/>
    <m/>
    <m/>
    <m/>
    <m/>
    <m/>
    <m/>
    <m/>
    <n v="1"/>
    <s v="COMUNICACAO"/>
    <x v="1"/>
    <s v="Acessórios"/>
    <n v="1.3302777777425945"/>
    <x v="0"/>
    <s v="EXP.MAE"/>
    <s v="NÃO"/>
    <n v="0"/>
    <n v="0"/>
    <n v="0"/>
    <x v="556"/>
    <d v="2026-04-12T14:28:18"/>
    <x v="2"/>
    <m/>
    <s v="8032"/>
    <s v="MPNS - Hora Manutenção Preventiva não Sistemática"/>
    <s v="MPNS - EXEC TERCEIROS TRABALHANDO"/>
    <s v="Mãe"/>
    <x v="3"/>
    <s v="MACHINE GEN Started a delay: MPNS - Exec terceiros trabalhando"/>
    <s v="COMUNICACAO"/>
    <s v="COMUNICACAO"/>
    <s v="COMUNICACAO"/>
    <s v="COMUNICACAO"/>
    <s v="COMUNICACAO"/>
    <m/>
    <m/>
    <m/>
  </r>
  <r>
    <n v="0"/>
    <m/>
    <m/>
    <m/>
    <m/>
    <m/>
    <m/>
    <m/>
    <m/>
    <m/>
    <m/>
    <m/>
    <m/>
    <n v="1"/>
    <s v="ESTRUTURA"/>
    <x v="3"/>
    <s v="Corretivas"/>
    <n v="1.0458333333372138"/>
    <x v="1"/>
    <s v="NÃO EXP.MAE"/>
    <s v="NÃO"/>
    <n v="0"/>
    <n v="0"/>
    <n v="0"/>
    <x v="557"/>
    <d v="2026-04-12T15:59:21"/>
    <x v="2"/>
    <m/>
    <s v="9000"/>
    <s v="HMC - Hora de Manutenção Corretiva"/>
    <s v="HMC - EXEC MANUT"/>
    <s v="Mãe"/>
    <x v="3"/>
    <s v="FECHADURA DA SAIDA DE EMERGENCIA DANIFICADA-REALIZADO SOLDA NA PORTINHOLA DE SEGURANÇA DA SAIDA DE EMERGENCIA"/>
    <s v="ESTRUTURA"/>
    <s v="ESCADA DE EMERGENCIA"/>
    <s v="TRAVA"/>
    <s v="AVARIA"/>
    <s v="REPARAR"/>
    <m/>
    <m/>
    <m/>
  </r>
  <r>
    <n v="0"/>
    <m/>
    <m/>
    <m/>
    <m/>
    <m/>
    <m/>
    <m/>
    <m/>
    <m/>
    <m/>
    <m/>
    <m/>
    <n v="1"/>
    <s v="COMUNICACAO"/>
    <x v="1"/>
    <s v="Acessórios"/>
    <n v="1.4758333332720213"/>
    <x v="0"/>
    <s v="EXP.MAE"/>
    <s v="NÃO"/>
    <n v="0"/>
    <n v="0"/>
    <n v="0"/>
    <x v="558"/>
    <d v="2026-04-14T15:49:01"/>
    <x v="2"/>
    <m/>
    <s v="8032"/>
    <s v="MPNS - Hora Manutenção Preventiva não Sistemática"/>
    <s v="MPNS - EXEC TERCEIROS TRABALHANDO"/>
    <s v="Mãe"/>
    <x v="3"/>
    <s v="MACHINE GEN Started a delay: MPNS - Exec terceiros trabalhando"/>
    <s v="COMUNICACAO"/>
    <s v="COMUNICACAO"/>
    <s v="COMUNICACAO"/>
    <s v="COMUNICACAO"/>
    <s v="COMUNICACAO"/>
    <m/>
    <m/>
    <m/>
  </r>
  <r>
    <n v="0"/>
    <m/>
    <m/>
    <m/>
    <m/>
    <m/>
    <m/>
    <m/>
    <m/>
    <m/>
    <m/>
    <m/>
    <m/>
    <n v="1"/>
    <s v="INSPEÇÃO SENSITIVA"/>
    <x v="4"/>
    <s v="Inspeção"/>
    <n v="1.311666666646488"/>
    <x v="1"/>
    <s v="NÃO EXP.MAE"/>
    <s v="NÃO"/>
    <n v="0"/>
    <n v="0"/>
    <n v="0"/>
    <x v="559"/>
    <d v="2026-04-15T11:59:49"/>
    <x v="2"/>
    <m/>
    <s v="7005"/>
    <s v="MPS - Hora Manutenção Preventiva Sistemática"/>
    <s v="MPS-EXEC INSP MECANICA"/>
    <s v="Mãe"/>
    <x v="3"/>
    <s v="MACHINE GEN Atraso iniciado: Troca de operador"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DIRECAO"/>
    <x v="3"/>
    <s v="Corretivas"/>
    <n v="0.88222222222248092"/>
    <x v="1"/>
    <s v="NÃO EXP.MAE"/>
    <s v="NÃO"/>
    <n v="0"/>
    <n v="0"/>
    <n v="0"/>
    <x v="560"/>
    <d v="2026-04-16T19:50:13"/>
    <x v="2"/>
    <s v="202601973283"/>
    <s v="9000"/>
    <s v="HMC - Hora de Manutenção Corretiva"/>
    <s v="HMC - EXEC MANUT"/>
    <s v="Mãe"/>
    <x v="3"/>
    <s v="202601973283- BAIXO NIVEL DO ÓLEO DA DIREÇÃO- COMPLETADO 60 LT DE OLEO HIDRAULICO E 40 LT DE OLEO DA DIREÇÃO"/>
    <s v="DIRECAO"/>
    <s v="TANQUE HIDRAULICO"/>
    <s v="OLEO"/>
    <s v="BAIXO NIVEL"/>
    <s v="COMPLETAR"/>
    <s v="Mecânica"/>
    <s v="Direcao - Unidade Hidraulica"/>
    <s v="Conexoes"/>
  </r>
  <r>
    <n v="0"/>
    <m/>
    <m/>
    <m/>
    <m/>
    <m/>
    <m/>
    <m/>
    <m/>
    <m/>
    <m/>
    <m/>
    <m/>
    <n v="1"/>
    <s v="REVISÃO PREVENTIVA"/>
    <x v="4"/>
    <s v="Preventivas"/>
    <n v="7.0852777779218741"/>
    <x v="1"/>
    <s v="NÃO EXP.MAE"/>
    <s v="NÃO"/>
    <n v="0"/>
    <n v="0"/>
    <n v="0"/>
    <x v="561"/>
    <d v="2026-04-18T22:49:58"/>
    <x v="2"/>
    <m/>
    <s v="7000"/>
    <s v="MPS - Hora Manutenção Preventiva Sistemática"/>
    <s v="MPS - EXEC MANUT"/>
    <s v="Mãe"/>
    <x v="3"/>
    <s v="PM 250h + 5 BLs"/>
    <s v="PREVENTIVA"/>
    <s v="PITSTOP"/>
    <m/>
    <m/>
    <m/>
    <m/>
    <m/>
    <m/>
  </r>
  <r>
    <n v="0"/>
    <m/>
    <m/>
    <m/>
    <m/>
    <m/>
    <m/>
    <m/>
    <m/>
    <m/>
    <m/>
    <m/>
    <m/>
    <n v="1"/>
    <s v="ESTRUTURA"/>
    <x v="3"/>
    <s v="Corretivas"/>
    <n v="1.7652777777984738"/>
    <x v="1"/>
    <s v="NÃO EXP.MAE"/>
    <s v="NÃO"/>
    <n v="0"/>
    <n v="0"/>
    <n v="0"/>
    <x v="562"/>
    <d v="2026-04-19T20:12:22"/>
    <x v="2"/>
    <s v="202602012659"/>
    <s v="9000"/>
    <s v="HMC - Hora de Manutenção Corretiva"/>
    <s v="HMC - EXEC MANUT"/>
    <s v="Mãe"/>
    <x v="3"/>
    <s v="202602012659 FALHA NA ESCADA - SUBST VEDAÇÃO DA MANGUEIRA E ADICIONAR ÓLEO NO RESERVATÓRIO DO MOTOR DA ESCADA."/>
    <s v="ESTRUTURA"/>
    <s v="ESCADA RETRATIL"/>
    <s v="VEDACAO"/>
    <s v="VAZAMENTO"/>
    <s v="SUBSTITUIR"/>
    <s v="Mecânica"/>
    <s v="Estrutura"/>
    <s v="Escada"/>
  </r>
  <r>
    <n v="0"/>
    <m/>
    <m/>
    <m/>
    <m/>
    <m/>
    <m/>
    <m/>
    <m/>
    <m/>
    <m/>
    <m/>
    <m/>
    <n v="1"/>
    <s v="DIRECAO"/>
    <x v="3"/>
    <s v="Corretivas"/>
    <n v="0.89111111109377816"/>
    <x v="1"/>
    <s v="NÃO EXP.MAE"/>
    <s v="NÃO"/>
    <n v="0"/>
    <n v="0"/>
    <n v="0"/>
    <x v="563"/>
    <d v="2026-04-21T21:50:52"/>
    <x v="2"/>
    <s v="202602042249"/>
    <s v="9000"/>
    <s v="HMC - Hora de Manutenção Corretiva"/>
    <s v="HMC - EXEC MANUT"/>
    <s v="Mãe"/>
    <x v="3"/>
    <s v="202602042249- BAIXO NIVEL DO OLEO DIREÇÃO- COMPLETADO OLEO E VERIFICADO NIVEIS"/>
    <s v="DIRECAO"/>
    <s v="TANQUE HIDRAULICO"/>
    <s v="OLEO"/>
    <s v="BAIXO NIVEL"/>
    <s v="COMPLETAR"/>
    <s v="Mecânica"/>
    <s v="Direcao - Tanque Oleo"/>
    <s v="Oleo-Nivel"/>
  </r>
  <r>
    <n v="0"/>
    <m/>
    <m/>
    <m/>
    <m/>
    <m/>
    <m/>
    <m/>
    <m/>
    <m/>
    <m/>
    <m/>
    <m/>
    <n v="1"/>
    <s v="INSPEÇÃO SENSITIVA"/>
    <x v="4"/>
    <s v="Inspeção"/>
    <n v="1.2938888889038935"/>
    <x v="1"/>
    <s v="NÃO EXP.MAE"/>
    <s v="NÃO"/>
    <n v="0"/>
    <n v="0"/>
    <n v="0"/>
    <x v="564"/>
    <d v="2026-04-24T11:19:50"/>
    <x v="2"/>
    <n v="202601729918"/>
    <s v="7005"/>
    <s v="MPS - Hora Manutenção Preventiva Sistemática"/>
    <s v="MPS-EXEC INSP MECANICA"/>
    <s v="Mãe"/>
    <x v="3"/>
    <s v="MACHINE GEN Atraso iniciado: MPNS - Exec preditiva"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HIDRAULICO"/>
    <x v="3"/>
    <s v="Corretivas"/>
    <n v="6.4633333333767951"/>
    <x v="1"/>
    <s v="NÃO EXP.MAE"/>
    <s v="NÃO"/>
    <n v="0"/>
    <n v="0"/>
    <n v="0"/>
    <x v="565"/>
    <d v="2026-04-29T01:04:52"/>
    <x v="2"/>
    <n v="202601729918"/>
    <s v="9000"/>
    <s v="HMC - Hora de Manutenção Corretiva"/>
    <s v="HMC - EXEC MANUT"/>
    <s v="Mãe"/>
    <x v="3"/>
    <s v="TREM"/>
    <s v="HIDRAULICO"/>
    <s v="FREIO"/>
    <s v="MANGUEIRA"/>
    <s v="AVARIA"/>
    <s v="CORRIGIR"/>
    <s v="Mecânica"/>
    <s v="Direcao - Unidade Hidraulica"/>
    <s v="Indicador de Nivel"/>
  </r>
  <r>
    <n v="0"/>
    <m/>
    <m/>
    <m/>
    <m/>
    <m/>
    <m/>
    <m/>
    <m/>
    <m/>
    <m/>
    <m/>
    <s v="NÃO"/>
    <s v=""/>
    <s v=""/>
    <x v="2"/>
    <s v=""/>
    <s v=""/>
    <x v="2"/>
    <s v="NÃO EXP.MAE"/>
    <s v="NÃO"/>
    <n v="0"/>
    <n v="0"/>
    <n v="0"/>
    <x v="566"/>
    <d v="2026-04-29T01:04:52"/>
    <x v="2"/>
    <n v="202601729918"/>
    <s v="9000"/>
    <s v="HMC - Hora de Manutenção Corretiva"/>
    <s v="HMC - AG LUBRIFICACAO"/>
    <s v="Filha"/>
    <x v="3"/>
    <s v="AGUARDANDO COMBOIO"/>
    <s v="HIDRAULICO"/>
    <s v="FREIO"/>
    <s v="MANGUEIRA"/>
    <s v="AVARIA"/>
    <s v="CORRIG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6.0185185429872945E-4"/>
    <n v="0"/>
    <n v="0"/>
    <x v="567"/>
    <d v="2026-04-29T01:04:52"/>
    <x v="2"/>
    <n v="202601729918"/>
    <s v="9000"/>
    <s v="HMC - Hora de Manutenção Corretiva"/>
    <s v="HMC - AG LUBRIFICACAO"/>
    <s v="Filha"/>
    <x v="3"/>
    <s v="AGUARDANDO COMBOIO"/>
    <s v="HIDRAULICO"/>
    <s v="FREIO"/>
    <s v="MANGUEIRA"/>
    <s v="AVARIA"/>
    <s v="CORRIGIR"/>
    <m/>
    <m/>
    <m/>
  </r>
  <r>
    <n v="0"/>
    <m/>
    <m/>
    <m/>
    <m/>
    <m/>
    <m/>
    <m/>
    <m/>
    <m/>
    <m/>
    <m/>
    <m/>
    <n v="1"/>
    <s v="REVISÃO PREVENTIVA"/>
    <x v="4"/>
    <s v="Preventivas"/>
    <n v="4.4261111109517515"/>
    <x v="1"/>
    <s v="NÃO EXP.MAE"/>
    <s v="NÃO"/>
    <n v="0"/>
    <n v="0"/>
    <n v="0"/>
    <x v="568"/>
    <d v="2026-04-30T20:45:41"/>
    <x v="2"/>
    <n v="202601729918"/>
    <s v="7000"/>
    <s v="MPS - Hora Manutenção Preventiva Sistemática"/>
    <s v="MPS - EXEC MANUT"/>
    <s v="Mãe"/>
    <x v="3"/>
    <s v="PM 500h + 15BLs - RETROVISOR DANIFICADO   - 202602226704 "/>
    <s v="PREVENTIVA"/>
    <s v="500 HORAS"/>
    <m/>
    <m/>
    <m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6.0335648144246079E-2"/>
    <n v="0"/>
    <n v="0"/>
    <x v="568"/>
    <d v="2026-04-30T17:47:00"/>
    <x v="2"/>
    <n v="202601729918"/>
    <s v="7000"/>
    <s v="MPS - Hora Manutenção Preventiva Sistemática"/>
    <s v="MPS - EXEC TERCEIROS TRABALHANDO"/>
    <s v="Filha"/>
    <x v="3"/>
    <s v="AGUARDANDO AUTOMAÇÃO"/>
    <s v="PREVENTIVA"/>
    <s v="500 HORAS"/>
    <m/>
    <m/>
    <m/>
    <m/>
    <m/>
    <m/>
  </r>
  <r>
    <n v="0"/>
    <m/>
    <m/>
    <m/>
    <m/>
    <m/>
    <m/>
    <m/>
    <m/>
    <m/>
    <m/>
    <m/>
    <s v="NÃO"/>
    <s v=""/>
    <s v=""/>
    <x v="2"/>
    <s v=""/>
    <s v=""/>
    <x v="2"/>
    <s v="NÃO EXP.MAE"/>
    <s v="NÃO"/>
    <n v="0"/>
    <n v="0"/>
    <n v="0"/>
    <x v="569"/>
    <d v="2026-04-30T19:11:00"/>
    <x v="2"/>
    <n v="202601729918"/>
    <s v="7000"/>
    <s v="MPS - Hora Manutenção Preventiva Sistemática"/>
    <s v="MPS - AG LOCOMOCAO"/>
    <s v="Filha"/>
    <x v="3"/>
    <s v="AGUARDANDO LOCOMOÇÃO"/>
    <s v="PREVENTIVA"/>
    <s v="500 HORAS"/>
    <m/>
    <m/>
    <m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7.6388888919609599E-3"/>
    <n v="0"/>
    <n v="0"/>
    <x v="570"/>
    <d v="2026-04-30T19:11:00"/>
    <x v="2"/>
    <n v="202601729918"/>
    <s v="7000"/>
    <s v="MPS - Hora Manutenção Preventiva Sistemática"/>
    <s v="MPS - AG LOCOMOCAO"/>
    <s v="Filha"/>
    <x v="3"/>
    <s v="AGUARDANDO LOCOMOÇÃO"/>
    <s v="PREVENTIVA"/>
    <s v="500 HORAS"/>
    <m/>
    <m/>
    <m/>
    <m/>
    <m/>
    <m/>
  </r>
  <r>
    <n v="0"/>
    <m/>
    <m/>
    <m/>
    <m/>
    <m/>
    <m/>
    <m/>
    <m/>
    <m/>
    <m/>
    <m/>
    <m/>
    <n v="1"/>
    <s v="REVISÃO PREVENTIVA"/>
    <x v="4"/>
    <s v="Preventivas"/>
    <n v="1.4280555556761101"/>
    <x v="0"/>
    <s v="EXP.MAE"/>
    <s v="NÃO"/>
    <n v="0"/>
    <n v="0"/>
    <n v="0"/>
    <x v="571"/>
    <d v="2026-04-30T22:11:22"/>
    <x v="2"/>
    <n v="202601729918"/>
    <s v="7111"/>
    <s v="MPS - Hora Manutenção Preventiva Sistemática"/>
    <s v="MPS - AG LAVADOR"/>
    <s v="Mãe"/>
    <x v="3"/>
    <s v="PM 500h + 15BLs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1.8102777776657604"/>
    <x v="1"/>
    <s v="NÃO EXP.MAE"/>
    <s v="NÃO"/>
    <n v="0"/>
    <n v="0"/>
    <n v="0"/>
    <x v="572"/>
    <d v="2026-04-30T23:59:59"/>
    <x v="2"/>
    <n v="202601729918"/>
    <s v="7011"/>
    <s v="MPS - Hora Manutenção Preventiva Sistemática"/>
    <s v="MPS - EXEC LAVADOR"/>
    <s v="Mãe"/>
    <x v="3"/>
    <s v="PM 500h + 15BLs"/>
    <s v="PREVENTIVA"/>
    <s v="500 HORAS"/>
    <m/>
    <m/>
    <m/>
    <m/>
    <m/>
    <m/>
  </r>
  <r>
    <n v="0"/>
    <m/>
    <m/>
    <m/>
    <m/>
    <m/>
    <m/>
    <m/>
    <m/>
    <m/>
    <m/>
    <n v="0"/>
    <m/>
    <n v="0"/>
    <s v="REVISÃO PREVENTIVA"/>
    <x v="4"/>
    <s v="Preventivas"/>
    <n v="3.7505555555108003"/>
    <x v="1"/>
    <s v="NÃO EXP.MAE"/>
    <s v="NÃO"/>
    <n v="0"/>
    <n v="0"/>
    <n v="0"/>
    <x v="369"/>
    <d v="2026-05-01T03:45:02"/>
    <x v="2"/>
    <n v="202601729918"/>
    <s v="7011"/>
    <s v="MPS - Hora Manutenção Preventiva Sistemática"/>
    <s v="MPS - EXEC LAVADOR"/>
    <s v="Mãe"/>
    <x v="4"/>
    <s v="PM 500h + 15BLs"/>
    <s v="PREVENTIVA"/>
    <s v="500 HORAS"/>
    <m/>
    <m/>
    <m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6.5300925925839692E-2"/>
    <n v="0"/>
    <n v="0"/>
    <x v="573"/>
    <d v="2026-05-01T03:45:02"/>
    <x v="2"/>
    <n v="202601729918"/>
    <s v="7011"/>
    <s v="MPS - Hora Manutenção Preventiva Sistemática"/>
    <s v="MPS - EXEC LAVADOR"/>
    <s v="Filha"/>
    <x v="4"/>
    <s v="PM 500h + 15BLs"/>
    <s v="PREVENTIVA"/>
    <s v="500 HORAS"/>
    <m/>
    <m/>
    <m/>
    <m/>
    <m/>
    <m/>
  </r>
  <r>
    <n v="0"/>
    <m/>
    <m/>
    <m/>
    <m/>
    <m/>
    <m/>
    <m/>
    <m/>
    <m/>
    <m/>
    <n v="0"/>
    <m/>
    <n v="0"/>
    <s v="REVISÃO PREVENTIVA"/>
    <x v="4"/>
    <s v="Preventivas"/>
    <n v="21.708888888882939"/>
    <x v="1"/>
    <s v="NÃO EXP.MAE"/>
    <s v="NÃO"/>
    <n v="0"/>
    <n v="0"/>
    <n v="0"/>
    <x v="574"/>
    <d v="2026-05-02T01:27:34"/>
    <x v="2"/>
    <n v="202601729918"/>
    <s v="7000"/>
    <s v="MPS - Hora Manutenção Preventiva Sistemática"/>
    <s v="MPS - EXEC MANUT"/>
    <s v="Mãe"/>
    <x v="4"/>
    <s v="PM 500h +15 BLs"/>
    <s v="PREVENTIVA"/>
    <s v="500 HORAS"/>
    <m/>
    <m/>
    <m/>
    <m/>
    <m/>
    <m/>
  </r>
  <r>
    <n v="0"/>
    <m/>
    <m/>
    <m/>
    <m/>
    <m/>
    <m/>
    <m/>
    <m/>
    <m/>
    <m/>
    <m/>
    <m/>
    <n v="1"/>
    <s v="COMBATE INCENDIO"/>
    <x v="3"/>
    <s v="Acessórios"/>
    <n v="3.6052777776494622"/>
    <x v="0"/>
    <s v="EXP.MAE"/>
    <s v="NÃO"/>
    <n v="0"/>
    <n v="0"/>
    <n v="0"/>
    <x v="575"/>
    <d v="2026-05-02T14:52:00"/>
    <x v="2"/>
    <s v="202602246644"/>
    <s v="9032"/>
    <s v="HMC - Hora de Manutenção Corretiva"/>
    <s v="HMC - EXEC TERCEIROS TRABALHANDO"/>
    <s v="Mãe"/>
    <x v="4"/>
    <s v="FALHA NO AFEX - RECONECTADO O CABO DO INICIADOR DO SISTEMA AFEX-202602246644"/>
    <s v="SISTEMA AFEX"/>
    <s v="COMBATE INCENDIO"/>
    <s v="CABO/FIACAO"/>
    <s v="POSICAO"/>
    <s v="REPOSCIONAR"/>
    <s v="Elétrica"/>
    <s v="Combate Incendio - Acionamento Automatico"/>
    <s v="Cabo/Fiacao"/>
  </r>
  <r>
    <n v="0"/>
    <m/>
    <m/>
    <m/>
    <m/>
    <m/>
    <m/>
    <m/>
    <m/>
    <m/>
    <m/>
    <m/>
    <m/>
    <n v="1"/>
    <s v="INSPEÇÃO SENSITIVA"/>
    <x v="4"/>
    <s v="Inspeção"/>
    <n v="0.7561111111426726"/>
    <x v="1"/>
    <s v="NÃO EXP.MAE"/>
    <s v="NÃO"/>
    <n v="0"/>
    <n v="0"/>
    <n v="0"/>
    <x v="576"/>
    <d v="2026-05-04T11:56:44"/>
    <x v="2"/>
    <m/>
    <s v="7005"/>
    <s v="MPS - Hora Manutenção Preventiva Sistemática"/>
    <s v="MPS-EXEC INSP MECANICA"/>
    <s v="Mãe"/>
    <x v="4"/>
    <s v="MACHINE GEN Atraso iniciado: MPNS - Exec preditiva"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ESTRUTURA"/>
    <x v="3"/>
    <s v="Corretivas"/>
    <n v="1.158888888778165"/>
    <x v="1"/>
    <s v="NÃO EXP.MAE"/>
    <s v="NÃO"/>
    <n v="0"/>
    <n v="0"/>
    <n v="0"/>
    <x v="577"/>
    <d v="2026-05-07T15:59:41"/>
    <x v="2"/>
    <s v="202602346445"/>
    <s v="9000"/>
    <s v="HMC - Hora de Manutenção Corretiva"/>
    <s v="HMC - EXEC MANUT"/>
    <s v="Mãe"/>
    <x v="4"/>
    <s v="DIAGNOSTICAR FALHA NA ESCADA - ABATECIDO RESERVATORIO DA ESCADA RETRATIL - 202602346445"/>
    <s v="ESTRUTURA"/>
    <s v="ESCADA RETRATIL"/>
    <s v="MOTOR DA ESCADA"/>
    <s v="BAIXO NIVEL"/>
    <s v="COMPLETAR"/>
    <s v="Mecânica"/>
    <s v="Estrutura"/>
    <s v="Escada"/>
  </r>
  <r>
    <n v="0"/>
    <m/>
    <m/>
    <m/>
    <m/>
    <m/>
    <m/>
    <m/>
    <m/>
    <m/>
    <m/>
    <m/>
    <m/>
    <n v="1"/>
    <s v="ESTRUTURA"/>
    <x v="3"/>
    <s v="Corretivas"/>
    <n v="2.6300000001210719"/>
    <x v="1"/>
    <s v="NÃO EXP.MAE"/>
    <s v="NÃO"/>
    <n v="0"/>
    <n v="0"/>
    <n v="0"/>
    <x v="578"/>
    <d v="2026-05-13T10:48:05"/>
    <x v="2"/>
    <s v="202602453111"/>
    <s v="9000"/>
    <s v="HMC - Hora de Manutenção Corretiva"/>
    <s v="HMC - EXEC MANUT"/>
    <s v="Mãe"/>
    <x v="4"/>
    <s v="202602453111 - FALHA NA ESCADA - FOI ABERTO TEC LOG DO MOTOR DA ESCADA, COMPLETADO ÓLEO DO RESERVATÓRIOS E COMPLETADO 300 LITROD DE ÓLEO HIDRÁULICO"/>
    <s v="ESTRUTURA"/>
    <s v="ESCADA RETRATIL"/>
    <s v="MOTOR DA ESCADA"/>
    <s v="BAIXO NIVEL"/>
    <s v="COMPLETAR"/>
    <s v="Mecânica"/>
    <s v="Estrutura"/>
    <s v="Escada"/>
  </r>
  <r>
    <n v="0"/>
    <m/>
    <m/>
    <m/>
    <m/>
    <m/>
    <m/>
    <m/>
    <m/>
    <m/>
    <m/>
    <m/>
    <m/>
    <s v=""/>
    <s v=""/>
    <x v="2"/>
    <s v=""/>
    <s v=""/>
    <x v="2"/>
    <s v="NÃO EXP.MAE"/>
    <s v="SIM"/>
    <n v="2.9861111106583849E-2"/>
    <n v="0"/>
    <n v="0"/>
    <x v="579"/>
    <d v="2026-05-13T10:29:00"/>
    <x v="2"/>
    <s v="202602453111"/>
    <s v="9000"/>
    <s v="HMC - Hora de Manutenção Corretiva"/>
    <s v="HMC - AG LUBRIFICACAO"/>
    <s v="Filha"/>
    <x v="4"/>
    <s v="DESVIO AGUARDANDO COMBOIO, ACIONADO AS 09:16"/>
    <s v="ESTRUTURA"/>
    <s v="ESCADA RETRATIL"/>
    <s v="MOTOR DA ESCADA"/>
    <s v="BAIXO NIVEL"/>
    <s v="COMPLETAR"/>
    <m/>
    <m/>
    <m/>
  </r>
  <r>
    <n v="0"/>
    <m/>
    <m/>
    <m/>
    <m/>
    <m/>
    <m/>
    <m/>
    <m/>
    <m/>
    <m/>
    <m/>
    <m/>
    <n v="1"/>
    <s v="ESTRUTURA"/>
    <x v="3"/>
    <s v="Corretivas"/>
    <n v="12.161666666564997"/>
    <x v="1"/>
    <s v="NÃO EXP.MAE"/>
    <s v="NÃO"/>
    <n v="0"/>
    <n v="0"/>
    <n v="0"/>
    <x v="580"/>
    <d v="2026-05-15T18:28:57"/>
    <x v="2"/>
    <s v="202602488948"/>
    <s v="9000"/>
    <s v="HMC - Hora de Manutenção Corretiva"/>
    <s v="HMC - EXEC MANUT"/>
    <s v="Mãe"/>
    <x v="4"/>
    <s v="FALHA NA ELEVAÇÃO DA ESCADA-202602488948 - CORRIGIDO FALHA"/>
    <s v="ESTRUTURA"/>
    <s v="ESCADA RETRATIL"/>
    <s v="MOTOR DA ESCADA"/>
    <s v="AVARIA"/>
    <s v="SUBSTITUIR"/>
    <s v="Mecânica"/>
    <s v="Estrutura"/>
    <s v="Escada"/>
  </r>
  <r>
    <n v="0"/>
    <m/>
    <m/>
    <m/>
    <m/>
    <m/>
    <m/>
    <m/>
    <m/>
    <m/>
    <m/>
    <m/>
    <m/>
    <n v="1"/>
    <s v="REVISÃO PREVENTIVA"/>
    <x v="4"/>
    <s v="Preventivas"/>
    <n v="15.3049999998766"/>
    <x v="1"/>
    <s v="NÃO EXP.MAE"/>
    <s v="NÃO"/>
    <n v="0"/>
    <n v="0"/>
    <n v="0"/>
    <x v="581"/>
    <d v="2026-05-17T01:02:09"/>
    <x v="2"/>
    <m/>
    <s v="7000"/>
    <s v="MPS - Hora Manutenção Preventiva Sistemática"/>
    <s v="MPS - EXEC MANUT"/>
    <s v="Mãe"/>
    <x v="4"/>
    <s v="MACHINE GEN Atraso iniciado: MPS - Exec mecanica AGUARDANDO DESLOCAMENTO - #MSR: PM 250hs + BL"/>
    <s v="PREVENTIVA"/>
    <s v="PITSTOP"/>
    <m/>
    <m/>
    <m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22222222221898846"/>
    <n v="0"/>
    <n v="0"/>
    <x v="582"/>
    <d v="2026-05-16T18:00:00"/>
    <x v="2"/>
    <m/>
    <s v="7000"/>
    <s v="MPS - Hora Manutenção Preventiva Sistemática"/>
    <s v="MPS - AG OPERACAO"/>
    <s v="Filha"/>
    <x v="4"/>
    <s v="AGUARDANDO OPERAÇÃO DESCER ATIVO PARA OFICINA"/>
    <s v="PREVENTIVA"/>
    <s v="PITSTOP"/>
    <m/>
    <m/>
    <m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12638888888614019"/>
    <n v="0"/>
    <n v="0"/>
    <x v="583"/>
    <d v="2026-05-16T21:02:00"/>
    <x v="2"/>
    <m/>
    <s v="7000"/>
    <s v="MPS - Hora Manutenção Preventiva Sistemática"/>
    <s v="MPS - AG OPERACAO"/>
    <s v="Filha"/>
    <x v="4"/>
    <s v="AGUARDANDO OPERAÇÃO DESCER ATIVO PARA OFICINA"/>
    <s v="PREVENTIVA"/>
    <s v="PITSTOP"/>
    <m/>
    <m/>
    <m/>
    <m/>
    <m/>
    <m/>
  </r>
  <r>
    <n v="0"/>
    <m/>
    <m/>
    <m/>
    <m/>
    <m/>
    <m/>
    <m/>
    <m/>
    <m/>
    <m/>
    <m/>
    <m/>
    <n v="1"/>
    <s v="INSPEÇÃO SENSITIVA"/>
    <x v="4"/>
    <s v="Inspeção"/>
    <n v="0.95722222211770713"/>
    <x v="1"/>
    <s v="NÃO EXP.MAE"/>
    <s v="NÃO"/>
    <n v="0"/>
    <n v="0"/>
    <n v="0"/>
    <x v="584"/>
    <d v="2026-05-19T12:11:22"/>
    <x v="2"/>
    <m/>
    <s v="7005"/>
    <s v="MPS - Hora Manutenção Preventiva Sistemática"/>
    <s v="MPS-EXEC INSP MECANICA"/>
    <s v="Mãe"/>
    <x v="4"/>
    <s v="MACHINE GEN Atraso iniciado: MPS - Exec mecanica"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ESTRUTURA"/>
    <x v="3"/>
    <s v="Corretivas"/>
    <n v="0.75944444438209757"/>
    <x v="1"/>
    <s v="NÃO EXP.MAE"/>
    <s v="NÃO"/>
    <n v="0"/>
    <n v="0"/>
    <n v="0"/>
    <x v="585"/>
    <d v="2026-05-21T12:11:42"/>
    <x v="2"/>
    <s v="202602615516"/>
    <s v="9000"/>
    <s v="HMC - Hora de Manutenção Corretiva"/>
    <s v="HMC - EXEC MANUT"/>
    <s v="Mãe"/>
    <x v="4"/>
    <s v="202602615516- SERVIÇO DE SOLDA NO RETROVISOR- REALIZADO SERVIÇO DE SOLDA NO SUPORTE DO RETROVISOR L/E"/>
    <s v="ESTRUTURA"/>
    <s v="CABINE"/>
    <s v="RETROVISOR LE"/>
    <s v="AVARIA"/>
    <s v="REPARAR"/>
    <s v="Mecânica"/>
    <s v="Estrutura - Cabine"/>
    <s v="Retrovisor"/>
  </r>
  <r>
    <n v="0"/>
    <m/>
    <m/>
    <m/>
    <m/>
    <m/>
    <m/>
    <m/>
    <m/>
    <m/>
    <m/>
    <m/>
    <m/>
    <n v="1"/>
    <s v="ELETRICO"/>
    <x v="3"/>
    <s v="Corretivas"/>
    <n v="1.0547222223831341"/>
    <x v="1"/>
    <s v="NÃO EXP.MAE"/>
    <s v="NÃO"/>
    <n v="0"/>
    <n v="0"/>
    <n v="0"/>
    <x v="586"/>
    <d v="2026-05-21T15:41:53"/>
    <x v="2"/>
    <s v="202602618994"/>
    <s v="9000"/>
    <s v="HMC - Hora de Manutenção Corretiva"/>
    <s v="HMC - EXEC MANUT"/>
    <s v="Mãe"/>
    <x v="4"/>
    <s v="FALHA NA BALANÇA - REALIZADO CALIBRAÇÃO  DAS BALANÇAS - 202602618994"/>
    <s v="ELETRICO"/>
    <s v="BALANCA"/>
    <s v="PAYLOAD"/>
    <s v="DESCALIBRADO"/>
    <s v="CALIBRAR"/>
    <s v="Elétrica"/>
    <s v="Eletrico - Balanca"/>
    <s v="Balanca-Descalibracao"/>
  </r>
  <r>
    <n v="0"/>
    <m/>
    <m/>
    <m/>
    <m/>
    <m/>
    <m/>
    <m/>
    <m/>
    <m/>
    <m/>
    <m/>
    <m/>
    <n v="1"/>
    <s v="DIRECAO"/>
    <x v="3"/>
    <s v="Corretivas"/>
    <n v="4.3966666667838581"/>
    <x v="1"/>
    <s v="NÃO EXP.MAE"/>
    <s v="NÃO"/>
    <n v="0"/>
    <n v="0"/>
    <n v="0"/>
    <x v="587"/>
    <d v="2026-05-22T13:22:53"/>
    <x v="2"/>
    <s v="202602630765"/>
    <s v="9000"/>
    <s v="HMC - Hora de Manutenção Corretiva"/>
    <s v="HMC - EXEC MANUT"/>
    <s v="Mãe"/>
    <x v="4"/>
    <s v="202602630765- TM_3 -   ALARME BAIXO NÍVEL DE ÓLEO DA DIREÇÃO - COMPLETADO O NÍVEL DE ÓLEO DA DIREÇÃO E DOS FREIOS (NÃO ENCONTRADO VAZAMENTO)"/>
    <s v="DIRECAO"/>
    <s v="LUBRIFICACAO"/>
    <s v="OLEO"/>
    <s v="NIVEL "/>
    <s v="COMPLETAR"/>
    <s v="Mecânica"/>
    <s v="Direcao - Tanque Oleo"/>
    <s v="Oleo-Nivel Baixo"/>
  </r>
  <r>
    <n v="0"/>
    <m/>
    <m/>
    <m/>
    <m/>
    <m/>
    <m/>
    <m/>
    <m/>
    <m/>
    <m/>
    <m/>
    <m/>
    <n v="1"/>
    <s v="LOCOMOÇÃO"/>
    <x v="1"/>
    <s v="Man. Pneus"/>
    <n v="0.49527777777984738"/>
    <x v="1"/>
    <s v="NÃO EXP.MAE"/>
    <s v="NÃO"/>
    <n v="0"/>
    <n v="0"/>
    <n v="0"/>
    <x v="588"/>
    <d v="2026-05-23T00:18:43"/>
    <x v="2"/>
    <m/>
    <s v="8010"/>
    <s v="MPNS - Hora Manutenção Preventiva não Sistemática"/>
    <s v="MPNS - EXEC BORRACHARIA"/>
    <s v="Mãe"/>
    <x v="4"/>
    <s v="MACHINE GEN Atraso iniciado: MPS - Exec borracharia"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ELETRICO"/>
    <x v="3"/>
    <s v="Corretivas"/>
    <n v="4.8241666666581295"/>
    <x v="1"/>
    <s v="NÃO EXP.MAE"/>
    <s v="NÃO"/>
    <n v="0"/>
    <n v="0"/>
    <n v="0"/>
    <x v="589"/>
    <d v="2026-05-24T00:44:53"/>
    <x v="2"/>
    <s v="202602647786"/>
    <s v="9000"/>
    <s v="HMC - Hora de Manutenção Corretiva"/>
    <s v="HMC - EXEC MANUT"/>
    <s v="Mãe"/>
    <x v="4"/>
    <s v="FALHA NOS FAROIS  - 202602647786  SUBSTITUIDO PINO DE ALIMENTAÇÃO DAS LUZES DE POSIÇÃO MT:1150588"/>
    <s v="ELETRICO"/>
    <s v="ILUMINACAO"/>
    <s v="FAROL"/>
    <s v="FALHA"/>
    <s v="CORRIGIR"/>
    <s v="Elétrica"/>
    <s v="Eletrico - Iluminacao"/>
    <s v="Farol"/>
  </r>
  <r>
    <n v="0"/>
    <m/>
    <m/>
    <m/>
    <m/>
    <m/>
    <m/>
    <m/>
    <m/>
    <m/>
    <m/>
    <m/>
    <m/>
    <n v="1"/>
    <s v="SUSPENSÃO"/>
    <x v="3"/>
    <s v="Corretivas"/>
    <n v="3.0113888887572102"/>
    <x v="1"/>
    <s v="NÃO EXP.MAE"/>
    <s v="NÃO"/>
    <n v="0"/>
    <n v="0"/>
    <n v="0"/>
    <x v="590"/>
    <d v="2026-05-24T05:07:27"/>
    <x v="2"/>
    <s v="202602649969"/>
    <s v="9000"/>
    <s v="HMC - Hora de Manutenção Corretiva"/>
    <s v="HMC - EXEC MANUT"/>
    <s v="Mãe"/>
    <x v="4"/>
    <s v="FALHA NA BALANÇA -202602649969   CALIBRADO PLE MT:1150588"/>
    <s v="SUSPENSAO"/>
    <s v="BALANCA"/>
    <s v="BALANCA"/>
    <s v="DESCALIBRACAO"/>
    <s v="CALIBRAR"/>
    <s v="Mecânica"/>
    <s v="Suspensao - Balanca"/>
    <s v="Balanca do Eix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10624999999708962"/>
    <n v="0"/>
    <n v="0"/>
    <x v="591"/>
    <d v="2026-05-24T04:43:00"/>
    <x v="2"/>
    <s v="202602649969"/>
    <s v="9000"/>
    <s v="HMC - Hora de Manutenção Corretiva"/>
    <s v="HMC - AG CONDICAO SEGURA"/>
    <s v="Filha"/>
    <x v="4"/>
    <s v="AGUARDANDO CONDICOES SEGURAS"/>
    <s v="SUSPENSAO"/>
    <s v="BALANCA"/>
    <s v="BALANCA"/>
    <s v="DESCALIBRACAO"/>
    <s v="CALIBRAR"/>
    <m/>
    <m/>
    <m/>
  </r>
  <r>
    <n v="0"/>
    <m/>
    <m/>
    <m/>
    <m/>
    <m/>
    <m/>
    <m/>
    <m/>
    <m/>
    <m/>
    <m/>
    <m/>
    <n v="1"/>
    <s v="SUSPENSÃO"/>
    <x v="3"/>
    <s v="Corretivas"/>
    <n v="7.4525000000721775"/>
    <x v="1"/>
    <s v="NÃO EXP.MAE"/>
    <s v="NÃO"/>
    <n v="0"/>
    <n v="0"/>
    <n v="0"/>
    <x v="592"/>
    <d v="2026-05-24T14:21:06"/>
    <x v="2"/>
    <s v="202602655972"/>
    <s v="9000"/>
    <s v="HMC - Hora de Manutenção Corretiva"/>
    <s v="HMC - EXEC MANUT"/>
    <s v="Mãe"/>
    <x v="4"/>
    <s v="202602655972 FALHA NA BALANÇA - CALIBRADO SUSPENSÕES TRASEIRAS"/>
    <s v="SUSPENSAO"/>
    <s v="BALANCA"/>
    <s v="BALANCA"/>
    <s v="DESCALIBRACAO"/>
    <s v="CALIBRAR"/>
    <s v="Mecânica"/>
    <s v="Suspensao - Balanca"/>
    <s v="Balanca do Eix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8.5416666668606922E-2"/>
    <n v="0"/>
    <n v="0"/>
    <x v="593"/>
    <d v="2026-05-24T09:46:00"/>
    <x v="2"/>
    <s v="202602655972"/>
    <s v="9000"/>
    <s v="HMC - Hora de Manutenção Corretiva"/>
    <s v="HMC - AG OPERACAO"/>
    <s v="Filha"/>
    <x v="4"/>
    <s v="AGUARDANDO LIMPEZA DE BÁSCULA"/>
    <s v="SUSPENSAO"/>
    <s v="BALANCA"/>
    <s v="BALANCA"/>
    <s v="DESCALIBRACAO"/>
    <s v="CALIBRAR"/>
    <m/>
    <m/>
    <m/>
  </r>
  <r>
    <n v="0"/>
    <m/>
    <m/>
    <m/>
    <m/>
    <m/>
    <m/>
    <m/>
    <m/>
    <m/>
    <m/>
    <m/>
    <m/>
    <n v="1"/>
    <s v="MOTOR DE COMBUSTÃO"/>
    <x v="3"/>
    <s v="Corretivas"/>
    <n v="8.3463888888945803"/>
    <x v="1"/>
    <s v="NÃO EXP.MAE"/>
    <s v="NÃO"/>
    <n v="0"/>
    <n v="0"/>
    <n v="0"/>
    <x v="594"/>
    <d v="2026-05-26T14:40:47"/>
    <x v="2"/>
    <s v="202602684269"/>
    <s v="9000"/>
    <s v="HMC - Hora de Manutenção Corretiva"/>
    <s v="HMC - EXEC MANUT"/>
    <s v="Mãe"/>
    <x v="4"/>
    <s v="VAZAMENTO DO LIQUIDO ARREFECEDOR - SENADO VAZAMENTO NO MAGOTE DO LÍQUIDO ARREFECEDOR (FIXAÇÕES DAS ABRAÇADEIRAS)-202602684269"/>
    <s v="MOTOR DE COMBUSTAO"/>
    <s v="ARREFECIMENTO"/>
    <s v="MANGOTE"/>
    <s v="FIXACAO"/>
    <s v="FIXAR"/>
    <s v="Mecânica"/>
    <s v="Motor Combustao - Arrefecimento"/>
    <s v="Mangote-Fixaca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8.3333333335758653E-2"/>
    <n v="0"/>
    <n v="0"/>
    <x v="595"/>
    <d v="2026-05-26T09:30:00"/>
    <x v="2"/>
    <s v="202602684269"/>
    <s v="9000"/>
    <s v="HMC - Hora de Manutenção Corretiva"/>
    <s v="HMC - AG OPERACAO"/>
    <s v="Filha"/>
    <x v="4"/>
    <s v="AGUARDANDO OPERAÇÃO"/>
    <s v="MOTOR DE COMBUSTAO"/>
    <s v="ARREFECIMENTO"/>
    <s v="MANGOTE"/>
    <s v="FIXACAO"/>
    <s v="FIXAR"/>
    <m/>
    <m/>
    <m/>
  </r>
  <r>
    <n v="0"/>
    <m/>
    <m/>
    <m/>
    <m/>
    <m/>
    <m/>
    <m/>
    <m/>
    <m/>
    <m/>
    <m/>
    <m/>
    <n v="1"/>
    <s v="INSPEÇÃO SENSITIVA"/>
    <x v="1"/>
    <s v="Inspeção"/>
    <n v="0.45500000001629815"/>
    <x v="1"/>
    <s v="NÃO EXP.MAE"/>
    <s v="NÃO"/>
    <n v="0"/>
    <n v="0"/>
    <n v="0"/>
    <x v="596"/>
    <d v="2026-05-27T12:20:14"/>
    <x v="2"/>
    <m/>
    <s v="8006"/>
    <s v="MPNS - Hora Manutenção Preventiva não Sistemática"/>
    <s v="MPNS - EXEC PREDITIVA"/>
    <s v="Mãe"/>
    <x v="4"/>
    <s v="MACHINE GEN Started a delay: MPS - Exec preditiva"/>
    <s v="INSPEÇÃO"/>
    <s v="INSPEÇÃO"/>
    <s v="INSPEÇÃO"/>
    <s v="INSPEÇÃO"/>
    <s v="INSPEÇÃO"/>
    <m/>
    <m/>
    <m/>
  </r>
  <r>
    <n v="0"/>
    <m/>
    <m/>
    <m/>
    <m/>
    <m/>
    <m/>
    <m/>
    <m/>
    <m/>
    <m/>
    <n v="0"/>
    <m/>
    <n v="0"/>
    <s v="INSPEÇÃO SENSITIVA"/>
    <x v="4"/>
    <s v="Inspeção"/>
    <n v="0.20138888881774619"/>
    <x v="1"/>
    <s v="NÃO EXP.MAE"/>
    <s v="NÃO"/>
    <n v="0"/>
    <n v="0"/>
    <n v="0"/>
    <x v="597"/>
    <d v="2026-05-27T12:32:19"/>
    <x v="2"/>
    <m/>
    <s v="7005"/>
    <s v="MPS - Hora Manutenção Preventiva Sistemática"/>
    <s v="MPS-EXEC INSP MECANICA"/>
    <s v="Mãe"/>
    <x v="4"/>
    <m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DIRECAO"/>
    <x v="3"/>
    <s v="Corretivas"/>
    <n v="1.0627777777262963"/>
    <x v="1"/>
    <s v="NÃO EXP.MAE"/>
    <s v="NÃO"/>
    <n v="0"/>
    <n v="0"/>
    <n v="0"/>
    <x v="598"/>
    <d v="2026-05-27T21:33:41"/>
    <x v="2"/>
    <s v="202602728072"/>
    <s v="9000"/>
    <s v="HMC - Hora de Manutenção Corretiva"/>
    <s v="HMC - EXEC MANUT"/>
    <s v="Mãe"/>
    <x v="4"/>
    <s v="BAIXO NIVEL DE OLEO DA DIREÇÃO - COMPLETAR NÍVEL DO ÓLEO DA DIREÇÃO REALIZAR LIMPEZA NA VÁLVULA DO SOLENOIDE DESCOMPRESSOR - 202602728072"/>
    <s v="DIRECAO"/>
    <s v="HIDRAULICO"/>
    <s v="OLEO"/>
    <s v="NIVEL "/>
    <s v="COMPLETAR"/>
    <s v="Mecânica"/>
    <s v="Direcao - Tanque Oleo"/>
    <s v="Oleo-Nivel Baixo"/>
  </r>
  <r>
    <n v="0"/>
    <m/>
    <m/>
    <m/>
    <m/>
    <m/>
    <m/>
    <m/>
    <m/>
    <m/>
    <m/>
    <m/>
    <m/>
    <n v="1"/>
    <s v="ELETRICO"/>
    <x v="3"/>
    <s v="Corretivas"/>
    <n v="0.40305555565282702"/>
    <x v="1"/>
    <s v="NÃO EXP.MAE"/>
    <s v="NÃO"/>
    <n v="0"/>
    <n v="0"/>
    <n v="0"/>
    <x v="599"/>
    <d v="2026-05-29T17:24:34"/>
    <x v="2"/>
    <s v="202602766357"/>
    <s v="9000"/>
    <s v="HMC - Hora de Manutenção Corretiva"/>
    <s v="HMC - EXEC MANUT"/>
    <s v="Mãe"/>
    <x v="4"/>
    <s v="202602766357 - FALHA NAS CAMERAS - FIXADO CONECTOR"/>
    <s v="ELETRICO"/>
    <s v="SISTEMA DE CAMERA"/>
    <s v="CONECTOR"/>
    <s v="POSICAO"/>
    <s v="REPOSCIONAR"/>
    <s v="Mecânica"/>
    <s v="Estrutura"/>
    <s v="Fixações"/>
  </r>
  <r>
    <n v="0"/>
    <m/>
    <m/>
    <m/>
    <m/>
    <m/>
    <m/>
    <m/>
    <m/>
    <m/>
    <m/>
    <m/>
    <m/>
    <n v="1"/>
    <s v="DIRECAO"/>
    <x v="3"/>
    <s v="Corretivas"/>
    <n v="5.2080555555294268"/>
    <x v="1"/>
    <s v="NÃO EXP.MAE"/>
    <s v="NÃO"/>
    <n v="0"/>
    <n v="0"/>
    <n v="0"/>
    <x v="600"/>
    <d v="2026-05-30T00:08:19"/>
    <x v="2"/>
    <s v="202602767096"/>
    <s v="9000"/>
    <s v="HMC - Hora de Manutenção Corretiva"/>
    <s v="HMC - EXEC MANUT"/>
    <s v="Mãe"/>
    <x v="4"/>
    <s v="BAIXO NIVEL DO OLEO DA DIREÇÃO  202602767096  COMPLETADO  NIVEL DO OLEO DA DIREÇÃO MT:1150588"/>
    <s v="DIRECAO"/>
    <s v="LUBRIFICACAO"/>
    <s v="OLEO"/>
    <s v="BAIXI NIVEL"/>
    <s v="COMPLETAR"/>
    <s v="Mecânica"/>
    <s v="Direcao - Tanque Oleo"/>
    <s v="Oleo-Nivel Baixo"/>
  </r>
  <r>
    <n v="0"/>
    <m/>
    <m/>
    <m/>
    <m/>
    <m/>
    <m/>
    <m/>
    <m/>
    <m/>
    <m/>
    <m/>
    <s v="NÃO"/>
    <s v=""/>
    <s v=""/>
    <x v="2"/>
    <s v=""/>
    <s v=""/>
    <x v="2"/>
    <s v="NÃO EXP.MAE"/>
    <s v="NÃO"/>
    <n v="0"/>
    <n v="0"/>
    <n v="0"/>
    <x v="601"/>
    <d v="2026-05-29T23:57:00"/>
    <x v="2"/>
    <s v="202602767096"/>
    <s v="9000"/>
    <s v="HMC - Hora de Manutenção Corretiva"/>
    <s v="HMC - AG LUBRIFICACAO"/>
    <s v="Filha"/>
    <x v="4"/>
    <s v="AGUARDANDO COMBOIO"/>
    <s v="DIRECAO"/>
    <s v="LUBRIFICACAO"/>
    <s v="OLEO"/>
    <s v="BAIXI NIVEL"/>
    <s v="COMPLETA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3.9583333331393078E-2"/>
    <n v="0"/>
    <n v="0"/>
    <x v="601"/>
    <d v="2026-05-29T23:57:00"/>
    <x v="2"/>
    <s v="202602767096"/>
    <s v="9000"/>
    <s v="HMC - Hora de Manutenção Corretiva"/>
    <s v="HMC - AG LUBRIFICACAO"/>
    <s v="Filha"/>
    <x v="4"/>
    <s v="DESVIO AGUARDANDO COMBOIO &gt; 30 MIN"/>
    <s v="DIRECAO"/>
    <s v="LUBRIFICACAO"/>
    <s v="OLEO"/>
    <s v="BAIXI NIVEL"/>
    <s v="COMPLETAR"/>
    <m/>
    <m/>
    <m/>
  </r>
  <r>
    <n v="0"/>
    <m/>
    <m/>
    <m/>
    <m/>
    <m/>
    <m/>
    <m/>
    <m/>
    <m/>
    <m/>
    <m/>
    <m/>
    <n v="1"/>
    <s v="AR CONDICIONADO"/>
    <x v="3"/>
    <s v="Corretivas"/>
    <n v="1.3041666666395031"/>
    <x v="1"/>
    <s v="NÃO EXP.MAE"/>
    <s v="NÃO"/>
    <n v="0"/>
    <n v="0"/>
    <n v="0"/>
    <x v="602"/>
    <d v="2026-05-30T02:26:46"/>
    <x v="2"/>
    <s v="202602768208"/>
    <s v="9000"/>
    <s v="HMC - Hora de Manutenção Corretiva"/>
    <s v="HMC - EXEC MANUT"/>
    <s v="Mãe"/>
    <x v="4"/>
    <s v="FALHA NO AR CONDICIONADO  - 202602768208  REALIZADO  LIMPEZA NOS CONECTORES DOS SWITCHS DE ALTA E BAIXA E COMPLETADO  CARGA DE GÁS. MT:1150588"/>
    <s v="AR CONDICIONADO"/>
    <s v="COMPRESSOR"/>
    <s v="GAS"/>
    <s v="BAIXO NIVEL"/>
    <s v="COMPLETAR"/>
    <s v="Mecânica"/>
    <s v="Ar Condicionado - Compressor"/>
    <s v="Gas"/>
  </r>
  <r>
    <n v="0"/>
    <m/>
    <m/>
    <m/>
    <m/>
    <m/>
    <m/>
    <m/>
    <m/>
    <m/>
    <m/>
    <m/>
    <m/>
    <n v="1"/>
    <s v="REVISÃO PREVENTIVA"/>
    <x v="4"/>
    <s v="Preventivas"/>
    <n v="0.32694444438675418"/>
    <x v="0"/>
    <s v="EXP.MAE"/>
    <s v="NÃO"/>
    <n v="0"/>
    <n v="0"/>
    <n v="0"/>
    <x v="603"/>
    <d v="2026-05-31T23:59:59"/>
    <x v="2"/>
    <m/>
    <s v="7116"/>
    <s v="MPS - Hora Manutenção Preventiva Sistemática"/>
    <s v="MPS - AG LOCOMOCAO"/>
    <s v="Mãe"/>
    <x v="4"/>
    <s v="PM 1000h + 16BLs"/>
    <s v="PREVENTIVA"/>
    <s v="1000 HORAS"/>
    <m/>
    <m/>
    <m/>
    <m/>
    <m/>
    <m/>
  </r>
  <r>
    <n v="0"/>
    <m/>
    <m/>
    <m/>
    <m/>
    <m/>
    <m/>
    <m/>
    <m/>
    <m/>
    <m/>
    <n v="0"/>
    <m/>
    <n v="0"/>
    <s v="REVISÃO PREVENTIVA"/>
    <x v="4"/>
    <s v="Preventivas"/>
    <n v="0.33388888888293877"/>
    <x v="0"/>
    <s v="EXP.MAE"/>
    <s v="NÃO"/>
    <n v="0"/>
    <n v="0"/>
    <n v="0"/>
    <x v="604"/>
    <d v="2026-06-01T00:20:02"/>
    <x v="2"/>
    <m/>
    <s v="7116"/>
    <s v="MPS - Hora Manutenção Preventiva Sistemática"/>
    <s v="MPS - AG LOCOMOCAO"/>
    <s v="Mãe"/>
    <x v="5"/>
    <s v="PM 1000h + 16BLs"/>
    <s v="PREVENTIVA"/>
    <s v="10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1.3058333333465271"/>
    <x v="1"/>
    <s v="NÃO EXP.MAE"/>
    <s v="NÃO"/>
    <n v="0"/>
    <n v="0"/>
    <n v="0"/>
    <x v="605"/>
    <d v="2026-06-01T01:38:23"/>
    <x v="2"/>
    <m/>
    <s v="7000"/>
    <s v="MPS - Hora Manutenção Preventiva Sistemática"/>
    <s v="MPS - EXEC MANUT"/>
    <s v="Mãe"/>
    <x v="5"/>
    <s v="PM 1000h + 16BLs"/>
    <s v="PREVENTIVA"/>
    <s v="10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6.750833333353512"/>
    <x v="1"/>
    <s v="NÃO EXP.MAE"/>
    <s v="NÃO"/>
    <n v="0"/>
    <n v="0"/>
    <n v="0"/>
    <x v="606"/>
    <d v="2026-06-01T08:23:26"/>
    <x v="2"/>
    <m/>
    <s v="7000"/>
    <s v="MPS - Hora Manutenção Preventiva Sistemática"/>
    <s v="MPS - EXEC MANUT"/>
    <s v="Mãe"/>
    <x v="5"/>
    <s v="PM 1000h + 16BLs"/>
    <s v="PREVENTIVA"/>
    <s v="1000 HORAS"/>
    <m/>
    <m/>
    <m/>
    <m/>
    <m/>
    <m/>
  </r>
  <r>
    <n v="0"/>
    <m/>
    <m/>
    <m/>
    <m/>
    <m/>
    <m/>
    <m/>
    <m/>
    <m/>
    <m/>
    <n v="0"/>
    <m/>
    <n v="0"/>
    <s v="REVISÃO PREVENTIVA"/>
    <x v="4"/>
    <s v="Preventivas"/>
    <n v="0.67472222226206213"/>
    <x v="1"/>
    <s v="NÃO EXP.MAE"/>
    <s v="NÃO"/>
    <n v="0"/>
    <n v="0"/>
    <n v="0"/>
    <x v="607"/>
    <d v="2026-06-01T09:03:55"/>
    <x v="2"/>
    <m/>
    <s v="7011"/>
    <s v="MPS - Hora Manutenção Preventiva Sistemática"/>
    <s v="MPS - EXEC LAVADOR"/>
    <s v="Mãe"/>
    <x v="5"/>
    <s v="PM 1000h + 16BLs"/>
    <s v="PREVENTIVA"/>
    <s v="10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35.330555555527098"/>
    <x v="1"/>
    <s v="NÃO EXP.MAE"/>
    <s v="NÃO"/>
    <n v="0"/>
    <n v="0"/>
    <n v="0"/>
    <x v="608"/>
    <d v="2026-06-02T20:23:45"/>
    <x v="2"/>
    <m/>
    <s v="7000"/>
    <s v="MPS - Hora Manutenção Preventiva Sistemática"/>
    <s v="MPS - EXEC MANUT"/>
    <s v="Mãe"/>
    <x v="5"/>
    <s v="PM 1000h + 16BLs"/>
    <s v="PREVENTIVA"/>
    <s v="1000 HORAS"/>
    <m/>
    <m/>
    <m/>
    <m/>
    <m/>
    <m/>
  </r>
  <r>
    <n v="0"/>
    <m/>
    <m/>
    <m/>
    <m/>
    <m/>
    <m/>
    <m/>
    <m/>
    <m/>
    <m/>
    <m/>
    <m/>
    <n v="1"/>
    <s v="ESTRUTURA"/>
    <x v="3"/>
    <s v="Corretivas"/>
    <n v="3.0674999998882413"/>
    <x v="1"/>
    <s v="NÃO EXP.MAE"/>
    <s v="NÃO"/>
    <n v="0"/>
    <n v="0"/>
    <n v="0"/>
    <x v="609"/>
    <d v="2026-06-04T10:56:37"/>
    <x v="2"/>
    <n v="202602874812"/>
    <s v="9000"/>
    <s v="HMC - Hora de Manutenção Corretiva"/>
    <s v="HMC - EXEC MANUT"/>
    <s v="Mãe"/>
    <x v="5"/>
    <s v="202602874812  - RETROVISOR SOLTO -  REALIZADO REPARO NO  SUPORTE DO RETROVISOR."/>
    <s v="ESTRUTURA"/>
    <s v="ESTRUTURA"/>
    <s v="SUPORTE DO RETROVISOR"/>
    <s v="FIXACAO"/>
    <s v="FIXAR"/>
    <m/>
    <m/>
    <m/>
  </r>
  <r>
    <n v="0"/>
    <m/>
    <m/>
    <m/>
    <m/>
    <m/>
    <m/>
    <m/>
    <m/>
    <m/>
    <m/>
    <m/>
    <s v="NÃO"/>
    <s v=""/>
    <s v=""/>
    <x v="2"/>
    <s v=""/>
    <s v=""/>
    <x v="2"/>
    <s v="NÃO EXP.MAE"/>
    <s v="NÃO"/>
    <n v="0"/>
    <n v="0"/>
    <n v="0"/>
    <x v="609"/>
    <d v="2026-06-04T09:19:00"/>
    <x v="2"/>
    <n v="202602874812"/>
    <s v="9000"/>
    <s v="HMC - Hora de Manutenção Corretiva"/>
    <s v="HMC - AG LOCOMOCAO"/>
    <s v="Filha"/>
    <x v="5"/>
    <s v="AGUARDANDO LOCOMOÇÃO"/>
    <s v="ESTRUTURA"/>
    <s v="ESTRUTURA"/>
    <s v="SUPORTE DO RETROVISOR"/>
    <s v="FIXACAO"/>
    <s v="FIXA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1.8356481479713693E-2"/>
    <n v="0"/>
    <n v="0"/>
    <x v="610"/>
    <d v="2026-06-04T09:19:00"/>
    <x v="2"/>
    <n v="202602874812"/>
    <s v="9000"/>
    <s v="HMC - Hora de Manutenção Corretiva"/>
    <s v="HMC - AG LOCOMOCAO"/>
    <s v="Filha"/>
    <x v="5"/>
    <s v="DESVIO AGUARDANDO LOCOMOÇÃO &gt; 1H"/>
    <s v="ESTRUTURA"/>
    <s v="ESTRUTURA"/>
    <s v="SUPORTE DO RETROVISOR"/>
    <s v="FIXACAO"/>
    <s v="FIXAR"/>
    <m/>
    <m/>
    <m/>
  </r>
  <r>
    <n v="0"/>
    <m/>
    <m/>
    <m/>
    <m/>
    <m/>
    <m/>
    <m/>
    <m/>
    <m/>
    <m/>
    <m/>
    <m/>
    <n v="1"/>
    <s v="ESTRUTURA"/>
    <x v="3"/>
    <s v="Corretivas"/>
    <n v="1.8844444443820976"/>
    <x v="1"/>
    <s v="NÃO EXP.MAE"/>
    <s v="NÃO"/>
    <n v="0"/>
    <n v="0"/>
    <n v="0"/>
    <x v="611"/>
    <d v="2026-06-05T08:22:45"/>
    <x v="2"/>
    <s v="202602886868"/>
    <s v="9000"/>
    <s v="HMC - Hora de Manutenção Corretiva"/>
    <s v="HMC - EXEC MANUT"/>
    <s v="Mãe"/>
    <x v="5"/>
    <s v="202602886868 FALHA NO VIDRO DA PORTA-REALIZADO PALIATIVO NO VIDRO"/>
    <s v="ESTRUTURA"/>
    <s v="CABINE"/>
    <s v="VIDRO DA PORTA"/>
    <s v="POSICAO"/>
    <s v="REPOSCIONAR"/>
    <s v="Mecânica"/>
    <s v="Estrutura - Cabine"/>
    <s v="Porta-Avaria"/>
  </r>
  <r>
    <n v="0"/>
    <m/>
    <m/>
    <m/>
    <m/>
    <m/>
    <m/>
    <m/>
    <m/>
    <m/>
    <m/>
    <m/>
    <m/>
    <n v="1"/>
    <s v="HIDRAULICO"/>
    <x v="3"/>
    <s v="Corretivas"/>
    <n v="2.2736111110425554"/>
    <x v="1"/>
    <s v="NÃO EXP.MAE"/>
    <s v="NÃO"/>
    <n v="0"/>
    <n v="0"/>
    <n v="0"/>
    <x v="612"/>
    <d v="2026-06-07T08:29:28"/>
    <x v="2"/>
    <s v="000000000000"/>
    <s v="9000"/>
    <s v="HMC - Hora de Manutenção Corretiva"/>
    <s v="HMC - EXEC MANUT"/>
    <s v="Mãe"/>
    <x v="5"/>
    <s v="VAZAMENTO HIDRÁULICO - VAZAMENTO NO SUSPIRO DEVIDO A NÍVEL ALTO – (SEM ATUAÇÃO)"/>
    <s v="HIDRAULICO"/>
    <s v="TANQUE HIDRAULICO"/>
    <s v="OLEO"/>
    <s v="ALTO NIVEL"/>
    <s v="MONITORAR"/>
    <s v="Mecânica"/>
    <s v="Hidraulico Cavalo - Tanque Oleo"/>
    <s v="Oleo"/>
  </r>
  <r>
    <n v="0"/>
    <m/>
    <m/>
    <m/>
    <m/>
    <m/>
    <m/>
    <m/>
    <m/>
    <m/>
    <m/>
    <m/>
    <m/>
    <n v="1"/>
    <s v="LOCOMOÇÃO"/>
    <x v="1"/>
    <s v="Man. Pneus"/>
    <n v="5.8072222222108394"/>
    <x v="1"/>
    <s v="NÃO EXP.MAE"/>
    <s v="NÃO"/>
    <n v="0"/>
    <n v="0"/>
    <n v="0"/>
    <x v="613"/>
    <d v="2026-06-08T12:41:30"/>
    <x v="2"/>
    <m/>
    <s v="8010"/>
    <s v="MPNS - Hora Manutenção Preventiva não Sistemática"/>
    <s v="MPNS - EXEC BORRACHARIA"/>
    <s v="Mãe"/>
    <x v="5"/>
    <s v="MACHINE GEN Started a delay: MPNS - Exec borracharia"/>
    <s v="LOCOMOCAO"/>
    <s v="LOCOMOCAO"/>
    <s v="LOCOMOCAO"/>
    <s v="LOCOMOCAO"/>
    <s v="LOCOMOCAO"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0.11076308518386213"/>
    <n v="0"/>
    <n v="0"/>
    <x v="614"/>
    <d v="2026-06-08T12:41:30"/>
    <x v="2"/>
    <m/>
    <s v="8010"/>
    <s v="MPNS - Hora Manutenção Preventiva não Sistemática"/>
    <s v="MPNS - EXEC BORRACHARIA"/>
    <s v="Filha"/>
    <x v="5"/>
    <s v="MACHINE GEN Started a delay: MPNS - Exec borracharia"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DIRECAO"/>
    <x v="3"/>
    <s v="Corretivas"/>
    <n v="40.534999999974389"/>
    <x v="1"/>
    <s v="NÃO EXP.MAE"/>
    <s v="NÃO"/>
    <n v="0"/>
    <n v="0"/>
    <n v="0"/>
    <x v="615"/>
    <d v="2026-06-11T05:17:25"/>
    <x v="2"/>
    <m/>
    <s v="9000"/>
    <s v="HMC - Hora de Manutenção Corretiva"/>
    <s v="HMC - EXEC MANUT"/>
    <s v="Mãe"/>
    <x v="5"/>
    <s v="QUEBRA DA BARRA DO CILINDRO DE DIREÇÃO L/D - SUBSTITUIR BARRA DA DIREÇÃO - 202602957360"/>
    <s v="DIRECAO"/>
    <s v="CILINDRO LD"/>
    <s v="BARRA DO CILINDRO"/>
    <s v="QUEBR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6.9444444445252884E-2"/>
    <n v="0"/>
    <n v="0"/>
    <x v="616"/>
    <d v="2026-06-10T08:00:00"/>
    <x v="2"/>
    <n v="202602978343"/>
    <s v="9000"/>
    <s v="HMC - Hora de Manutenção Corretiva"/>
    <s v="HMC - AG MAU TEMPO"/>
    <s v="Filha"/>
    <x v="5"/>
    <s v="AGUARDANDO MAU TEMPO"/>
    <s v="DIRECAO"/>
    <s v="CILINDRO LD"/>
    <s v="BARRA DO CILINDRO"/>
    <s v="QUEBR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3.9583333331393078E-2"/>
    <n v="0"/>
    <n v="0"/>
    <x v="617"/>
    <d v="2026-06-10T14:07:00"/>
    <x v="2"/>
    <n v="202602978343"/>
    <s v="9000"/>
    <s v="HMC - Hora de Manutenção Corretiva"/>
    <s v="HMC - AG MAU TEMPO"/>
    <s v="Filha"/>
    <x v="5"/>
    <s v="AGUARDANDO MAU TEMPO"/>
    <s v="DIRECAO"/>
    <s v="CILINDRO LD"/>
    <s v="BARRA DO CILINDRO"/>
    <s v="QUEBRA"/>
    <s v="SUBSTITUIR"/>
    <m/>
    <m/>
    <m/>
  </r>
  <r>
    <n v="0"/>
    <m/>
    <m/>
    <m/>
    <m/>
    <m/>
    <m/>
    <m/>
    <m/>
    <m/>
    <m/>
    <m/>
    <m/>
    <n v="1"/>
    <s v="TREM DE FORÇA"/>
    <x v="3"/>
    <s v="Corretivas"/>
    <n v="6.1736111110076308"/>
    <x v="1"/>
    <s v="NÃO EXP.MAE"/>
    <s v="NÃO"/>
    <n v="0"/>
    <n v="0"/>
    <n v="0"/>
    <x v="618"/>
    <d v="2026-06-11T17:08:16"/>
    <x v="2"/>
    <s v="202603005612"/>
    <s v="9000"/>
    <s v="HMC - Hora de Manutenção Corretiva"/>
    <s v="HMC - EXEC MANUT"/>
    <s v="Mãe"/>
    <x v="5"/>
    <s v="202603005612 - VAZAMENTO HIDRÁULICO - VAZAMENTO NO COMANDO FINAL (SERÁ SANADO NÁ PREVENTIVA)"/>
    <s v="TREM DE FORCA"/>
    <s v="COMANDO FINAL LD"/>
    <s v="VEDACAO"/>
    <s v="VAZAMENTO"/>
    <s v="MONITORAR"/>
    <s v="Mecânica"/>
    <s v="Transmis Forca - Comando Final Td"/>
    <s v="Vedação-Vazament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17726851851330139"/>
    <n v="0"/>
    <n v="0"/>
    <x v="619"/>
    <d v="2026-06-11T17:08:16"/>
    <x v="2"/>
    <s v="202603005612"/>
    <s v="9000"/>
    <s v="HMC - Hora de Manutenção Corretiva"/>
    <s v="HMC - AG OPERACAO"/>
    <s v="Filha"/>
    <x v="5"/>
    <s v="AGUARDANDO CAMINHAO PIPA PARA LIMPEZA OLEO RESIDUAL"/>
    <s v="TREM DE FORCA"/>
    <s v="COMANDO FINAL LD"/>
    <s v="VEDACAO"/>
    <s v="VAZAMENTO"/>
    <s v="MONITORAR"/>
    <m/>
    <m/>
    <m/>
  </r>
  <r>
    <n v="0"/>
    <m/>
    <m/>
    <m/>
    <m/>
    <m/>
    <m/>
    <m/>
    <m/>
    <m/>
    <m/>
    <m/>
    <m/>
    <n v="1"/>
    <s v="LOCOMOÇÃO"/>
    <x v="1"/>
    <s v="Man. Pneus"/>
    <n v="2.5705555555759929"/>
    <x v="1"/>
    <s v="NÃO EXP.MAE"/>
    <s v="NÃO"/>
    <n v="0"/>
    <n v="0"/>
    <n v="0"/>
    <x v="620"/>
    <d v="2026-06-12T09:15:07"/>
    <x v="2"/>
    <m/>
    <s v="8010"/>
    <s v="MPNS - Hora Manutenção Preventiva não Sistemática"/>
    <s v="MPNS - EXEC BORRACHARIA"/>
    <s v="Mãe"/>
    <x v="5"/>
    <s v="ALTA PRESSÃO NO PNEU TDE"/>
    <s v="LOCOMOCAO"/>
    <s v="RODA TDE"/>
    <s v="PNEU"/>
    <s v="ALTA PRESSÃO"/>
    <s v="CALIBRAR"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4.9029062960471492E-2"/>
    <n v="0"/>
    <n v="0"/>
    <x v="621"/>
    <d v="2026-06-12T09:15:07"/>
    <x v="2"/>
    <m/>
    <s v="8010"/>
    <s v="MPNS - Hora Manutenção Preventiva não Sistemática"/>
    <s v="MPNS - EXEC BORRACHARIA"/>
    <s v="Filha"/>
    <x v="5"/>
    <s v="ALTA PRESSÃO NO PNEU TDE"/>
    <s v="LOCOMOCAO"/>
    <s v="RODA TDE"/>
    <s v="PNEU"/>
    <s v="ALTA PRESSÃO"/>
    <s v="CALIBRAR"/>
    <m/>
    <m/>
    <m/>
  </r>
  <r>
    <n v="0"/>
    <m/>
    <m/>
    <m/>
    <m/>
    <m/>
    <m/>
    <m/>
    <m/>
    <m/>
    <m/>
    <m/>
    <m/>
    <n v="1"/>
    <s v="AR CONDICIONADO"/>
    <x v="3"/>
    <s v="Corretivas"/>
    <n v="4.5002777778427117"/>
    <x v="1"/>
    <s v="NÃO EXP.MAE"/>
    <s v="NÃO"/>
    <n v="0"/>
    <n v="0"/>
    <n v="0"/>
    <x v="622"/>
    <d v="2026-06-15T11:59:20"/>
    <x v="2"/>
    <s v="202603056817"/>
    <s v="9000"/>
    <s v="HMC - Hora de Manutenção Corretiva"/>
    <s v="HMC - EXEC MANUT"/>
    <s v="Mãe"/>
    <x v="5"/>
    <s v="FALHA NO AR CONDICIONADO E PEDAL DE ACELERAÇÃO DURO.-SUBS RELE DE ACIONAMENTO DO COMPRESSOR -202603056817"/>
    <s v="AR CONDICIONADO"/>
    <s v="COMPRESSOR"/>
    <s v="RELE DE ACIONAMENTO"/>
    <s v="FALHA"/>
    <s v="SUBSTITUIR"/>
    <s v="Mecânica"/>
    <s v="Ar Condicionado - Compressor"/>
    <s v="Compressor"/>
  </r>
  <r>
    <n v="0"/>
    <m/>
    <m/>
    <m/>
    <m/>
    <m/>
    <m/>
    <m/>
    <m/>
    <m/>
    <m/>
    <m/>
    <m/>
    <n v="1"/>
    <s v="LOCOMOÇÃO"/>
    <x v="1"/>
    <s v="Man. Pneus"/>
    <n v="0.38749999995343387"/>
    <x v="1"/>
    <s v="NÃO EXP.MAE"/>
    <s v="NÃO"/>
    <n v="0"/>
    <n v="0"/>
    <n v="0"/>
    <x v="623"/>
    <d v="2026-06-16T18:45:14"/>
    <x v="2"/>
    <m/>
    <s v="8010"/>
    <s v="MPNS - Hora Manutenção Preventiva não Sistemática"/>
    <s v="MPNS - EXEC BORRACHARIA"/>
    <s v="Mãe"/>
    <x v="5"/>
    <s v="AG AVALIAÇÃO DA BORRACHARIA"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NÃO"/>
    <n v="0"/>
    <n v="0"/>
    <n v="0"/>
    <x v="624"/>
    <d v="2026-06-16T18:45:14"/>
    <x v="2"/>
    <m/>
    <s v="8010"/>
    <s v="MPNS - Hora Manutenção Preventiva não Sistemática"/>
    <s v="MPNS - EXEC BORRACHARIA"/>
    <s v="Filha"/>
    <x v="5"/>
    <s v="AG AVALIAÇÃO DA BORRACHARIA"/>
    <s v="LOCOMOCAO"/>
    <s v="LOCOMOCAO"/>
    <s v="LOCOMOCAO"/>
    <s v="LOCOMOCAO"/>
    <m/>
    <m/>
    <m/>
    <m/>
  </r>
  <r>
    <n v="0"/>
    <m/>
    <m/>
    <m/>
    <m/>
    <m/>
    <m/>
    <m/>
    <m/>
    <m/>
    <m/>
    <m/>
    <m/>
    <n v="1"/>
    <s v="INSPEÇÃO SENSITIVA"/>
    <x v="4"/>
    <s v="Inspeção"/>
    <n v="1.2197222221875563"/>
    <x v="1"/>
    <s v="NÃO EXP.MAE"/>
    <s v="NÃO"/>
    <n v="0"/>
    <n v="0"/>
    <n v="0"/>
    <x v="625"/>
    <d v="2026-06-18T12:01:56"/>
    <x v="2"/>
    <m/>
    <s v="7005"/>
    <s v="MPS - Hora Manutenção Preventiva Sistemática"/>
    <s v="MPS-EXEC INSP MECANICA"/>
    <s v="Mãe"/>
    <x v="5"/>
    <s v="MACHINE GEN Started a delay: MPS - Exec insp mecanica"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AR CONDICIONADO"/>
    <x v="3"/>
    <s v="Corretivas"/>
    <n v="1.6794444444822147"/>
    <x v="1"/>
    <s v="NÃO EXP.MAE"/>
    <s v="NÃO"/>
    <n v="0"/>
    <n v="0"/>
    <n v="0"/>
    <x v="626"/>
    <d v="2026-06-20T05:04:09"/>
    <x v="2"/>
    <s v="202603170618"/>
    <s v="9000"/>
    <s v="HMC - Hora de Manutenção Corretiva"/>
    <s v="HMC - EXEC MANUT"/>
    <s v="Mãe"/>
    <x v="5"/>
    <s v="FALHA NO AR-CONDICIONADO - 202603170618 - COMPLEMENTO DE GAS REFRIGERANTE"/>
    <s v="AR CONDICIONADO"/>
    <s v="COMPRESSOR"/>
    <s v="GAS"/>
    <s v="BAIXO NIVEL"/>
    <s v="COMPLETAR"/>
    <s v="Mecânica"/>
    <s v="Ar Condicionado - Compressor"/>
    <s v="Gas"/>
  </r>
  <r>
    <n v="0"/>
    <m/>
    <m/>
    <m/>
    <m/>
    <m/>
    <m/>
    <m/>
    <m/>
    <m/>
    <m/>
    <m/>
    <m/>
    <n v="1"/>
    <s v="AR CONDICIONADO"/>
    <x v="3"/>
    <s v="Corretivas"/>
    <n v="5.4547222220571712"/>
    <x v="1"/>
    <s v="NÃO EXP.MAE"/>
    <s v="NÃO"/>
    <n v="0"/>
    <n v="0"/>
    <n v="0"/>
    <x v="627"/>
    <d v="2026-06-20T12:22:26"/>
    <x v="2"/>
    <m/>
    <s v="9000"/>
    <s v="HMC - Hora de Manutenção Corretiva"/>
    <s v="HMC - EXEC MANUT"/>
    <s v="Mãe"/>
    <x v="5"/>
    <s v="FALHA NO AR-CONDICIONADO - SUBSTITUIDO O FILTRO SECADOR E COMPLETANDO CARGA DE GÁS - 202603173943"/>
    <s v="AR CONDICIONADO"/>
    <s v="FILTRO"/>
    <s v="FILTRO SECADOR"/>
    <s v="AVARIA"/>
    <s v="TROCAR"/>
    <m/>
    <m/>
    <m/>
  </r>
  <r>
    <n v="0"/>
    <m/>
    <m/>
    <m/>
    <m/>
    <m/>
    <m/>
    <m/>
    <m/>
    <m/>
    <m/>
    <m/>
    <m/>
    <n v="1"/>
    <s v="REVISÃO PREVENTIVA"/>
    <x v="4"/>
    <s v="Preventivas"/>
    <n v="5.344166666676756"/>
    <x v="1"/>
    <s v="NÃO EXP.MAE"/>
    <s v="NÃO"/>
    <n v="0"/>
    <n v="0"/>
    <n v="0"/>
    <x v="628"/>
    <d v="2026-06-22T13:59:03"/>
    <x v="2"/>
    <m/>
    <s v="7000"/>
    <s v="MPS - Hora Manutenção Preventiva Sistemática"/>
    <s v="MPS - EXEC MANUT"/>
    <s v="Mãe"/>
    <x v="5"/>
    <s v="PM 250h + 4 BLs"/>
    <s v="PREVENTIVA"/>
    <s v="PITSTOP"/>
    <m/>
    <m/>
    <m/>
    <m/>
    <m/>
    <m/>
  </r>
  <r>
    <n v="0"/>
    <m/>
    <m/>
    <m/>
    <m/>
    <m/>
    <m/>
    <m/>
    <m/>
    <m/>
    <m/>
    <m/>
    <m/>
    <n v="1"/>
    <s v="LOCOMOÇÃO"/>
    <x v="3"/>
    <s v="Man. Pneus"/>
    <n v="0.79500000004190952"/>
    <x v="1"/>
    <s v="NÃO EXP.MAE"/>
    <s v="NÃO"/>
    <n v="0"/>
    <n v="0"/>
    <n v="0"/>
    <x v="629"/>
    <d v="2026-06-30T02:31:30"/>
    <x v="2"/>
    <s v="202603336673"/>
    <s v="9010"/>
    <s v="HMC - Hora de Manutenção Corretiva"/>
    <s v="HMC - EXEC BORRACHARIA"/>
    <s v="Mãe"/>
    <x v="5"/>
    <s v="PNEU TRASEIRO (DD) ESTA COM BAIXA PRESSÃO - 202603336673 CALIBRADO PNEU DD  MT: 01544603"/>
    <s v="LOCOMOCAO"/>
    <s v="RODA DD"/>
    <s v="PNEU"/>
    <s v="PRESSAO"/>
    <s v="CALIBRAR"/>
    <s v="Borracharia"/>
    <s v="Locomocao - Roda Dd"/>
    <s v="Pneu-Pressao"/>
  </r>
  <r>
    <n v="0"/>
    <m/>
    <m/>
    <m/>
    <m/>
    <m/>
    <m/>
    <m/>
    <m/>
    <m/>
    <m/>
    <m/>
    <m/>
    <s v=""/>
    <s v=""/>
    <x v="2"/>
    <s v=""/>
    <s v=""/>
    <x v="2"/>
    <s v="NÃO EXP.MAE"/>
    <s v="NÃO"/>
    <n v="0"/>
    <n v="0"/>
    <n v="0"/>
    <x v="630"/>
    <d v="2026-06-30T02:31:30"/>
    <x v="2"/>
    <s v="202603336673"/>
    <s v="9010"/>
    <s v="HMC - Hora de Manutenção Corretiva"/>
    <s v="HMC - EXEC BORRACHARIA"/>
    <s v="Filha"/>
    <x v="5"/>
    <s v="PNEU TRASEIRO (DD) ESTA COM BAIXA PRESSÃO - 202603336673 CALIBRADO PNEU DD  MT: 01544603"/>
    <s v="LOCOMOCAO"/>
    <s v="RODA DD"/>
    <s v="PNEU"/>
    <s v="PRESSAO"/>
    <s v="CALIBRAR"/>
    <m/>
    <m/>
    <m/>
  </r>
  <r>
    <n v="0"/>
    <m/>
    <m/>
    <m/>
    <m/>
    <m/>
    <m/>
    <m/>
    <m/>
    <m/>
    <m/>
    <m/>
    <m/>
    <n v="1"/>
    <s v="MOTOR DE COMBUSTÃO"/>
    <x v="3"/>
    <s v="Corretivas"/>
    <n v="2.1783333333441988"/>
    <x v="1"/>
    <s v="NÃO EXP.MAE"/>
    <s v="NÃO"/>
    <n v="0"/>
    <n v="0"/>
    <n v="0"/>
    <x v="631"/>
    <d v="2026-07-04T10:01:32"/>
    <x v="2"/>
    <s v="202602346075"/>
    <s v="9000"/>
    <s v="HMC - Hora de Manutenção Corretiva"/>
    <s v="HMC - EXEC MANUT"/>
    <s v="Mãe"/>
    <x v="6"/>
    <s v="202602346075 VAZAMENTO DE OLEO -SUBSTITUIDO MANGUEIRA DE ARREFECIEENTO LD E COMPLE 200 LITROS DE OLEO HIDRAULICO"/>
    <s v="MOTOR DE COMBUSTAO"/>
    <s v="ARREFECIMENTO"/>
    <s v="LIQUIDO ARREFECIMENTO"/>
    <s v="BAIXO NIVEL"/>
    <s v="COMPLETAR"/>
    <s v="Mecânica"/>
    <s v="Motor Combustao - Arrefecimento"/>
    <s v="Liquido Arrefecimento-Nivel Baixo"/>
  </r>
  <r>
    <n v="0"/>
    <m/>
    <m/>
    <m/>
    <m/>
    <m/>
    <m/>
    <m/>
    <m/>
    <m/>
    <m/>
    <m/>
    <s v="SIM"/>
    <n v="1"/>
    <s v="SISTEMA DE FREIO"/>
    <x v="3"/>
    <s v="Corretivas"/>
    <n v="4.4800000000395812"/>
    <x v="0"/>
    <s v="EXP.MAE"/>
    <s v="NÃO"/>
    <n v="0"/>
    <n v="0"/>
    <n v="0"/>
    <x v="632"/>
    <d v="2026-07-04T15:09:07"/>
    <x v="2"/>
    <m/>
    <s v="9000"/>
    <s v="HMC - Hora de Manutenção Corretiva"/>
    <s v="HMC - EXEC MANUT"/>
    <s v="Mãe"/>
    <x v="6"/>
    <s v="VAZAMANTO NA RODA - SEM ATUAÇÃO DA MECANICA #DESVIOS: VAZAMANTO NA RODA - SEM ATUAÇÃO DA MECANICA, (FEITO FICHA)PARADA RELACIONADO AO COMPONENTE"/>
    <s v="FRENAGEM"/>
    <m/>
    <m/>
    <m/>
    <m/>
    <s v="Mecânica"/>
    <s v="Frenagem - Roda Dd"/>
    <s v="Mangueira"/>
  </r>
  <r>
    <n v="0"/>
    <m/>
    <m/>
    <m/>
    <m/>
    <m/>
    <m/>
    <m/>
    <m/>
    <m/>
    <m/>
    <m/>
    <m/>
    <n v="1"/>
    <s v="ESTRUTURA"/>
    <x v="3"/>
    <s v="Corretivas"/>
    <n v="1.9252777776564471"/>
    <x v="1"/>
    <s v="NÃO EXP.MAE"/>
    <s v="NÃO"/>
    <n v="0"/>
    <n v="0"/>
    <n v="0"/>
    <x v="633"/>
    <d v="2026-07-04T21:26:18"/>
    <x v="2"/>
    <s v="202603429319"/>
    <s v="9000"/>
    <s v="HMC - Hora de Manutenção Corretiva"/>
    <s v="HMC - EXEC MANUT"/>
    <s v="Mãe"/>
    <x v="6"/>
    <s v="TRAVA DE PROTEÇÃO DA ESCADA DE EMERGENCIA DANIFICADA  -202603429319 REALIZADO  SOLDA TRAVA DA PORTINHOLA DA ESCADA DE EMERGÊNCIA  MT:22101636"/>
    <s v="ESTRUTURA"/>
    <s v="ESCADA RETRATIL"/>
    <s v="TRAVA DE PROTECAO"/>
    <s v="AVARIA"/>
    <s v="SOLDAR"/>
    <s v="Mecânica"/>
    <s v="Estrutura - Cabine"/>
    <s v="Escada"/>
  </r>
  <r>
    <n v="0"/>
    <m/>
    <m/>
    <m/>
    <m/>
    <m/>
    <m/>
    <m/>
    <m/>
    <m/>
    <m/>
    <m/>
    <m/>
    <n v="1"/>
    <s v="INSPEÇÃO SENSITIVA"/>
    <x v="4"/>
    <s v="Inspeção"/>
    <n v="3.2233333333279006"/>
    <x v="1"/>
    <s v="NÃO EXP.MAE"/>
    <s v="NÃO"/>
    <n v="0"/>
    <n v="0"/>
    <n v="0"/>
    <x v="634"/>
    <d v="2026-07-08T14:08:13"/>
    <x v="2"/>
    <s v=""/>
    <s v="7005"/>
    <s v="MPS - Hora Manutenção Preventiva Sistemática"/>
    <s v="MPS-EXEC INSP MECANICA"/>
    <s v="Mãe"/>
    <x v="6"/>
    <s v=""/>
    <s v="INSPEÇÃO"/>
    <s v="INSPEÇÃO"/>
    <s v="INSPEÇÃO"/>
    <s v="INSPEÇÃO"/>
    <s v="INSPEÇÃO"/>
    <s v=""/>
    <s v=""/>
    <s v=""/>
  </r>
  <r>
    <n v="0"/>
    <m/>
    <m/>
    <m/>
    <m/>
    <m/>
    <m/>
    <m/>
    <m/>
    <m/>
    <m/>
    <m/>
    <s v="SIM"/>
    <n v="1"/>
    <s v="DIRECAO"/>
    <x v="3"/>
    <s v="Corretivas"/>
    <n v="0.68305555562255904"/>
    <x v="0"/>
    <s v="EXP.MAE"/>
    <s v="NÃO"/>
    <n v="0"/>
    <n v="0"/>
    <n v="0"/>
    <x v="635"/>
    <d v="2026-07-11T08:49:37"/>
    <x v="2"/>
    <s v="226355312"/>
    <s v="9000"/>
    <s v="HMC - Hora de Manutenção Corretiva"/>
    <s v="HMC - EXEC MANUT"/>
    <s v="Mãe"/>
    <x v="6"/>
    <s v="202603553120 - BAIXO NIVEL DE ÓLEO DA DIREÇÃO - COMPLETADO 40 L DE ÓLEO DA DIREÇÃO,COMPLETADO 60  L  DE ÓLEO HIDRÁULICO. #DESVIOS: PARADA RELACIONADO AO COMPONENTE"/>
    <s v="DIRECAO"/>
    <s v="LUBRIFICACAO"/>
    <s v="OLEO"/>
    <s v="BAIXO NIVEL"/>
    <s v="COMPLETAR"/>
    <s v="Mecânica"/>
    <s v="Direcao - Tanque Oleo"/>
    <s v="Oleo-Nivel Baixo"/>
  </r>
  <r>
    <n v="0"/>
    <m/>
    <m/>
    <m/>
    <m/>
    <m/>
    <m/>
    <m/>
    <m/>
    <m/>
    <m/>
    <m/>
    <m/>
    <n v="1"/>
    <s v="DIRECAO"/>
    <x v="3"/>
    <s v="Corretivas"/>
    <n v="1.4425000000046566"/>
    <x v="1"/>
    <s v="NÃO EXP.MAE"/>
    <s v="NÃO"/>
    <n v="0"/>
    <n v="0"/>
    <n v="0"/>
    <x v="636"/>
    <d v="2026-07-11T12:37:06"/>
    <x v="2"/>
    <s v="226355312"/>
    <s v="9000"/>
    <s v="HMC - Hora de Manutenção Corretiva"/>
    <s v="HMC - EXEC MANUT"/>
    <s v="Mãe"/>
    <x v="6"/>
    <s v="202603553120- BAIXO NIVEL DE OLEO- SUB VEDAÇÃO DA MANGUEIRA DA  DIREÇÃO  LADO DIREITO COMPLETADO 10 DE ÓLEO DA DIREÇÃO.."/>
    <s v="DIRECAO"/>
    <s v="LUBRIFICACAO"/>
    <s v="OLEO"/>
    <s v="BAIXO NIVEL"/>
    <s v="COMPLETAR"/>
    <s v="Mecânica"/>
    <s v="Direcao - Tanque Oleo"/>
    <s v="Conexões;Vedação"/>
  </r>
  <r>
    <n v="0"/>
    <m/>
    <m/>
    <m/>
    <m/>
    <m/>
    <m/>
    <m/>
    <m/>
    <m/>
    <m/>
    <m/>
    <s v="NÃO"/>
    <n v="1"/>
    <s v="REVISÃO PREVENTIVA"/>
    <x v="4"/>
    <s v="Preventivas"/>
    <n v="5.5941666666185483"/>
    <x v="1"/>
    <s v="NÃO EXP.MAE"/>
    <s v="NÃO"/>
    <n v="0"/>
    <n v="0"/>
    <n v="0"/>
    <x v="637"/>
    <d v="2026-07-12T00:50:00"/>
    <x v="2"/>
    <s v=""/>
    <s v="7116"/>
    <s v="MPS - Hora Manutenção Preventiva Sistemática"/>
    <s v="MPS - AG LOCOMOCAO"/>
    <s v="Mãe"/>
    <x v="6"/>
    <s v="PM 500h + 35 BLs"/>
    <s v="PREVENTIVA"/>
    <s v="500 HORAS"/>
    <s v=""/>
    <s v=""/>
    <s v=""/>
    <s v=""/>
    <s v=""/>
    <s v=""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19142361110425554"/>
    <n v="0"/>
    <n v="0"/>
    <x v="638"/>
    <d v="2026-07-12T00:50:00"/>
    <x v="2"/>
    <m/>
    <n v="7116"/>
    <s v="MPS - Hora Manutenção Preventiva Sistemática"/>
    <s v="MPS - AG LOCOMOCAO"/>
    <s v="Filha"/>
    <x v="6"/>
    <s v="DESVIO AG LOCOMOCAO &gt; 1H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1.0000000001164153"/>
    <x v="1"/>
    <s v="NÃO EXP.MAE"/>
    <s v="NÃO"/>
    <n v="0"/>
    <n v="0"/>
    <n v="0"/>
    <x v="639"/>
    <d v="2026-07-12T01:50:00"/>
    <x v="2"/>
    <s v=""/>
    <s v="7000"/>
    <s v="MPS - Hora Manutenção Preventiva Sistemática"/>
    <s v="MPS - EXEC MANUT"/>
    <s v="Mãe"/>
    <x v="6"/>
    <s v="PM 500h + 35 BLs"/>
    <s v="PREVENTIVA"/>
    <s v="500 HORAS"/>
    <s v=""/>
    <s v=""/>
    <s v=""/>
    <s v=""/>
    <s v=""/>
    <s v=""/>
  </r>
  <r>
    <n v="0"/>
    <m/>
    <m/>
    <m/>
    <m/>
    <m/>
    <m/>
    <m/>
    <m/>
    <m/>
    <m/>
    <n v="0"/>
    <m/>
    <n v="0"/>
    <s v="REVISÃO PREVENTIVA"/>
    <x v="4"/>
    <s v="Preventivas"/>
    <n v="0.83777777769137174"/>
    <x v="0"/>
    <s v="EXP.MAE"/>
    <s v="NÃO"/>
    <n v="0"/>
    <n v="0"/>
    <n v="0"/>
    <x v="640"/>
    <d v="2026-07-12T02:40:16"/>
    <x v="2"/>
    <s v=""/>
    <s v="7111"/>
    <s v="MPS - Hora Manutenção Preventiva Sistemática"/>
    <s v="MPS - AG LAVADOR"/>
    <s v="Mãe"/>
    <x v="6"/>
    <s v="PM 500h + 35 BLs"/>
    <s v="PREVENTIVA"/>
    <s v="500 HORAS"/>
    <s v=""/>
    <s v=""/>
    <s v=""/>
    <s v=""/>
    <s v=""/>
    <s v=""/>
  </r>
  <r>
    <n v="0"/>
    <m/>
    <m/>
    <m/>
    <m/>
    <m/>
    <m/>
    <m/>
    <m/>
    <m/>
    <m/>
    <m/>
    <m/>
    <n v="0"/>
    <s v="REVISÃO PREVENTIVA"/>
    <x v="4"/>
    <s v="Preventivas"/>
    <n v="9.2419444444240071"/>
    <x v="1"/>
    <s v="NÃO EXP.MAE"/>
    <s v="NÃO"/>
    <n v="0"/>
    <n v="0"/>
    <n v="0"/>
    <x v="641"/>
    <d v="2026-07-12T11:54:47"/>
    <x v="2"/>
    <s v=""/>
    <s v="7011"/>
    <s v="MPS - Hora Manutenção Preventiva Sistemática"/>
    <s v="MPS - EXEC LAVADOR"/>
    <s v="Mãe"/>
    <x v="6"/>
    <s v="PM 500h + 35 BLs"/>
    <s v="PREVENTIVA"/>
    <s v="500 HORAS"/>
    <m/>
    <m/>
    <m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NÃO"/>
    <n v="0"/>
    <n v="0"/>
    <n v="0"/>
    <x v="642"/>
    <d v="2026-07-12T11:54:47"/>
    <x v="2"/>
    <m/>
    <n v="7011"/>
    <s v="MPS - Hora Manutenção Preventiva Sistemática"/>
    <s v="MPS - EXEC LAVADOR"/>
    <s v="Filha"/>
    <x v="6"/>
    <s v="DESVIO EXEC LAVADOR &gt; 4H"/>
    <s v="PREVENTIVA"/>
    <s v="500 HORAS"/>
    <m/>
    <m/>
    <m/>
    <m/>
    <m/>
    <m/>
  </r>
  <r>
    <n v="0"/>
    <m/>
    <m/>
    <m/>
    <m/>
    <m/>
    <m/>
    <m/>
    <m/>
    <m/>
    <m/>
    <n v="0"/>
    <m/>
    <n v="0"/>
    <s v="REVISÃO PREVENTIVA"/>
    <x v="4"/>
    <s v="Preventivas"/>
    <n v="36.708333333372138"/>
    <x v="1"/>
    <s v="NÃO EXP.MAE"/>
    <s v="NÃO"/>
    <n v="0"/>
    <n v="0"/>
    <n v="0"/>
    <x v="643"/>
    <d v="2026-07-14T00:37:17"/>
    <x v="2"/>
    <s v=""/>
    <s v="7000"/>
    <s v="MPS - Hora Manutenção Preventiva Sistemática"/>
    <s v="MPS - EXEC MANUT"/>
    <s v="Mãe"/>
    <x v="6"/>
    <s v="PM 500h + 35 BLs"/>
    <s v="PREVENTIVA"/>
    <s v="500 HORAS"/>
    <m/>
    <m/>
    <m/>
    <m/>
    <m/>
    <m/>
  </r>
  <r>
    <n v="0"/>
    <m/>
    <m/>
    <m/>
    <m/>
    <m/>
    <m/>
    <m/>
    <m/>
    <m/>
    <m/>
    <m/>
    <m/>
    <n v="1"/>
    <s v="LOCOMOÇÃO"/>
    <x v="1"/>
    <s v="Man. Pneus"/>
    <n v="0.73277777776820585"/>
    <x v="1"/>
    <s v="NÃO EXP.MAE"/>
    <s v="NÃO"/>
    <n v="0"/>
    <n v="0"/>
    <n v="0"/>
    <x v="644"/>
    <d v="2026-07-14T21:49:11"/>
    <x v="2"/>
    <s v=""/>
    <s v="8010"/>
    <s v="MPNS - Hora Manutenção Preventiva não Sistemática"/>
    <s v="MPNS - EXEC BORRACHARIA"/>
    <s v="Mãe"/>
    <x v="6"/>
    <s v=""/>
    <s v="LOCOMOCAO"/>
    <s v="LOCOMOCAO"/>
    <s v="LOCOMOCAO"/>
    <s v="LOCOMOCAO"/>
    <s v="LOCOMOCAO"/>
    <s v=""/>
    <s v=""/>
    <s v=""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1.7259965279663447E-2"/>
    <n v="0"/>
    <n v="0"/>
    <x v="645"/>
    <d v="2026-07-14T21:49:11"/>
    <x v="2"/>
    <m/>
    <n v="8010"/>
    <s v="MPNS - Hora Manutenção Preventiva não Sistemática"/>
    <s v="MPNS - EXEC BORRACHARIA"/>
    <s v="Filha"/>
    <x v="6"/>
    <s v="BORRACHARIA TOTAL LIQUIDO"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MOTOR DE COMBUSTÃO"/>
    <x v="1"/>
    <s v="Reparo Programado"/>
    <n v="0.42833333340240642"/>
    <x v="1"/>
    <s v="NÃO EXP.MAE"/>
    <s v="NÃO"/>
    <n v="0"/>
    <n v="0"/>
    <n v="0"/>
    <x v="646"/>
    <d v="2026-07-16T11:10:15"/>
    <x v="2"/>
    <s v=""/>
    <s v="8001"/>
    <s v="MPNS - Hora Manutenção Preventiva não Sistemática"/>
    <s v="MPNS - EXEC MECANICA"/>
    <s v="Mãe"/>
    <x v="6"/>
    <s v="MACHINE GEN Started a delay: MPNS - Exec mecanica"/>
    <s v="MOTOR DE COMBUSTAO"/>
    <s v=""/>
    <s v=""/>
    <s v=""/>
    <s v=""/>
    <s v=""/>
    <s v=""/>
    <s v=""/>
  </r>
  <r>
    <n v="0"/>
    <m/>
    <m/>
    <m/>
    <m/>
    <m/>
    <m/>
    <m/>
    <m/>
    <m/>
    <m/>
    <m/>
    <m/>
    <n v="1"/>
    <s v="SISTEMA ALERTA DE PROXIMIDADE"/>
    <x v="3"/>
    <s v="Acessórios"/>
    <n v="1.2586111110867932"/>
    <x v="0"/>
    <s v="EXP.MAE"/>
    <s v="NÃO"/>
    <n v="0"/>
    <n v="0"/>
    <n v="0"/>
    <x v="647"/>
    <d v="2026-07-16T23:53:18"/>
    <x v="2"/>
    <s v="226366137"/>
    <s v="9032"/>
    <s v="HMC - Hora de Manutenção Corretiva"/>
    <s v="HMC - EXEC TERCEIROS TRABALHANDO"/>
    <s v="Mãe"/>
    <x v="6"/>
    <s v="202603660137- FALHA NO HEXAGON - REALIZADO A TROCA DO DISPLAY"/>
    <s v="SISTEMA ALERTA DE PROXIMIDADE"/>
    <s v="HEXAGON"/>
    <s v="CABO/FIACAO"/>
    <s v="FALHA"/>
    <s v="CORRIGIR"/>
    <s v="Automação"/>
    <s v="Alerta De Proximidade  - Conector Danificado"/>
    <s v="Display - Sem Alimentação"/>
  </r>
  <r>
    <n v="0"/>
    <m/>
    <m/>
    <m/>
    <m/>
    <m/>
    <m/>
    <m/>
    <m/>
    <m/>
    <m/>
    <m/>
    <s v="SIM"/>
    <n v="1"/>
    <s v="TREM DE FORÇA"/>
    <x v="3"/>
    <s v="Corretivas"/>
    <n v="13.377777777670417"/>
    <x v="0"/>
    <s v="EXP.MAE"/>
    <s v="NÃO"/>
    <n v="0"/>
    <n v="0"/>
    <n v="0"/>
    <x v="648"/>
    <d v="2026-07-20T20:02:40"/>
    <x v="2"/>
    <s v="2263712498"/>
    <s v="9000"/>
    <s v="HMC - Hora de Manutenção Corretiva"/>
    <s v="HMC - EXEC MANUT"/>
    <s v="Mãe"/>
    <x v="6"/>
    <s v="VAZAMENTO NO COMANDO FINAL - 202603712498 #DESVIOS"/>
    <s v="TREM DE FORCA"/>
    <s v="COMANDO FINAL"/>
    <s v="VEDACAO"/>
    <s v="AVARIA"/>
    <s v="SUBSTITUIR"/>
    <s v="Mecânica"/>
    <s v="Transmis Forca - Comando Final Td"/>
    <s v="Vedacao"/>
  </r>
  <r>
    <n v="0"/>
    <m/>
    <m/>
    <m/>
    <m/>
    <m/>
    <m/>
    <m/>
    <m/>
    <s v="Componente (Major e Minor)"/>
    <m/>
    <m/>
    <s v="NÃO"/>
    <n v="1"/>
    <s v="TREM DE FORÇA"/>
    <x v="1"/>
    <s v="Componente (Major e Minor)"/>
    <n v="0.87527777772629634"/>
    <x v="1"/>
    <s v="NÃO EXP.MAE"/>
    <s v="NÃO"/>
    <n v="0"/>
    <n v="0"/>
    <n v="0"/>
    <x v="649"/>
    <d v="2026-07-22T01:42:08"/>
    <x v="2"/>
    <s v=""/>
    <s v="8116"/>
    <s v="MPNS - Hora Manutenção Preventiva não Sistemática"/>
    <s v="MPNS - AG LOCOMOCAO"/>
    <s v="Mãe"/>
    <x v="6"/>
    <s v="SUBS COMANDO FINAL L/E"/>
    <s v="TREM DE FORCA"/>
    <s v="COMANDO FINAL TE"/>
    <s v="COMANDO FINAL"/>
    <s v="AVARIA"/>
    <s v="SUBSTITUIR"/>
    <s v=""/>
    <s v=""/>
    <s v=""/>
  </r>
  <r>
    <n v="0"/>
    <m/>
    <m/>
    <m/>
    <m/>
    <m/>
    <m/>
    <m/>
    <m/>
    <s v="Componente (Major e Minor)"/>
    <m/>
    <m/>
    <m/>
    <n v="0"/>
    <s v="TREM DE FORÇA"/>
    <x v="1"/>
    <s v="Componente (Major e Minor)"/>
    <n v="0.86583333334419876"/>
    <x v="1"/>
    <s v="NÃO EXP.MAE"/>
    <s v="NÃO"/>
    <n v="0"/>
    <n v="0"/>
    <n v="0"/>
    <x v="650"/>
    <d v="2026-07-22T02:34:05"/>
    <x v="2"/>
    <s v=""/>
    <s v="8001"/>
    <s v="MPNS - Hora Manutenção Preventiva não Sistemática"/>
    <s v="MPNS - EXEC MECANICA"/>
    <s v="Mãe"/>
    <x v="6"/>
    <s v="SUBS COMANDO FINAL L/E"/>
    <s v="TREM DE FORCA"/>
    <s v="COMANDO FINAL TE"/>
    <s v="COMANDO FINAL"/>
    <s v="AVARIA"/>
    <s v="SUBSTITUIR"/>
    <s v=""/>
    <s v=""/>
    <s v=""/>
  </r>
  <r>
    <n v="0"/>
    <m/>
    <m/>
    <m/>
    <m/>
    <m/>
    <m/>
    <m/>
    <m/>
    <s v="Componente (Major e Minor)"/>
    <m/>
    <m/>
    <m/>
    <n v="0"/>
    <s v="TREM DE FORÇA"/>
    <x v="1"/>
    <s v="Componente (Major e Minor)"/>
    <n v="2.1052777778240852"/>
    <x v="1"/>
    <s v="NÃO EXP.MAE"/>
    <s v="NÃO"/>
    <n v="0"/>
    <n v="0"/>
    <n v="0"/>
    <x v="651"/>
    <d v="2026-07-22T04:40:24"/>
    <x v="2"/>
    <s v=""/>
    <s v="8011"/>
    <s v="MPNS - Hora Manutenção Preventiva não Sistemática"/>
    <s v="MPNS - EXEC LAVADOR"/>
    <s v="Mãe"/>
    <x v="6"/>
    <s v="SUBS COMANDO FINAL L/E"/>
    <s v="TREM DE FORCA"/>
    <s v="COMANDO FINAL TE"/>
    <s v="COMANDO FINAL"/>
    <s v="AVARIA"/>
    <s v="SUBSTITUIR"/>
    <s v=""/>
    <s v=""/>
    <s v=""/>
  </r>
  <r>
    <n v="0"/>
    <m/>
    <m/>
    <m/>
    <m/>
    <m/>
    <m/>
    <m/>
    <m/>
    <s v="Componente (Major e Minor)"/>
    <m/>
    <m/>
    <m/>
    <n v="0"/>
    <s v="TREM DE FORÇA"/>
    <x v="1"/>
    <s v="Componente (Major e Minor)"/>
    <n v="66.347222222189885"/>
    <x v="1"/>
    <s v="NÃO EXP.MAE"/>
    <s v="NÃO"/>
    <n v="0"/>
    <n v="0"/>
    <n v="0"/>
    <x v="652"/>
    <d v="2026-07-24T23:01:14"/>
    <x v="2"/>
    <s v=""/>
    <s v="8001"/>
    <s v="MPNS - Hora Manutenção Preventiva não Sistemática"/>
    <s v="MPNS - EXEC MECANICA"/>
    <s v="Mãe"/>
    <x v="6"/>
    <s v="SUBS COMANDO FINAL L/E"/>
    <s v="TREM DE FORCA"/>
    <s v="COMANDO FINAL TE"/>
    <s v="COMANDO FINAL"/>
    <s v="AVARIA"/>
    <s v="SUBSTITUIR"/>
    <s v=""/>
    <s v=""/>
    <s v=""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11384513889061054"/>
    <n v="0"/>
    <n v="0"/>
    <x v="653"/>
    <d v="2026-07-22T16:50:00"/>
    <x v="2"/>
    <m/>
    <n v="8001"/>
    <s v="MPNS - Hora Manutenção Preventiva não Sistemática"/>
    <s v="MPNS - AG BORRACHARIA"/>
    <s v="Filha"/>
    <x v="6"/>
    <s v="BORRACHARIA TOTAL LIQUIDO"/>
    <s v="TREM DE FORCA"/>
    <s v="COMANDO FINAL TE"/>
    <s v="COMANDO FINAL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26458333333721384"/>
    <n v="0"/>
    <n v="0"/>
    <x v="654"/>
    <d v="2026-07-23T04:21:00"/>
    <x v="2"/>
    <s v="202602954576"/>
    <n v="8001"/>
    <s v="MPNS - Hora Manutenção Preventiva não Sistemática"/>
    <s v="MPNS - AG RECURSO/FERRAMENTAL"/>
    <s v="Filha"/>
    <x v="6"/>
    <s v="OFICINA SEM AR NOS COMPRESSORES"/>
    <s v="TREM DE FORCA"/>
    <s v="COMANDO FINAL TE"/>
    <s v="COMANDO FINAL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8.3333333328482695E-2"/>
    <n v="0"/>
    <n v="0"/>
    <x v="655"/>
    <d v="2026-07-23T13:22:00"/>
    <x v="2"/>
    <s v="202602954576"/>
    <n v="8001"/>
    <s v="MPNS - Hora Manutenção Preventiva não Sistemática"/>
    <s v="MPNS - AG RECURSO/FERRAMENTAL"/>
    <s v="Filha"/>
    <x v="6"/>
    <s v="AGUARDANDO EMPILHADEIRA"/>
    <s v="TREM DE FORCA"/>
    <s v="COMANDO FINAL TE"/>
    <s v="COMANDO FINAL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6.5972222226264421E-2"/>
    <n v="0"/>
    <n v="0"/>
    <x v="656"/>
    <d v="2026-07-23T14:57:00"/>
    <x v="2"/>
    <s v="202602954576"/>
    <n v="8001"/>
    <s v="MPNS - Hora Manutenção Preventiva não Sistemática"/>
    <s v="MPNS - AG RECURSO/FERRAMENTAL"/>
    <s v="Filha"/>
    <x v="6"/>
    <s v="AGUARDANDO EMPILHADEIRA"/>
    <s v="TREM DE FORCA"/>
    <s v="COMANDO FINAL TE"/>
    <s v="COMANDO FINAL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8.2047013886040077E-2"/>
    <n v="0"/>
    <n v="0"/>
    <x v="657"/>
    <d v="2026-07-24T13:29:00"/>
    <x v="2"/>
    <m/>
    <n v="8001"/>
    <s v="MPNS - Hora Manutenção Preventiva não Sistemática"/>
    <s v="MPNS - AG BORRACHARIA"/>
    <s v="Filha"/>
    <x v="6"/>
    <s v="BORRACHARIA TOTAL LIQUIDO"/>
    <s v="TREM DE FORCA"/>
    <s v="COMANDO FINAL TE"/>
    <s v="COMANDO FINAL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4.6323194444994442E-2"/>
    <n v="0"/>
    <n v="0"/>
    <x v="658"/>
    <d v="2026-07-24T15:27:00"/>
    <x v="2"/>
    <m/>
    <n v="8001"/>
    <s v="MPNS - Hora Manutenção Preventiva não Sistemática"/>
    <s v="MPNS - AG BORRACHARIA"/>
    <s v="Filha"/>
    <x v="6"/>
    <s v="BORRACHARIA TOTAL LIQUIDO"/>
    <s v="TREM DE FORCA"/>
    <s v="COMANDO FINAL TE"/>
    <s v="COMANDO FINAL"/>
    <s v="AVARIA"/>
    <s v="SUBSTITUIR"/>
    <m/>
    <m/>
    <m/>
  </r>
  <r>
    <n v="0"/>
    <m/>
    <m/>
    <m/>
    <m/>
    <m/>
    <m/>
    <m/>
    <m/>
    <m/>
    <m/>
    <m/>
    <m/>
    <n v="1"/>
    <s v="SISTEMA DE FREIO"/>
    <x v="3"/>
    <s v="Corretivas"/>
    <n v="3.8172222222201526"/>
    <x v="1"/>
    <s v="NÃO EXP.MAE"/>
    <s v="NÃO"/>
    <n v="0"/>
    <n v="0"/>
    <n v="0"/>
    <x v="659"/>
    <d v="2026-07-25T14:24:09"/>
    <x v="2"/>
    <s v="226381387"/>
    <s v="9000"/>
    <s v="HMC - Hora de Manutenção Corretiva"/>
    <s v="HMC - EXEC MANUT"/>
    <s v="Mãe"/>
    <x v="6"/>
    <s v="FALHA NOS FREIOS - RELIZADO AJUSTE NA BOMBA DOS FREIOS - 202603813870"/>
    <s v="FRENAGEM"/>
    <s v="HIDRAULICO"/>
    <s v="BOMBA HIDRAULICA"/>
    <s v="FALHA"/>
    <s v="AJUSTAR"/>
    <s v="Mecânica"/>
    <s v="Frenagem - Bomba"/>
    <s v="Vedação;Fixação"/>
  </r>
  <r>
    <n v="0"/>
    <m/>
    <m/>
    <m/>
    <m/>
    <m/>
    <m/>
    <m/>
    <m/>
    <m/>
    <m/>
    <m/>
    <m/>
    <n v="1"/>
    <s v="LOCOMOÇÃO"/>
    <x v="1"/>
    <s v="Man. Pneus"/>
    <n v="0.4599999999627471"/>
    <x v="1"/>
    <s v="NÃO EXP.MAE"/>
    <s v="NÃO"/>
    <n v="0"/>
    <n v="0"/>
    <n v="0"/>
    <x v="660"/>
    <d v="2026-07-26T16:01:41"/>
    <x v="2"/>
    <s v=""/>
    <s v="8010"/>
    <s v="MPNS - Hora Manutenção Preventiva não Sistemática"/>
    <s v="MPNS - EXEC BORRACHARIA"/>
    <s v="Mãe"/>
    <x v="6"/>
    <s v="MACHINE GEN Started a delay: MPNS - Exec borracharia"/>
    <s v="LOCOMOCAO"/>
    <s v="LOCOMOCAO"/>
    <s v="LOCOMOCAO"/>
    <s v="LOCOMOCAO"/>
    <s v="LOCOMOCAO"/>
    <s v=""/>
    <s v=""/>
    <s v=""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1.0834918983164243E-2"/>
    <n v="0"/>
    <n v="0"/>
    <x v="661"/>
    <d v="2026-07-26T16:01:41"/>
    <x v="2"/>
    <m/>
    <n v="8010"/>
    <s v="MPNS - Hora Manutenção Preventiva não Sistemática"/>
    <s v="MPNS - EXEC BORRACHARIA"/>
    <s v="Filha"/>
    <x v="6"/>
    <s v="BORRACHARIA TOTAL LIQUIDO"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SISTEMA DE FREIO"/>
    <x v="3"/>
    <s v="Corretivas"/>
    <n v="2.90416666661622"/>
    <x v="1"/>
    <s v="NÃO EXP.MAE"/>
    <s v="NÃO"/>
    <n v="0"/>
    <n v="0"/>
    <n v="0"/>
    <x v="662"/>
    <d v="2026-07-30T14:10:53"/>
    <x v="2"/>
    <s v="2263911165"/>
    <s v="9000"/>
    <s v="HMC - Hora de Manutenção Corretiva"/>
    <s v="HMC - EXEC MANUT"/>
    <s v="Mãe"/>
    <x v="6"/>
    <s v="202603911165 - ALARME NA CABINE - ISOLADO  ALIMENTAÇÃO DO CORDOALHA DE TEMPERATURA DOS FREIO."/>
    <s v="FRENAGEM"/>
    <s v="ELETRICO"/>
    <s v="CORDOALHA"/>
    <s v="ALIMENTACAO"/>
    <s v="CORRIGIR"/>
    <s v="Mecânica"/>
    <s v="Frenagem - Freio Estacionamento"/>
    <s v="Vedacao"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2.004721065168269E-2"/>
    <n v="0"/>
    <n v="0"/>
    <x v="663"/>
    <d v="2026-07-31T15:59:05"/>
    <x v="2"/>
    <m/>
    <n v="9010"/>
    <s v="HMC - Hora de Manutenção Corretiva"/>
    <s v="HMC - EXEC BORRACHARIA"/>
    <s v="Filha"/>
    <x v="6"/>
    <s v="BORRACHARIA TOTAL LIQUIDO"/>
    <s v="LOCOMOCAO"/>
    <s v="RODA DD"/>
    <s v="PNEU"/>
    <s v="BAIXA PRESSAO"/>
    <s v="CALIBRAR"/>
    <m/>
    <m/>
    <m/>
  </r>
  <r>
    <n v="0"/>
    <m/>
    <m/>
    <m/>
    <m/>
    <m/>
    <m/>
    <m/>
    <m/>
    <m/>
    <m/>
    <m/>
    <m/>
    <n v="1"/>
    <s v="REVISÃO PREVENTIVA"/>
    <x v="4"/>
    <s v="Preventivas"/>
    <n v="0.27111111109843478"/>
    <x v="0"/>
    <s v="EXP.MAE"/>
    <s v="NÃO"/>
    <n v="0"/>
    <n v="0"/>
    <n v="0"/>
    <x v="664"/>
    <d v="2026-08-01T12:31:38"/>
    <x v="2"/>
    <m/>
    <s v="7116"/>
    <s v="MPS - Hora Manutenção Preventiva Sistemática"/>
    <s v="MPS - AG LOCOMOCAO"/>
    <s v="Mãe"/>
    <x v="7"/>
    <s v="PM 250h"/>
    <s v="PREVENTIVA"/>
    <s v="PITSTOP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4.19027777784504"/>
    <x v="1"/>
    <s v="NÃO EXP.MAE"/>
    <s v="NÃO"/>
    <n v="0"/>
    <n v="0"/>
    <n v="0"/>
    <x v="665"/>
    <d v="2026-08-01T16:43:03"/>
    <x v="2"/>
    <m/>
    <s v="7000"/>
    <s v="MPS - Hora Manutenção Preventiva Sistemática"/>
    <s v="MPS - EXEC MANUT"/>
    <s v="Mãe"/>
    <x v="7"/>
    <s v="PM 250h"/>
    <s v="PREVENTIVA"/>
    <s v="PITSTOP"/>
    <m/>
    <m/>
    <m/>
    <m/>
    <m/>
    <m/>
  </r>
  <r>
    <n v="0"/>
    <m/>
    <m/>
    <m/>
    <m/>
    <m/>
    <m/>
    <m/>
    <m/>
    <m/>
    <m/>
    <m/>
    <m/>
    <n v="1"/>
    <s v="COMBATE INCENDIO"/>
    <x v="3"/>
    <s v="Acessórios"/>
    <n v="14.028333333379123"/>
    <x v="0"/>
    <s v="EXP.MAE"/>
    <s v="NÃO"/>
    <n v="0"/>
    <n v="0"/>
    <n v="0"/>
    <x v="666"/>
    <d v="2026-08-02T20:23:52"/>
    <x v="2"/>
    <m/>
    <s v="9032"/>
    <s v="HMC - Hora de Manutenção Corretiva"/>
    <s v="HMC - EXEC TERCEIROS TRABALHANDO"/>
    <s v="Mãe"/>
    <x v="7"/>
    <s v="202603949405-  FALHA AFEX - EQUIPE SOTREQ REPOSICIONOU O CONECTOR DO SISTEMA AFEX"/>
    <s v="SISTEMA AFEX"/>
    <s v="COMBATE INCENDIO"/>
    <s v="CONECTOR"/>
    <s v="FIXACAO"/>
    <s v="FIXAR"/>
    <s v="Mecânica"/>
    <s v="Combate Incendio - Acionamento Automatico"/>
    <s v="Fiacao"/>
  </r>
  <r>
    <n v="0"/>
    <m/>
    <m/>
    <m/>
    <m/>
    <m/>
    <m/>
    <m/>
    <m/>
    <m/>
    <m/>
    <m/>
    <m/>
    <n v="1"/>
    <s v="LOCOMOÇÃO"/>
    <x v="1"/>
    <s v="Man. Pneus"/>
    <n v="0.6222222222131677"/>
    <x v="1"/>
    <s v="NÃO EXP.MAE"/>
    <s v="NÃO"/>
    <n v="0"/>
    <n v="0"/>
    <n v="0"/>
    <x v="667"/>
    <d v="2026-08-03T10:34:04"/>
    <x v="2"/>
    <m/>
    <s v="8010"/>
    <s v="MPNS - Hora Manutenção Preventiva não Sistemática"/>
    <s v="MPNS - EXEC BORRACHARIA"/>
    <s v="Mãe"/>
    <x v="7"/>
    <s v="MACHINE GEN Started a delay: MPNS - Exec borracharia"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INSPEÇÃO SENSITIVA"/>
    <x v="4"/>
    <s v="Inspeção"/>
    <n v="1.933611111191567"/>
    <x v="1"/>
    <s v="NÃO EXP.MAE"/>
    <s v="NÃO"/>
    <n v="0"/>
    <n v="0"/>
    <n v="0"/>
    <x v="668"/>
    <d v="2026-08-05T13:10:20"/>
    <x v="2"/>
    <m/>
    <s v="7005"/>
    <s v="MPS - Hora Manutenção Preventiva Sistemática"/>
    <s v="MPS-EXEC INSP MECANICA"/>
    <s v="Mãe"/>
    <x v="7"/>
    <s v="MACHINE GEN Started a delay: Refeicao"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DIRECAO"/>
    <x v="3"/>
    <s v="Corretivas"/>
    <n v="0.56388888886431232"/>
    <x v="1"/>
    <s v="NÃO EXP.MAE"/>
    <s v="NÃO"/>
    <n v="0"/>
    <n v="0"/>
    <n v="0"/>
    <x v="669"/>
    <d v="2026-08-06T10:26:28"/>
    <x v="2"/>
    <s v="202604032140"/>
    <s v="9000"/>
    <s v="HMC - Hora de Manutenção Corretiva"/>
    <s v="HMC - EXEC MANUT"/>
    <s v="Mãe"/>
    <x v="7"/>
    <s v="BAIXO NIVEL DE OLEO DA DIREÇÃO.  - COMPLETADO 42L DE OLEO DA DIREÇÃO. 202604032140"/>
    <s v="DIRECAO"/>
    <s v="LUBRIFICACAO"/>
    <s v="OLEO"/>
    <s v="BAIXO NIVEL"/>
    <s v="COMPLETAR"/>
    <s v="Mecânica"/>
    <s v="Direcao - Tanque Oleo"/>
    <s v="Oleo"/>
  </r>
  <r>
    <n v="0"/>
    <m/>
    <m/>
    <m/>
    <m/>
    <m/>
    <m/>
    <m/>
    <m/>
    <m/>
    <m/>
    <m/>
    <m/>
    <n v="1"/>
    <s v="DIRECAO"/>
    <x v="3"/>
    <s v="Corretivas"/>
    <n v="7.0072222221060656"/>
    <x v="1"/>
    <s v="NÃO EXP.MAE"/>
    <s v="NÃO"/>
    <n v="0"/>
    <n v="0"/>
    <n v="0"/>
    <x v="670"/>
    <d v="2026-08-08T02:54:23"/>
    <x v="2"/>
    <s v="202604054603"/>
    <s v="9000"/>
    <s v="HMC - Hora de Manutenção Corretiva"/>
    <s v="HMC - EXEC MANUT"/>
    <s v="Mãe"/>
    <x v="7"/>
    <s v="202604054603- BAIXO NIVEL DE OLEO DA DIREÇÃO - COMPLETADO 30LT DE OLEO DA DIREÇÃO"/>
    <s v="DIRECAO"/>
    <s v="LUBRIFICACAO"/>
    <s v="OLEO"/>
    <s v="BAIXO NIVEL"/>
    <s v="COMPLETAR"/>
    <s v="Mecânica"/>
    <s v="Direcao - Tanque Oleo"/>
    <s v="Oleo-Nivel"/>
  </r>
  <r>
    <n v="0"/>
    <m/>
    <m/>
    <m/>
    <m/>
    <m/>
    <m/>
    <m/>
    <m/>
    <m/>
    <m/>
    <m/>
    <m/>
    <n v="1"/>
    <s v="TREM DE FORÇA"/>
    <x v="3"/>
    <s v="Corretivas"/>
    <n v="0.49083333316957578"/>
    <x v="1"/>
    <s v="NÃO EXP.MAE"/>
    <s v="NÃO"/>
    <n v="0"/>
    <n v="0"/>
    <n v="0"/>
    <x v="671"/>
    <d v="2026-08-10T17:10:11"/>
    <x v="2"/>
    <s v="202604101588"/>
    <s v="9000"/>
    <s v="HMC - Hora de Manutenção Corretiva"/>
    <s v="HMC - EXEC MANUT"/>
    <s v="Mãe"/>
    <x v="7"/>
    <s v="202604101588 -BAIXO NIVEL DO OLEO DA TRANSMISSÃO- COMPLETADO 30 L DE ÓLEO"/>
    <s v="TREM DE FORCA"/>
    <s v="TRANSMISSAO"/>
    <s v="OLEO"/>
    <s v="BAIXO NIVEL"/>
    <s v="COMPLETAR"/>
    <s v="Mecânica"/>
    <s v="Transmis Forca - Tanque"/>
    <s v="Oleo-Nivel Baixo"/>
  </r>
  <r>
    <n v="0"/>
    <m/>
    <m/>
    <m/>
    <m/>
    <m/>
    <m/>
    <m/>
    <m/>
    <m/>
    <m/>
    <m/>
    <m/>
    <n v="1"/>
    <s v="ELETRICO"/>
    <x v="3"/>
    <s v="Corretivas"/>
    <n v="1.4833333332790062"/>
    <x v="1"/>
    <s v="NÃO EXP.MAE"/>
    <s v="NÃO"/>
    <n v="0"/>
    <n v="0"/>
    <n v="0"/>
    <x v="672"/>
    <d v="2026-08-13T08:31:27"/>
    <x v="2"/>
    <s v="202604191944"/>
    <s v="9000"/>
    <s v="HMC - Hora de Manutenção Corretiva"/>
    <s v="HMC - EXEC MANUT"/>
    <s v="Mãe"/>
    <x v="7"/>
    <s v="202604191944 - FALHA NA SETA SINALIZADORA - SUBSTITUIDO SETA TRASEIRA DIREITA."/>
    <s v="ELETRICO"/>
    <s v="ILUMINACAO"/>
    <s v="SETA TD"/>
    <s v="FALHA"/>
    <s v="SUBSTITUIR"/>
    <s v="Elétrica"/>
    <s v="Eletrico - Iluminacao"/>
    <s v="Seta de Led"/>
  </r>
  <r>
    <n v="0"/>
    <m/>
    <m/>
    <m/>
    <m/>
    <m/>
    <m/>
    <m/>
    <m/>
    <m/>
    <m/>
    <m/>
    <m/>
    <n v="1"/>
    <s v="TREM DE FORÇA"/>
    <x v="3"/>
    <s v="Corretivas"/>
    <n v="9.9147222221363336"/>
    <x v="1"/>
    <s v="NÃO EXP.MAE"/>
    <s v="NÃO"/>
    <n v="0"/>
    <n v="0"/>
    <n v="0"/>
    <x v="673"/>
    <d v="2026-08-15T16:38:09"/>
    <x v="2"/>
    <s v="202604273264"/>
    <s v="9000"/>
    <s v="HMC - Hora de Manutenção Corretiva"/>
    <s v="HMC - EXEC MANUT"/>
    <s v="Mãe"/>
    <x v="7"/>
    <s v="202604273264 BAIXO NIVEL DO OLEO DA TRANSMISSÃO - SUBSTITUIDO MANGUEIRA DE LUBRIFICAÇÃO DA TRANSMISSÃO"/>
    <s v="TREM DE FORCA"/>
    <s v="TRANSMISSAO"/>
    <s v="OLEO"/>
    <s v="BAIXO NIVEL"/>
    <s v="COMPLETAR"/>
    <s v="Mecânica"/>
    <s v="Transmissao - Lubrificacao"/>
    <s v="Oleo"/>
  </r>
  <r>
    <n v="0"/>
    <m/>
    <m/>
    <m/>
    <m/>
    <m/>
    <m/>
    <m/>
    <m/>
    <m/>
    <m/>
    <m/>
    <m/>
    <n v="1"/>
    <s v="LOCOMOÇÃO"/>
    <x v="1"/>
    <s v="Man. Pneus"/>
    <n v="55.899166666553356"/>
    <x v="1"/>
    <s v="NÃO EXP.MAE"/>
    <s v="NÃO"/>
    <n v="0"/>
    <n v="0"/>
    <n v="0"/>
    <x v="674"/>
    <d v="2026-08-20T16:57:25"/>
    <x v="2"/>
    <m/>
    <s v="8010"/>
    <s v="MPNS - Hora Manutenção Preventiva não Sistemática"/>
    <s v="MPNS - EXEC BORRACHARIA"/>
    <s v="Mãe"/>
    <x v="7"/>
    <s v="MACHINE GEN Started a delay: MPNS - Exec borracharia"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INSPEÇÃO SENSITIVA"/>
    <x v="4"/>
    <s v="Inspeção"/>
    <n v="1.5013888888643123"/>
    <x v="1"/>
    <s v="NÃO EXP.MAE"/>
    <s v="NÃO"/>
    <n v="0"/>
    <n v="0"/>
    <n v="0"/>
    <x v="675"/>
    <d v="2026-08-25T13:20:17"/>
    <x v="2"/>
    <m/>
    <s v="7005"/>
    <s v="MPS - Hora Manutenção Preventiva Sistemática"/>
    <s v="MPS-EXEC INSP MECANICA"/>
    <s v="Mãe"/>
    <x v="7"/>
    <s v="MACHINE GEN Started a delay: MPS - Exec insp mecanica"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MOTOR DE COMBUSTÃO"/>
    <x v="3"/>
    <s v="Corretivas"/>
    <n v="9.7225000000325963"/>
    <x v="1"/>
    <s v="NÃO EXP.MAE"/>
    <s v="NÃO"/>
    <n v="0"/>
    <n v="0"/>
    <n v="0"/>
    <x v="676"/>
    <d v="2026-08-27T15:36:37"/>
    <x v="2"/>
    <s v="202604507010"/>
    <s v="9000"/>
    <s v="HMC - Hora de Manutenção Corretiva"/>
    <s v="HMC - EXEC MANUT"/>
    <s v="Mãe"/>
    <x v="7"/>
    <s v="202604507010 - VAZAMNETO DE OLEO HIDRAULICO  - SUBS TUBO DA BOMBA DE AGUA COMPLETADO 680 L DE LC."/>
    <s v="MOTOR DE COMBUSTAO"/>
    <s v="ARREFECIMENTO"/>
    <s v="CONEXOES"/>
    <s v="AVARIA"/>
    <s v="SUBSTITUIR"/>
    <s v="Mecânica"/>
    <s v="Hidraulico Cavalo - Tanque Oleo"/>
    <s v="Tanque"/>
  </r>
  <r>
    <n v="0"/>
    <m/>
    <m/>
    <m/>
    <m/>
    <m/>
    <m/>
    <m/>
    <m/>
    <m/>
    <m/>
    <m/>
    <m/>
    <n v="1"/>
    <s v="ESTRUTURA"/>
    <x v="0"/>
    <s v="Acidente operacional"/>
    <n v="2.3791666666511446"/>
    <x v="0"/>
    <s v="EXP.MAE"/>
    <s v="NÃO"/>
    <n v="0"/>
    <n v="0"/>
    <n v="0"/>
    <x v="677"/>
    <d v="2026-08-27T22:49:36"/>
    <x v="2"/>
    <m/>
    <s v="1090"/>
    <s v="HAC - Hora Acidente"/>
    <s v="HAC - EXEC MANUT ACIDENTE"/>
    <s v="Mãe"/>
    <x v="7"/>
    <s v="AVARIA NO RETROVISOR L/E  202604517799   SUBSTITUIDO RETROVISOR L/E"/>
    <s v="ESTRUTURA"/>
    <s v="CABINE"/>
    <s v="RETROVISOR LE"/>
    <s v="AVARIA"/>
    <s v="SUBSTITUIR"/>
    <m/>
    <m/>
    <m/>
  </r>
  <r>
    <n v="0"/>
    <m/>
    <m/>
    <m/>
    <m/>
    <m/>
    <m/>
    <m/>
    <m/>
    <m/>
    <m/>
    <m/>
    <m/>
    <n v="1"/>
    <s v="ELETRICO"/>
    <x v="3"/>
    <s v="Corretivas"/>
    <n v="1.7525000000023283"/>
    <x v="1"/>
    <s v="NÃO EXP.MAE"/>
    <s v="NÃO"/>
    <n v="0"/>
    <n v="0"/>
    <n v="0"/>
    <x v="678"/>
    <d v="2026-08-31T11:43:26"/>
    <x v="2"/>
    <m/>
    <s v="9000"/>
    <s v="HMC - Hora de Manutenção Corretiva"/>
    <s v="HMC - EXEC MANUT"/>
    <s v="Mãe"/>
    <x v="7"/>
    <s v="202604566434 -BAIXO RENDIMENTO-SUB RELE DE ACIONAMENTO DO ECM"/>
    <s v="ELETRICO"/>
    <s v="MOTOR DE COMBUSTAO"/>
    <s v="ECM"/>
    <s v="ALIMENTACAO"/>
    <s v="CORRIGIR"/>
    <m/>
    <m/>
    <m/>
  </r>
  <r>
    <n v="0"/>
    <m/>
    <m/>
    <m/>
    <m/>
    <m/>
    <m/>
    <m/>
    <m/>
    <m/>
    <m/>
    <m/>
    <m/>
    <n v="1"/>
    <s v="ELETRICO"/>
    <x v="3"/>
    <s v="Corretivas"/>
    <n v="5.0422222221968696"/>
    <x v="1"/>
    <s v="NÃO EXP.MAE"/>
    <s v="NÃO"/>
    <n v="0"/>
    <n v="0"/>
    <n v="0"/>
    <x v="679"/>
    <d v="2026-08-31T23:59:59"/>
    <x v="2"/>
    <s v="202604574171"/>
    <s v="9000"/>
    <s v="HMC - Hora de Manutenção Corretiva"/>
    <s v="HMC - EXEC MANUT"/>
    <s v="Mãe"/>
    <x v="7"/>
    <s v="FALHA NO VIDRO DA PORTA -SUBS MOTOR DA VIDRO DA PORTA DO OPERADOR -202604574171"/>
    <s v="ELETRICO"/>
    <s v="CABINE"/>
    <s v="MOTOR DO VIDRO DA PORTA"/>
    <s v="FALHA"/>
    <s v="SUBSTITUIR"/>
    <m/>
    <m/>
    <m/>
  </r>
  <r>
    <n v="0"/>
    <m/>
    <m/>
    <m/>
    <m/>
    <m/>
    <m/>
    <m/>
    <m/>
    <m/>
    <m/>
    <m/>
    <m/>
    <n v="1"/>
    <s v="ELETRICO"/>
    <x v="3"/>
    <s v="Corretivas"/>
    <n v="11.648055555531755"/>
    <x v="1"/>
    <s v="NÃO EXP.MAE"/>
    <s v="NÃO"/>
    <n v="0"/>
    <n v="0"/>
    <n v="0"/>
    <x v="434"/>
    <d v="2026-09-01T11:38:53"/>
    <x v="2"/>
    <s v="202604574171"/>
    <s v="9000"/>
    <s v="HMC - Hora de Manutenção Corretiva"/>
    <s v="HMC - EXEC MANUT"/>
    <s v="Mãe"/>
    <x v="8"/>
    <s v="FALHA NO VIDRO DA PORTA -SUBS MOTOR DA VIDRO DA PORTA DO OPERADOR -202604574171"/>
    <s v="ELETRICO"/>
    <s v="CABINE"/>
    <s v="MOTOR DO VIDRO DA PORTA"/>
    <s v="FALHA"/>
    <s v="SUBSTITUIR"/>
    <s v="Elétrica"/>
    <s v="Eletrico - Cabine"/>
    <s v="Motor do Vidro Eletrico"/>
  </r>
  <r>
    <n v="0"/>
    <m/>
    <m/>
    <m/>
    <m/>
    <m/>
    <m/>
    <m/>
    <m/>
    <m/>
    <m/>
    <m/>
    <m/>
    <n v="1"/>
    <s v="REVISÃO PREVENTIVA"/>
    <x v="4"/>
    <s v="Preventivas"/>
    <n v="2.7625000000116415"/>
    <x v="1"/>
    <s v="NÃO EXP.MAE"/>
    <s v="NÃO"/>
    <n v="0"/>
    <n v="0"/>
    <n v="0"/>
    <x v="680"/>
    <d v="2026-09-02T22:31:51"/>
    <x v="2"/>
    <m/>
    <s v="7011"/>
    <s v="MPS - Hora Manutenção Preventiva Sistemática"/>
    <s v="MPS - EXEC LAVADOR"/>
    <s v="Mãe"/>
    <x v="8"/>
    <s v="PM 4000h + 30 BLs"/>
    <s v="PREVENTIVA"/>
    <s v="4000 HORAS"/>
    <m/>
    <m/>
    <m/>
    <m/>
    <m/>
    <m/>
  </r>
  <r>
    <n v="0"/>
    <m/>
    <m/>
    <m/>
    <m/>
    <m/>
    <m/>
    <m/>
    <m/>
    <m/>
    <m/>
    <m/>
    <m/>
    <n v="1"/>
    <s v="REVISÃO PREVENTIVA"/>
    <x v="3"/>
    <s v="Preventivas"/>
    <n v="2.5474999998696148"/>
    <x v="1"/>
    <s v="NÃO EXP.MAE"/>
    <s v="NÃO"/>
    <n v="0"/>
    <n v="0"/>
    <n v="0"/>
    <x v="681"/>
    <d v="2026-09-03T01:04:42"/>
    <x v="2"/>
    <m/>
    <s v="9000"/>
    <s v="HMC - Hora de Manutenção Corretiva"/>
    <s v="HMC - EXEC MANUT"/>
    <s v="Mãe"/>
    <x v="8"/>
    <s v="PM 4000h + 30 BLs"/>
    <s v="PREVENTIVA"/>
    <s v="4000 HORAS"/>
    <m/>
    <m/>
    <m/>
    <m/>
    <m/>
    <m/>
  </r>
  <r>
    <n v="0"/>
    <m/>
    <m/>
    <m/>
    <m/>
    <m/>
    <m/>
    <m/>
    <m/>
    <m/>
    <m/>
    <m/>
    <m/>
    <n v="1"/>
    <s v="REVISÃO PREVENTIVA"/>
    <x v="4"/>
    <s v="Preventivas"/>
    <n v="58.658055555657484"/>
    <x v="1"/>
    <s v="NÃO EXP.MAE"/>
    <s v="NÃO"/>
    <n v="0"/>
    <n v="0"/>
    <n v="0"/>
    <x v="682"/>
    <d v="2026-09-05T11:44:11"/>
    <x v="2"/>
    <m/>
    <s v="7000"/>
    <s v="MPS - Hora Manutenção Preventiva Sistemática"/>
    <s v="MPS - EXEC MANUT"/>
    <s v="Mãe"/>
    <x v="8"/>
    <s v="PM 4000h + 30 BLs"/>
    <s v="PREVENTIVA"/>
    <s v="4000 HORAS"/>
    <s v=""/>
    <s v=""/>
    <s v=""/>
    <m/>
    <m/>
    <m/>
  </r>
  <r>
    <n v="0"/>
    <m/>
    <m/>
    <m/>
    <m/>
    <m/>
    <m/>
    <m/>
    <m/>
    <m/>
    <m/>
    <m/>
    <m/>
    <n v="1"/>
    <s v="COMUNICACAO"/>
    <x v="3"/>
    <s v="Acessórios"/>
    <n v="3.6733333333977498"/>
    <x v="0"/>
    <s v="EXP.MAE"/>
    <s v="NÃO"/>
    <n v="0"/>
    <n v="0"/>
    <n v="0"/>
    <x v="683"/>
    <d v="2026-09-06T01:30:46"/>
    <x v="2"/>
    <s v="202604676221"/>
    <s v="9031"/>
    <s v="HMC - Hora de Manutenção Corretiva"/>
    <s v="HMC - EXEC SIST EMBARCADOS/AUTOMACAO"/>
    <s v="Mãe"/>
    <x v="8"/>
    <s v="202604676221- FALHA NO RADIO AVI- COLOCADO OUTRO RADIO AVI"/>
    <s v="COMUNICACAO"/>
    <s v="RADIO"/>
    <s v="RADIO AVI"/>
    <s v="FALHA"/>
    <s v="SUBSTITUIR"/>
    <s v="Automação"/>
    <s v="Rádio Lte - Fonte Queimada"/>
    <s v="Rádio - Sem Alimentação"/>
  </r>
  <r>
    <n v="0"/>
    <m/>
    <m/>
    <m/>
    <m/>
    <m/>
    <m/>
    <m/>
    <m/>
    <m/>
    <m/>
    <m/>
    <m/>
    <n v="1"/>
    <s v="LOCOMOÇÃO"/>
    <x v="1"/>
    <s v="Man. Pneus"/>
    <n v="0.21388888877118006"/>
    <x v="1"/>
    <s v="NÃO EXP.MAE"/>
    <s v="NÃO"/>
    <n v="0"/>
    <n v="0"/>
    <n v="0"/>
    <x v="684"/>
    <d v="2026-09-06T03:52:04"/>
    <x v="2"/>
    <m/>
    <s v="8010"/>
    <s v="MPNS - Hora Manutenção Preventiva não Sistemática"/>
    <s v="MPNS - EXEC BORRACHARIA"/>
    <s v="Mãe"/>
    <x v="8"/>
    <s v="MACHINE GEN Started a delay: MPNS - Exec borracharia"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COMUNICACAO"/>
    <x v="3"/>
    <s v="Acessórios"/>
    <n v="5.2725000000209548"/>
    <x v="0"/>
    <s v="EXP.MAE"/>
    <s v="NÃO"/>
    <n v="0"/>
    <n v="0"/>
    <n v="0"/>
    <x v="685"/>
    <d v="2026-09-08T05:03:08"/>
    <x v="2"/>
    <s v="202604703486"/>
    <s v="9031"/>
    <s v="HMC - Hora de Manutenção Corretiva"/>
    <s v="HMC - EXEC SIST EMBARCADOS/AUTOMACAO"/>
    <s v="Mãe"/>
    <x v="8"/>
    <s v="202604703486- FALHA DE COMUNICAÇÃO- REALIZADO ALIMENTAÇÃO E REINICIO DO EQUIPAMENTO"/>
    <s v="COMUNICACAO"/>
    <s v="COMUNICACAO"/>
    <s v="COMUNICACAO"/>
    <s v="COMUNICACAO"/>
    <s v="COMUNICACAO"/>
    <s v="Automação"/>
    <s v="Despacho - Cabo Danificado"/>
    <s v="Display - Sem Alimentação"/>
  </r>
  <r>
    <n v="0"/>
    <m/>
    <m/>
    <m/>
    <m/>
    <m/>
    <m/>
    <m/>
    <m/>
    <m/>
    <m/>
    <m/>
    <m/>
    <n v="1"/>
    <s v="INSPEÇÃO SENSITIVA"/>
    <x v="4"/>
    <s v="Inspeção"/>
    <n v="1.5163888888782822"/>
    <x v="1"/>
    <s v="NÃO EXP.MAE"/>
    <s v="NÃO"/>
    <n v="0"/>
    <n v="0"/>
    <n v="0"/>
    <x v="686"/>
    <d v="2026-09-09T11:49:31"/>
    <x v="2"/>
    <m/>
    <s v="7005"/>
    <s v="MPS - Hora Manutenção Preventiva Sistemática"/>
    <s v="MPS-EXEC INSP MECANICA"/>
    <s v="Mãe"/>
    <x v="8"/>
    <m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DIRECAO"/>
    <x v="3"/>
    <s v="Corretivas"/>
    <n v="15.982222222199198"/>
    <x v="1"/>
    <s v="NÃO EXP.MAE"/>
    <s v="NÃO"/>
    <n v="0"/>
    <n v="0"/>
    <n v="0"/>
    <x v="687"/>
    <d v="2026-09-10T14:56:17"/>
    <x v="2"/>
    <m/>
    <s v="9000"/>
    <s v="HMC - Hora de Manutenção Corretiva"/>
    <s v="HMC - EXEC MANUT"/>
    <s v="Mãe"/>
    <x v="8"/>
    <s v="BAIXO NIVEL DE OLEO DA DIREÇÃO"/>
    <s v="DIRECAO"/>
    <s v="LUBRIFICACAO"/>
    <s v="OLEO"/>
    <s v="BAIXO NIVEL"/>
    <s v="COMPLETAR"/>
    <m/>
    <m/>
    <m/>
  </r>
  <r>
    <n v="0"/>
    <m/>
    <m/>
    <m/>
    <m/>
    <m/>
    <m/>
    <m/>
    <m/>
    <m/>
    <m/>
    <m/>
    <m/>
    <n v="1"/>
    <s v="SISTEMA DE FREIO"/>
    <x v="3"/>
    <s v="Corretivas"/>
    <n v="6.9316666667000391"/>
    <x v="1"/>
    <s v="NÃO EXP.MAE"/>
    <s v="NÃO"/>
    <n v="0"/>
    <n v="0"/>
    <n v="0"/>
    <x v="688"/>
    <d v="2026-09-11T05:14:10"/>
    <x v="2"/>
    <s v="202604773829"/>
    <s v="9000"/>
    <s v="HMC - Hora de Manutenção Corretiva"/>
    <s v="HMC - EXEC MANUT"/>
    <s v="Mãe"/>
    <x v="8"/>
    <s v="alarme de comando final   202604773829  SUBSTITUIDO FIO DE SINAL DO CONECTOR DO SENSOR DE TEMPERATURA DO FREIO TRASEIRO DIREITO MT: 1150581"/>
    <s v="FRENAGEM"/>
    <s v="FREIO"/>
    <s v="SENSOR DE TEMPERATURA"/>
    <s v="FALHA"/>
    <s v="CORRIGIR"/>
    <s v="Elétrica"/>
    <s v="Eletrico - Frenagem"/>
    <s v="Sensor de Proximidade"/>
  </r>
  <r>
    <n v="0"/>
    <m/>
    <m/>
    <m/>
    <m/>
    <m/>
    <m/>
    <m/>
    <m/>
    <m/>
    <m/>
    <m/>
    <m/>
    <n v="1"/>
    <s v="DIRECAO"/>
    <x v="3"/>
    <s v="Corretivas"/>
    <n v="1.0425000000977889"/>
    <x v="1"/>
    <s v="NÃO EXP.MAE"/>
    <s v="NÃO"/>
    <n v="0"/>
    <n v="0"/>
    <n v="0"/>
    <x v="689"/>
    <d v="2026-09-12T01:04:04"/>
    <x v="2"/>
    <s v="202604791630"/>
    <s v="9000"/>
    <s v="HMC - Hora de Manutenção Corretiva"/>
    <s v="HMC - EXEC MANUT"/>
    <s v="Mãe"/>
    <x v="8"/>
    <s v="202604791630 - BAIXO NIVEL DE OLEO DA DIREÇÃO - COMPLETADO 40LT DDE OLEO DA DIREÇÃO"/>
    <s v="DIRECAO"/>
    <s v="HIDRAULICO"/>
    <s v="OLEO"/>
    <s v="BAIXO NIVEL"/>
    <s v="COMPLETAR"/>
    <s v="Mecânica"/>
    <s v="Direcao - Tanque Oleo"/>
    <s v="Oleo-Nivel Baixo"/>
  </r>
  <r>
    <n v="0"/>
    <m/>
    <m/>
    <m/>
    <m/>
    <m/>
    <m/>
    <m/>
    <m/>
    <m/>
    <m/>
    <m/>
    <m/>
    <n v="1"/>
    <s v="ESTRUTURA"/>
    <x v="3"/>
    <s v="Corretivas"/>
    <n v="1.4505555555224419"/>
    <x v="1"/>
    <s v="NÃO EXP.MAE"/>
    <s v="NÃO"/>
    <n v="0"/>
    <n v="0"/>
    <n v="0"/>
    <x v="690"/>
    <d v="2026-09-12T04:10:20"/>
    <x v="2"/>
    <s v="202604791633"/>
    <s v="9000"/>
    <s v="HMC - Hora de Manutenção Corretiva"/>
    <s v="HMC - EXEC MANUT"/>
    <s v="Mãe"/>
    <x v="8"/>
    <s v="202604791633- IZOLAMENTO DA CABINE - REPOSICIOANDO VEDAÇÃO DA PORTA LD"/>
    <s v="ESTRUTURA"/>
    <s v="CABINE"/>
    <s v="VEDACAO"/>
    <s v="MAU POSICIONADO"/>
    <s v="REPOSICIONAR"/>
    <s v="Mecânica"/>
    <s v="Estrutura - Cabine"/>
    <s v="Porta-Vedacao"/>
  </r>
  <r>
    <n v="0"/>
    <m/>
    <m/>
    <m/>
    <m/>
    <m/>
    <m/>
    <m/>
    <m/>
    <m/>
    <m/>
    <m/>
    <m/>
    <n v="1"/>
    <s v="DIRECAO"/>
    <x v="3"/>
    <s v="Corretivas"/>
    <n v="0.68333333329064772"/>
    <x v="1"/>
    <s v="NÃO EXP.MAE"/>
    <s v="NÃO"/>
    <n v="0"/>
    <n v="0"/>
    <n v="0"/>
    <x v="691"/>
    <d v="2026-09-13T17:11:54"/>
    <x v="2"/>
    <s v="202604808751"/>
    <s v="9000"/>
    <s v="HMC - Hora de Manutenção Corretiva"/>
    <s v="HMC - EXEC MANUT"/>
    <s v="Mãe"/>
    <x v="8"/>
    <s v="202604808751 - BAIXO NÍVEL DO ÓLEO DA DIREÇÃO - COMPLETADO 30L DE OLEO DA DIREÇÃO."/>
    <s v="DIRECAO"/>
    <s v="HIDRAULICO"/>
    <s v="OLEO"/>
    <s v="BAIXO NIVEL"/>
    <s v="COMPLETAR"/>
    <s v="Mecânica"/>
    <s v="Direcao - Tanque Oleo"/>
    <s v="Oleo-Nivel"/>
  </r>
  <r>
    <n v="0"/>
    <m/>
    <m/>
    <m/>
    <m/>
    <m/>
    <m/>
    <m/>
    <m/>
    <m/>
    <m/>
    <m/>
    <m/>
    <n v="1"/>
    <s v="MOTOR DE COMBUSTÃO"/>
    <x v="3"/>
    <s v="Corretivas"/>
    <n v="1.3236111110891216"/>
    <x v="1"/>
    <s v="NÃO EXP.MAE"/>
    <s v="NÃO"/>
    <n v="0"/>
    <n v="0"/>
    <n v="0"/>
    <x v="692"/>
    <d v="2026-09-14T09:26:22"/>
    <x v="2"/>
    <m/>
    <s v="9000"/>
    <s v="HMC - Hora de Manutenção Corretiva"/>
    <s v="HMC - EXEC MANUT"/>
    <s v="Mãe"/>
    <x v="8"/>
    <s v="202604833517 - VAZAMENTO DE LC -  REALIZADO TROCA DA MANGUEIRA DA TURBINA,COMPLETADO 15 L DE ÓLEO DO MOTOR"/>
    <s v="MOTOR DE COMBUSTAO"/>
    <s v="ARREFECIMENTO"/>
    <s v="MANGUEIRA"/>
    <s v="AVARIA"/>
    <s v="SUBSTITUIR"/>
    <s v="Mecânica"/>
    <s v="Motor Combustao - Lubrificacao"/>
    <s v="Oleo"/>
  </r>
  <r>
    <n v="0"/>
    <m/>
    <m/>
    <m/>
    <m/>
    <m/>
    <m/>
    <m/>
    <m/>
    <m/>
    <m/>
    <m/>
    <m/>
    <n v="1"/>
    <s v="DIRECAO"/>
    <x v="3"/>
    <s v="Corretivas"/>
    <n v="0.68305555562255904"/>
    <x v="1"/>
    <s v="NÃO EXP.MAE"/>
    <s v="NÃO"/>
    <n v="0"/>
    <n v="0"/>
    <n v="0"/>
    <x v="693"/>
    <d v="2026-09-15T03:33:53"/>
    <x v="2"/>
    <s v="202604837518"/>
    <s v="9000"/>
    <s v="HMC - Hora de Manutenção Corretiva"/>
    <s v="HMC - EXEC MANUT"/>
    <s v="Mãe"/>
    <x v="8"/>
    <s v="BAIXO NIVEL DO OLEO DA DIREÇÃO - 202604837518  COMPLETADO NÍVEL DE ÓLEO DA DIREÇÃO  MT:1150581"/>
    <s v="DIRECAO"/>
    <s v="HIDRAULICO"/>
    <s v="OLEO"/>
    <s v="BAIXO NIVEL"/>
    <s v="COMPLETAR"/>
    <s v="Mecânica"/>
    <s v="Direcao - Tanque Oleo"/>
    <s v="Oleo-Nivel Baixo"/>
  </r>
  <r>
    <n v="0"/>
    <m/>
    <m/>
    <m/>
    <m/>
    <m/>
    <m/>
    <m/>
    <m/>
    <m/>
    <m/>
    <m/>
    <m/>
    <n v="1"/>
    <s v="ELETRICO"/>
    <x v="3"/>
    <s v="Corretivas"/>
    <n v="111.23916666669538"/>
    <x v="1"/>
    <s v="NÃO EXP.MAE"/>
    <s v="NÃO"/>
    <n v="0"/>
    <n v="0"/>
    <n v="0"/>
    <x v="694"/>
    <d v="2026-09-19T22:11:56"/>
    <x v="2"/>
    <s v="202604842637"/>
    <s v="9000"/>
    <s v="HMC - Hora de Manutenção Corretiva"/>
    <s v="HMC - EXEC MANUT"/>
    <s v="Mãe"/>
    <x v="8"/>
    <s v="202604842637 - FALHA NO FILTRO DO DIFERENCIAL- SUBSTITUIDO MOTOR DO VENTILADOR CORRIGIDO FALHA ELETRICA E DO AR CONDICIONADO"/>
    <s v="ELETRICO"/>
    <s v="ARREFECIMENTO"/>
    <s v="MOTOR DO ELETROVENTILADOR"/>
    <s v="FALHA"/>
    <s v="SUBSTITUIR"/>
    <s v="Mecânica"/>
    <s v="Ar Condicionado - Filtro"/>
    <s v="Filtro-Vedacao"/>
  </r>
  <r>
    <n v="0"/>
    <m/>
    <m/>
    <m/>
    <m/>
    <m/>
    <m/>
    <m/>
    <m/>
    <m/>
    <m/>
    <m/>
    <m/>
    <n v="1"/>
    <s v="LOCOMOÇÃO"/>
    <x v="1"/>
    <s v="Man. Pneus"/>
    <n v="1.2041666666627862"/>
    <x v="1"/>
    <s v="NÃO EXP.MAE"/>
    <s v="NÃO"/>
    <n v="0"/>
    <n v="0"/>
    <n v="0"/>
    <x v="695"/>
    <d v="2026-09-20T01:43:23"/>
    <x v="2"/>
    <m/>
    <s v="8010"/>
    <s v="MPNS - Hora Manutenção Preventiva não Sistemática"/>
    <s v="MPNS - EXEC BORRACHARIA"/>
    <s v="Mãe"/>
    <x v="8"/>
    <s v="BAIXA PRESSÃO TEE NIVEL 3"/>
    <s v="LOCOMOCAO"/>
    <s v="RODA TEE"/>
    <s v="PNEU"/>
    <s v="BAIXA PRESSAO"/>
    <s v="CALIBRAR"/>
    <s v="Borracharia"/>
    <s v="Locomocao - Roda Tee"/>
    <s v="Pneu-Pressao"/>
  </r>
  <r>
    <n v="0"/>
    <m/>
    <m/>
    <m/>
    <m/>
    <m/>
    <m/>
    <m/>
    <m/>
    <m/>
    <m/>
    <m/>
    <m/>
    <n v="1"/>
    <s v="ESTRUTURA"/>
    <x v="3"/>
    <s v="Corretivas"/>
    <n v="0.93972222221782431"/>
    <x v="1"/>
    <s v="NÃO EXP.MAE"/>
    <s v="NÃO"/>
    <n v="0"/>
    <n v="0"/>
    <n v="0"/>
    <x v="696"/>
    <d v="2026-09-21T16:38:05"/>
    <x v="2"/>
    <s v="202604977705"/>
    <s v="9000"/>
    <s v="HMC - Hora de Manutenção Corretiva"/>
    <s v="HMC - EXEC MANUT"/>
    <s v="Mãe"/>
    <x v="8"/>
    <s v="202604977705 - AUSENCIA DA TAMPA DO DRENO DO TANQUE HIDRÁULICO - REPOSICIONADO BUJÃO DA TANQUE HIDRAULICO"/>
    <s v="ESTRUTURA"/>
    <s v="TANQUE HIDRAULICO"/>
    <s v="VEDACAO"/>
    <s v="AUSENCIA"/>
    <s v="INSTALAR"/>
    <m/>
    <m/>
    <m/>
  </r>
  <r>
    <n v="0"/>
    <m/>
    <m/>
    <m/>
    <m/>
    <m/>
    <m/>
    <m/>
    <m/>
    <m/>
    <m/>
    <m/>
    <m/>
    <n v="1"/>
    <s v="INSPEÇÃO SENSITIVA"/>
    <x v="4"/>
    <s v="Inspeção"/>
    <n v="1.4538888889364898"/>
    <x v="1"/>
    <s v="NÃO EXP.MAE"/>
    <s v="NÃO"/>
    <n v="0"/>
    <n v="0"/>
    <n v="0"/>
    <x v="697"/>
    <d v="2026-09-22T11:52:26"/>
    <x v="2"/>
    <m/>
    <s v="7005"/>
    <s v="MPS - Hora Manutenção Preventiva Sistemática"/>
    <s v="MPS-EXEC INSP MECANICA"/>
    <s v="Mãe"/>
    <x v="8"/>
    <m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COMUNICACAO"/>
    <x v="3"/>
    <s v="Acessórios"/>
    <n v="0.64027777779847383"/>
    <x v="0"/>
    <s v="EXP.MAE"/>
    <s v="NÃO"/>
    <n v="0"/>
    <n v="0"/>
    <n v="0"/>
    <x v="698"/>
    <d v="2026-09-24T02:41:34"/>
    <x v="2"/>
    <m/>
    <s v="9031"/>
    <s v="HMC - Hora de Manutenção Corretiva"/>
    <s v="HMC - EXEC SIST EMBARCADOS/AUTOMACAO"/>
    <s v="Mãe"/>
    <x v="8"/>
    <s v="FALHA DE COMUNICAÇÃO- REALIZADO A TROCA DO FUSIVEL DO RÁDIO AVI"/>
    <s v="COMUNICACAO"/>
    <s v="RADIO"/>
    <s v="FUSIVEL"/>
    <s v="FALHA"/>
    <s v="SUBSTITUIR"/>
    <s v="Automação"/>
    <s v="Rádio Lte - Fonte Queimada"/>
    <s v="Rádio - Sem Alimentação"/>
  </r>
  <r>
    <n v="0"/>
    <m/>
    <m/>
    <m/>
    <m/>
    <m/>
    <m/>
    <m/>
    <m/>
    <m/>
    <m/>
    <m/>
    <m/>
    <n v="1"/>
    <s v="LOCOMOÇÃO"/>
    <x v="1"/>
    <s v="Man. Pneus"/>
    <n v="0.48861111112637445"/>
    <x v="1"/>
    <s v="NÃO EXP.MAE"/>
    <s v="NÃO"/>
    <n v="0"/>
    <n v="0"/>
    <n v="0"/>
    <x v="699"/>
    <d v="2026-09-25T14:33:28"/>
    <x v="2"/>
    <m/>
    <s v="8010"/>
    <s v="MPNS - Hora Manutenção Preventiva não Sistemática"/>
    <s v="MPNS - EXEC BORRACHARIA"/>
    <s v="Mãe"/>
    <x v="8"/>
    <s v="MACHINE GEN Started a delay: MPNS - Exec borracharia"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MOTOR DE COMBUSTÃO"/>
    <x v="3"/>
    <s v="Corretivas"/>
    <n v="3.526111111161299"/>
    <x v="1"/>
    <s v="NÃO EXP.MAE"/>
    <s v="NÃO"/>
    <n v="0"/>
    <n v="0"/>
    <n v="0"/>
    <x v="700"/>
    <d v="2026-09-26T12:22:30"/>
    <x v="2"/>
    <s v="202605071644"/>
    <s v="9000"/>
    <s v="HMC - Hora de Manutenção Corretiva"/>
    <s v="HMC - EXEC MANUT"/>
    <s v="Mãe"/>
    <x v="8"/>
    <s v="202605071644 - BAIXO RENDIMENTO DO MOTOR- ALTERADO PARÂMETRO NA CONFIGURAÇÃO DO MODO DE ANALISE."/>
    <s v="MOTOR DE COMBUSTAO"/>
    <s v="MOTOR DE COMBUSTAO"/>
    <s v="MOTOR DE COMBUSTAO"/>
    <s v=""/>
    <s v=""/>
    <s v="Mecânica"/>
    <s v="Motor Combustao - Motor Combustao"/>
    <s v="Motor Combustao-Desconfiguracao"/>
  </r>
  <r>
    <n v="0"/>
    <m/>
    <m/>
    <m/>
    <m/>
    <m/>
    <m/>
    <m/>
    <m/>
    <m/>
    <m/>
    <m/>
    <m/>
    <n v="1"/>
    <s v="AR CONDICIONADO"/>
    <x v="3"/>
    <s v="Corretivas"/>
    <n v="0.61222222232026979"/>
    <x v="1"/>
    <s v="NÃO EXP.MAE"/>
    <s v="NÃO"/>
    <n v="0"/>
    <n v="0"/>
    <n v="0"/>
    <x v="701"/>
    <d v="2026-09-29T20:52:29"/>
    <x v="2"/>
    <s v="202605124110"/>
    <s v="9000"/>
    <s v="HMC - Hora de Manutenção Corretiva"/>
    <s v="HMC - EXEC MANUT"/>
    <s v="Mãe"/>
    <x v="8"/>
    <s v="FALHA NO AR-CONDICIONADO  202605124110   REPOSICIONADO RELE R-6 DA EMBREAGEM DO COMPRESSOR DO AR-CONDICIONADO  MT:1150582"/>
    <s v="AR CONDICIONADO"/>
    <s v="COMPRESSOR"/>
    <s v="RELÉ"/>
    <s v="MAU POSICIONADO"/>
    <s v="REPOSICIONAR"/>
    <s v="Elétrica"/>
    <s v="Ar Condicionado - Painel"/>
    <s v="Rele Termico"/>
  </r>
  <r>
    <n v="0"/>
    <m/>
    <m/>
    <m/>
    <m/>
    <m/>
    <m/>
    <m/>
    <m/>
    <m/>
    <m/>
    <m/>
    <m/>
    <n v="1"/>
    <s v="LOCOMOÇÃO"/>
    <x v="3"/>
    <s v="Man. Pneus"/>
    <n v="5.2511111110216007"/>
    <x v="1"/>
    <s v="NÃO EXP.MAE"/>
    <s v="NÃO"/>
    <n v="0"/>
    <n v="0"/>
    <n v="0"/>
    <x v="702"/>
    <d v="2026-09-30T03:34:51"/>
    <x v="2"/>
    <m/>
    <s v="9010"/>
    <s v="HMC - Hora de Manutenção Corretiva"/>
    <s v="HMC - EXEC BORRACHARIA"/>
    <s v="Mãe"/>
    <x v="8"/>
    <s v="BAIXA PRESSÃO DO PNEU TEE  -202605130666 CALIBRADO PNEU TEE"/>
    <s v="LOCOMOCAO"/>
    <s v="RODA TEE"/>
    <s v="PNEU"/>
    <s v="BAIXA PRESSAO"/>
    <s v="CALIBRAR"/>
    <m/>
    <m/>
    <m/>
  </r>
  <r>
    <n v="0"/>
    <m/>
    <m/>
    <m/>
    <m/>
    <m/>
    <m/>
    <m/>
    <m/>
    <m/>
    <m/>
    <m/>
    <m/>
    <n v="1"/>
    <s v="LOCOMOÇÃO"/>
    <x v="1"/>
    <s v="Man. Pneus"/>
    <n v="0.55722222221083939"/>
    <x v="1"/>
    <s v="NÃO EXP.MAE"/>
    <s v="NÃO"/>
    <n v="0"/>
    <n v="0"/>
    <n v="0"/>
    <x v="703"/>
    <d v="2026-10-04T00:27:25"/>
    <x v="2"/>
    <m/>
    <s v="8010"/>
    <s v="MPNS - Hora Manutenção Preventiva não Sistemática"/>
    <s v="MPNS - EXEC BORRACHARIA"/>
    <s v="Mãe"/>
    <x v="9"/>
    <s v="BAIXA PRESSÃO DO PNEU TEE"/>
    <s v="LOCOMOCAO"/>
    <s v="RODA TEE"/>
    <s v="PNEU"/>
    <s v="BAIXA PRESSAO"/>
    <s v="CALIBRAR"/>
    <m/>
    <m/>
    <m/>
  </r>
  <r>
    <n v="0"/>
    <m/>
    <m/>
    <m/>
    <m/>
    <m/>
    <m/>
    <m/>
    <m/>
    <m/>
    <m/>
    <m/>
    <m/>
    <n v="1"/>
    <s v="ELETRICO"/>
    <x v="3"/>
    <s v="Corretivas"/>
    <n v="15.913888888782822"/>
    <x v="1"/>
    <s v="NÃO EXP.MAE"/>
    <s v="NÃO"/>
    <n v="0"/>
    <n v="0"/>
    <n v="0"/>
    <x v="704"/>
    <d v="2026-10-06T10:47:41"/>
    <x v="2"/>
    <m/>
    <s v="9000"/>
    <s v="HMC - Hora de Manutenção Corretiva"/>
    <s v="HMC - EXEC MANUT"/>
    <s v="Mãe"/>
    <x v="9"/>
    <s v="FALHA NO CHAVE SELETORA"/>
    <s v="ELETRICO"/>
    <s v=""/>
    <s v=""/>
    <s v=""/>
    <s v=""/>
    <m/>
    <m/>
    <m/>
  </r>
  <r>
    <n v="0"/>
    <m/>
    <m/>
    <m/>
    <m/>
    <m/>
    <m/>
    <m/>
    <m/>
    <m/>
    <m/>
    <m/>
    <m/>
    <n v="1"/>
    <s v="REVISÃO PREVENTIVA"/>
    <x v="4"/>
    <s v="Preventivas"/>
    <n v="0.82472222222713754"/>
    <x v="1"/>
    <s v="NÃO EXP.MAE"/>
    <s v="NÃO"/>
    <n v="0"/>
    <n v="0"/>
    <n v="0"/>
    <x v="705"/>
    <d v="2026-10-06T23:59:59"/>
    <x v="2"/>
    <m/>
    <s v="7000"/>
    <s v="MPS - Hora Manutenção Preventiva Sistemática"/>
    <s v="MPS - EXEC MANUT"/>
    <s v="Mãe"/>
    <x v="9"/>
    <s v="PM 1000h + 19 BLs"/>
    <s v="PREVENTIVA"/>
    <s v="1000 HORAS"/>
    <s v=""/>
    <s v=""/>
    <s v=""/>
    <m/>
    <m/>
    <m/>
  </r>
  <r>
    <n v="0"/>
    <m/>
    <m/>
    <m/>
    <m/>
    <m/>
    <m/>
    <m/>
    <m/>
    <m/>
    <m/>
    <m/>
    <m/>
    <n v="1"/>
    <s v="AR CONDICIONADO"/>
    <x v="3"/>
    <s v="Corretivas"/>
    <n v="2.4022222221828997"/>
    <x v="1"/>
    <s v="NÃO EXP.MAE"/>
    <s v="NÃO"/>
    <n v="0"/>
    <n v="0"/>
    <n v="0"/>
    <x v="0"/>
    <d v="2026-01-01T02:24:08"/>
    <x v="3"/>
    <n v="202601729918"/>
    <s v="9000"/>
    <s v="HMC - Hora de Manutenção Corretiva"/>
    <s v="HMC - EXEC MANUT"/>
    <s v="Mãe"/>
    <x v="0"/>
    <s v="202506860641 FALHA NO ARCONDICIONADO  - 202506860641 -"/>
    <s v="AR CONDICIONADO"/>
    <s v="COMPRESSOR"/>
    <s v="COMPRESSOR "/>
    <s v="AVARIA"/>
    <s v="SUBSTITUIR"/>
    <s v="Mecânica"/>
    <s v="Ar Condicionado - Compressor"/>
    <s v="Compressor-Avaria"/>
  </r>
  <r>
    <n v="0"/>
    <m/>
    <m/>
    <m/>
    <m/>
    <m/>
    <m/>
    <m/>
    <m/>
    <m/>
    <m/>
    <m/>
    <m/>
    <n v="1"/>
    <s v="MOTOR DE COMBUSTÃO"/>
    <x v="3"/>
    <s v="Corretivas"/>
    <n v="10.990833333344199"/>
    <x v="1"/>
    <s v="NÃO EXP.MAE"/>
    <s v="NÃO"/>
    <n v="0"/>
    <n v="0"/>
    <n v="0"/>
    <x v="706"/>
    <d v="2026-01-02T05:27:40"/>
    <x v="3"/>
    <n v="202601729918"/>
    <s v="9000"/>
    <s v="HMC - Hora de Manutenção Corretiva"/>
    <s v="HMC - EXEC MANUT"/>
    <s v="Mãe"/>
    <x v="0"/>
    <s v="FALHA NA PARTIDA - 202600015593 REALIZADO ABASTECIMENTO NO TANQUE DIESEL MT: 1150217"/>
    <s v="MOTOR DE COMBUSTAO"/>
    <s v="COMBUSTIVEL"/>
    <s v="OLEO DIESEL"/>
    <s v="BAIXO NIVEL"/>
    <s v="COMPLETAR"/>
    <s v="Mecânica"/>
    <s v="Estrutura - Tanque Oleo"/>
    <s v="Oleo"/>
  </r>
  <r>
    <n v="0"/>
    <m/>
    <m/>
    <m/>
    <m/>
    <m/>
    <m/>
    <m/>
    <m/>
    <m/>
    <m/>
    <m/>
    <m/>
    <n v="1"/>
    <s v="ELETRICO"/>
    <x v="3"/>
    <s v="Corretivas"/>
    <n v="1.7813888890086673"/>
    <x v="1"/>
    <s v="NÃO EXP.MAE"/>
    <s v="NÃO"/>
    <n v="0"/>
    <n v="0"/>
    <n v="0"/>
    <x v="707"/>
    <d v="2026-01-02T08:01:45"/>
    <x v="3"/>
    <n v="202601729918"/>
    <s v="9000"/>
    <s v="HMC - Hora de Manutenção Corretiva"/>
    <s v="HMC - EXEC MANUT"/>
    <s v="Mãe"/>
    <x v="0"/>
    <s v="FALHA NA PARTIDA DO MOTOR DIESEL - RETROAGIR CODIGO (BOTOEIRA DE INTERTRAVAMENTO ATUADA)"/>
    <s v="ELETRICO"/>
    <s v="CABINE"/>
    <s v="MODO SHUTDOWN"/>
    <s v="FALHA"/>
    <s v="CORRIGIR"/>
    <s v="Elétrica"/>
    <s v="Eletrico - Cabine"/>
    <s v="Botao"/>
  </r>
  <r>
    <n v="0"/>
    <m/>
    <m/>
    <m/>
    <m/>
    <m/>
    <m/>
    <m/>
    <m/>
    <m/>
    <m/>
    <m/>
    <m/>
    <n v="1"/>
    <s v="ELETRICO"/>
    <x v="3"/>
    <s v="Corretivas"/>
    <n v="1.8713888889178634"/>
    <x v="1"/>
    <s v="NÃO EXP.MAE"/>
    <s v="NÃO"/>
    <n v="0"/>
    <n v="0"/>
    <n v="0"/>
    <x v="708"/>
    <d v="2026-01-03T11:22:51"/>
    <x v="3"/>
    <n v="202601729918"/>
    <s v="9000"/>
    <s v="HMC - Hora de Manutenção Corretiva"/>
    <s v="HMC - EXEC MANUT"/>
    <s v="Mãe"/>
    <x v="0"/>
    <s v="FALHA NA PARTIDA - SUBSTITUIDO BATERIAS  - 202600034791"/>
    <s v="ELETRICO"/>
    <s v="BATERIA"/>
    <s v="TERMINAL"/>
    <s v="FOLGA"/>
    <s v="CORRIGIR"/>
    <s v="Elétrica"/>
    <s v="Eletrico - Bateria"/>
    <s v="Bateria-Carga"/>
  </r>
  <r>
    <n v="0"/>
    <m/>
    <m/>
    <m/>
    <m/>
    <m/>
    <m/>
    <m/>
    <m/>
    <m/>
    <m/>
    <m/>
    <m/>
    <n v="1"/>
    <s v="ELETRICO"/>
    <x v="3"/>
    <s v="Corretivas"/>
    <n v="9.3247222223435529"/>
    <x v="1"/>
    <s v="NÃO EXP.MAE"/>
    <s v="NÃO"/>
    <n v="0"/>
    <n v="0"/>
    <n v="0"/>
    <x v="709"/>
    <d v="2026-01-04T04:22:56"/>
    <x v="3"/>
    <n v="202601729918"/>
    <s v="9000"/>
    <s v="HMC - Hora de Manutenção Corretiva"/>
    <s v="HMC - EXEC MANUT"/>
    <s v="Mãe"/>
    <x v="0"/>
    <s v="FALHA NA PARTIDA - 202600036860"/>
    <s v="ELETRICO"/>
    <s v="MOTOR DE COMBUSTAO"/>
    <s v="MOTOR DE PARTIDA"/>
    <s v="AVARIA"/>
    <s v="SUBSTITUIR"/>
    <s v="Elétrica"/>
    <s v="Eletrico - Bateria"/>
    <s v="Bateria"/>
  </r>
  <r>
    <n v="0"/>
    <m/>
    <m/>
    <m/>
    <m/>
    <m/>
    <m/>
    <m/>
    <m/>
    <m/>
    <m/>
    <m/>
    <m/>
    <n v="1"/>
    <s v="COMUNICACAO"/>
    <x v="3"/>
    <s v="Acessórios"/>
    <n v="2.2511111111962236"/>
    <x v="0"/>
    <s v="EXP.MAE"/>
    <s v="NÃO"/>
    <n v="0"/>
    <n v="0"/>
    <n v="0"/>
    <x v="710"/>
    <d v="2026-01-04T11:35:11"/>
    <x v="3"/>
    <n v="202601729918"/>
    <s v="9032"/>
    <s v="HMC - Hora de Manutenção Corretiva"/>
    <s v="HMC - EXEC TERCEIROS TRABALHANDO"/>
    <s v="Mãe"/>
    <x v="0"/>
    <s v="FALHA DE COMUNICAÇÃO GPS. SUBSTITUIDO CABO DA ANTENA DO GPS. 202600044444"/>
    <s v="COMUNICACAO"/>
    <s v="GPS"/>
    <s v="CABO/FIACAO"/>
    <s v="AVARIA"/>
    <s v="SUBSTITUIR"/>
    <s v="Tecnologia Operacional"/>
    <s v="Despacho GPS"/>
    <s v="Chicote danificado"/>
  </r>
  <r>
    <n v="0"/>
    <m/>
    <m/>
    <m/>
    <m/>
    <m/>
    <m/>
    <m/>
    <m/>
    <m/>
    <m/>
    <m/>
    <m/>
    <n v="1"/>
    <s v="INSPEÇÃO SENSITIVA"/>
    <x v="1"/>
    <s v="Inspeção"/>
    <n v="1.2597222222830169"/>
    <x v="1"/>
    <s v="NÃO EXP.MAE"/>
    <s v="NÃO"/>
    <n v="0"/>
    <n v="0"/>
    <n v="0"/>
    <x v="711"/>
    <d v="2026-01-05T11:31:03"/>
    <x v="3"/>
    <n v="202601729918"/>
    <s v="8001"/>
    <s v="MPNS - Hora Manutenção Preventiva não Sistemática"/>
    <s v="MPNS - EXEC MECANICA"/>
    <s v="Mãe"/>
    <x v="0"/>
    <m/>
    <s v="INSPEÇÃO"/>
    <m/>
    <m/>
    <m/>
    <m/>
    <m/>
    <m/>
    <m/>
  </r>
  <r>
    <n v="0"/>
    <m/>
    <m/>
    <m/>
    <m/>
    <m/>
    <m/>
    <m/>
    <m/>
    <m/>
    <m/>
    <m/>
    <m/>
    <n v="1"/>
    <s v="LOCOMOÇÃO"/>
    <x v="3"/>
    <s v="Man. Pneus"/>
    <n v="2.5733333333046176"/>
    <x v="1"/>
    <s v="NÃO EXP.MAE"/>
    <s v="NÃO"/>
    <n v="0"/>
    <n v="0"/>
    <n v="0"/>
    <x v="712"/>
    <d v="2026-01-05T21:07:28"/>
    <x v="3"/>
    <n v="202601729918"/>
    <s v="9010"/>
    <s v="HMC - Hora de Manutenção Corretiva"/>
    <s v="HMC - EXEC BORRACHARIA"/>
    <s v="Mãe"/>
    <x v="0"/>
    <s v="BAIXA PRESSÃO DE AR DO PNEU -202600066068 CALIBRADO  PNEU (DE) MT:81036838"/>
    <s v="LOCOMOCAO"/>
    <s v="RODA DE"/>
    <s v="PNEU"/>
    <s v="BAIXA PRESSAO"/>
    <s v="CALIBRAR"/>
    <s v="Borracharia"/>
    <s v="Locomocao - Roda De"/>
    <s v="Pneu-Pressao"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8.4920000001147855E-2"/>
    <n v="0"/>
    <n v="0"/>
    <x v="713"/>
    <d v="2026-01-05T21:07:28"/>
    <x v="3"/>
    <n v="202601729918"/>
    <s v="9010"/>
    <s v="HMC - Hora de Manutenção Corretiva"/>
    <s v="HMC - EXEC BORRACHARIA"/>
    <s v="Filha"/>
    <x v="0"/>
    <s v="BAIXA PRESSÃO DE AR DO PNEU -202600066068 CALIBRADO  PNEU (DE) MT:81036838"/>
    <s v="LOCOMOCAO"/>
    <s v="RODA DE"/>
    <s v="PNEU"/>
    <s v="BAIXA PRESSAO"/>
    <s v="CALIBRAR"/>
    <s v="Borracharia"/>
    <s v="Locomocao - Roda De"/>
    <s v="Pneu-Pressao"/>
  </r>
  <r>
    <n v="0"/>
    <m/>
    <m/>
    <m/>
    <m/>
    <m/>
    <m/>
    <m/>
    <m/>
    <m/>
    <m/>
    <m/>
    <m/>
    <n v="1"/>
    <s v="LOCOMOÇÃO"/>
    <x v="1"/>
    <s v="Man. Pneus"/>
    <n v="1.0419444444123656"/>
    <x v="1"/>
    <s v="NÃO EXP.MAE"/>
    <s v="NÃO"/>
    <n v="0"/>
    <n v="0"/>
    <n v="0"/>
    <x v="714"/>
    <d v="2026-01-10T00:04:15"/>
    <x v="3"/>
    <n v="202601729918"/>
    <s v="8010"/>
    <s v="MPNS - Hora Manutenção Preventiva não Sistemática"/>
    <s v="MPNS - EXEC BORRACHARIA"/>
    <s v="Mãe"/>
    <x v="0"/>
    <s v="MACHINE GEN Started a delay: MPNS - Exec borracharia"/>
    <s v="LOCOMOCAO"/>
    <m/>
    <m/>
    <m/>
    <m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3.4384166669042315E-2"/>
    <n v="0"/>
    <n v="0"/>
    <x v="715"/>
    <d v="2026-01-10T00:04:15"/>
    <x v="3"/>
    <n v="202601729918"/>
    <s v="8010"/>
    <s v="MPNS - Hora Manutenção Preventiva não Sistemática"/>
    <s v="MPNS - EXEC BORRACHARIA"/>
    <s v="Filha"/>
    <x v="0"/>
    <s v="MACHINE GEN Started a delay: MPNS - Exec borracharia"/>
    <s v="LOCOMOCAO"/>
    <m/>
    <m/>
    <m/>
    <m/>
    <m/>
    <m/>
    <m/>
  </r>
  <r>
    <n v="0"/>
    <m/>
    <m/>
    <m/>
    <m/>
    <m/>
    <m/>
    <m/>
    <m/>
    <m/>
    <m/>
    <m/>
    <m/>
    <n v="1"/>
    <s v="ESTRUTURA"/>
    <x v="3"/>
    <s v="Corretivas"/>
    <n v="0.63555555569473654"/>
    <x v="1"/>
    <s v="NÃO EXP.MAE"/>
    <s v="NÃO"/>
    <n v="0"/>
    <n v="0"/>
    <n v="0"/>
    <x v="716"/>
    <d v="2026-01-11T08:59:45"/>
    <x v="3"/>
    <n v="202601729918"/>
    <s v="9000"/>
    <s v="HMC - Hora de Manutenção Corretiva"/>
    <s v="HMC - EXEC MANUT"/>
    <s v="Mãe"/>
    <x v="0"/>
    <s v="202600179296 TRAVA DA ESCADA DE EMERGENCIA  DANIFICADA-INSTALADO TRAVA DA ESCADA DE EMERGÊNCIA"/>
    <s v="ESTRUTURA"/>
    <s v="ESCADA DE EMERGENCIA"/>
    <s v="TRAVA"/>
    <s v="AVARIA"/>
    <s v="SUBSTITUIR"/>
    <s v="Mecânica"/>
    <s v="Estrutura - Cabine"/>
    <s v="Escada"/>
  </r>
  <r>
    <n v="0"/>
    <m/>
    <m/>
    <m/>
    <m/>
    <m/>
    <m/>
    <m/>
    <m/>
    <m/>
    <m/>
    <m/>
    <m/>
    <n v="1"/>
    <s v="LOCOMOÇÃO"/>
    <x v="1"/>
    <s v="Man. Pneus"/>
    <n v="1.8863888889318332"/>
    <x v="1"/>
    <s v="NÃO EXP.MAE"/>
    <s v="NÃO"/>
    <n v="0"/>
    <n v="0"/>
    <n v="0"/>
    <x v="717"/>
    <d v="2026-01-14T21:37:56"/>
    <x v="3"/>
    <n v="202601729918"/>
    <s v="8010"/>
    <s v="MPNS - Hora Manutenção Preventiva não Sistemática"/>
    <s v="MPNS - EXEC BORRACHARIA"/>
    <s v="Mãe"/>
    <x v="0"/>
    <s v="BAIXA PRESSÃO DO PNEU TEE"/>
    <s v="LOCOMOCAO"/>
    <s v="RODA TEE"/>
    <s v="PNEU"/>
    <s v="BAIXA PRESSAO"/>
    <s v="CALIBRAR"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6.225083333265502E-2"/>
    <n v="0"/>
    <n v="0"/>
    <x v="718"/>
    <d v="2026-01-14T21:37:56"/>
    <x v="3"/>
    <n v="202601729918"/>
    <s v="8010"/>
    <s v="MPNS - Hora Manutenção Preventiva não Sistemática"/>
    <s v="MPNS - EXEC BORRACHARIA"/>
    <s v="Filha"/>
    <x v="0"/>
    <s v="BAIXA PRESSÃO DO PNEU TEE"/>
    <s v="LOCOMOCAO"/>
    <s v="RODA TEE"/>
    <s v="PNEU"/>
    <s v="BAIXA PRESSAO"/>
    <s v="CALIBRAR"/>
    <m/>
    <m/>
    <m/>
  </r>
  <r>
    <n v="0"/>
    <m/>
    <m/>
    <m/>
    <m/>
    <m/>
    <m/>
    <m/>
    <m/>
    <m/>
    <m/>
    <m/>
    <m/>
    <n v="1"/>
    <s v="LOCOMOÇÃO"/>
    <x v="3"/>
    <s v="Man. Pneus"/>
    <n v="18.146111111040227"/>
    <x v="1"/>
    <s v="NÃO EXP.MAE"/>
    <s v="NÃO"/>
    <n v="0"/>
    <n v="0"/>
    <n v="0"/>
    <x v="719"/>
    <d v="2026-01-15T19:12:42"/>
    <x v="3"/>
    <n v="202601729918"/>
    <s v="9010"/>
    <s v="HMC - Hora de Manutenção Corretiva"/>
    <s v="HMC - EXEC BORRACHARIA"/>
    <s v="Mãe"/>
    <x v="0"/>
    <s v="REGULARIZAR PRESSÃO DO PNEU TDE E TDI_x0009_202600250510"/>
    <s v="LOCOMOCAO"/>
    <s v="RODA TRASEIRA"/>
    <s v="PNEU"/>
    <s v="BAIXA PRESSAO"/>
    <s v="CALIBRAR"/>
    <s v="Borracharia"/>
    <s v="Locomocao - Roda Tde"/>
    <s v="Pneu-Pressao"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0.59882166666648118"/>
    <n v="0"/>
    <n v="0"/>
    <x v="720"/>
    <d v="2026-01-15T19:12:42"/>
    <x v="3"/>
    <n v="202601729918"/>
    <s v="9010"/>
    <s v="HMC - Hora de Manutenção Corretiva"/>
    <s v="HMC - EXEC BORRACHARIA"/>
    <s v="Filha"/>
    <x v="0"/>
    <s v="REGULARIZAR PRESSÃO DO PNEU TDE E TDI_x0009_202600250510"/>
    <s v="LOCOMOCAO"/>
    <s v="RODA TRASEIRA"/>
    <s v="PNEU"/>
    <s v="BAIXA PRESSAO"/>
    <s v="CALIBRAR"/>
    <s v="Borracharia"/>
    <s v="Locomocao - Roda Tde"/>
    <s v="Pneu-Pressao"/>
  </r>
  <r>
    <n v="0"/>
    <m/>
    <m/>
    <m/>
    <m/>
    <m/>
    <m/>
    <m/>
    <m/>
    <m/>
    <m/>
    <m/>
    <m/>
    <n v="1"/>
    <s v="DIRECAO"/>
    <x v="3"/>
    <s v="Corretivas"/>
    <n v="0.83611111098434776"/>
    <x v="1"/>
    <s v="NÃO EXP.MAE"/>
    <s v="NÃO"/>
    <n v="0"/>
    <n v="0"/>
    <n v="0"/>
    <x v="721"/>
    <d v="2026-01-17T23:07:30"/>
    <x v="3"/>
    <n v="202601729918"/>
    <s v="9000"/>
    <s v="HMC - Hora de Manutenção Corretiva"/>
    <s v="HMC - EXEC MANUT"/>
    <s v="Mãe"/>
    <x v="0"/>
    <s v="baixa nível de óleo hidráulico- 202600308490 - COMPLETADO  NÍVEL DE ÓLEO HIDRÁULICO MT: 1150588"/>
    <s v="DIRECAO"/>
    <s v="TANQUE HIDRAULICO"/>
    <s v="OLEO"/>
    <s v="BAIXO NIVEL"/>
    <s v="COMPLETAR"/>
    <s v="Mecânica"/>
    <s v="Estrutura - Tanque Combustivel"/>
    <s v="Oleo-Nivel Baixo"/>
  </r>
  <r>
    <n v="0"/>
    <m/>
    <m/>
    <m/>
    <m/>
    <m/>
    <m/>
    <m/>
    <m/>
    <m/>
    <m/>
    <m/>
    <s v="NÃO"/>
    <n v="1"/>
    <s v="REVISÃO PREVENTIVA"/>
    <x v="4"/>
    <s v="Preventivas"/>
    <n v="0.68194444442633539"/>
    <x v="1"/>
    <s v="NÃO EXP.MAE"/>
    <s v="NÃO"/>
    <n v="0"/>
    <n v="0"/>
    <n v="0"/>
    <x v="722"/>
    <d v="2026-01-19T03:32:05"/>
    <x v="3"/>
    <n v="202601729918"/>
    <s v="7116"/>
    <s v="MPS - Hora Manutenção Preventiva Sistemática"/>
    <s v="MPS - AG LOCOMOCAO"/>
    <s v="Mãe"/>
    <x v="0"/>
    <s v="PM: 250h + 13 BL's"/>
    <s v="PREVENTIVA"/>
    <s v="PITSTOP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8.903333333437331"/>
    <x v="1"/>
    <s v="NÃO EXP.MAE"/>
    <s v="NÃO"/>
    <n v="0"/>
    <n v="0"/>
    <n v="0"/>
    <x v="723"/>
    <d v="2026-01-19T12:26:17"/>
    <x v="3"/>
    <n v="202601729918"/>
    <s v="7000"/>
    <s v="MPS - Hora Manutenção Preventiva Sistemática"/>
    <s v="MPS - EXEC MANUT"/>
    <s v="Mãe"/>
    <x v="0"/>
    <s v="PM: 250h + 13 BL's"/>
    <s v="PREVENTIVA"/>
    <s v="PITSTOP"/>
    <m/>
    <m/>
    <m/>
    <m/>
    <m/>
    <m/>
  </r>
  <r>
    <n v="0"/>
    <m/>
    <m/>
    <m/>
    <m/>
    <m/>
    <m/>
    <m/>
    <m/>
    <m/>
    <m/>
    <m/>
    <m/>
    <n v="1"/>
    <s v="SISTEMA ALERTA DE FADIGA"/>
    <x v="1"/>
    <s v="Acessórios"/>
    <n v="1.6680555555503815"/>
    <x v="0"/>
    <s v="EXP.MAE"/>
    <s v="NÃO"/>
    <n v="0"/>
    <n v="0"/>
    <n v="0"/>
    <x v="724"/>
    <d v="2026-01-21T22:18:09"/>
    <x v="3"/>
    <n v="202601729918"/>
    <s v="8032"/>
    <s v="MPNS - Hora Manutenção Preventiva não Sistemática"/>
    <s v="MPNS - EXEC TERCEIROS TRABALHANDO"/>
    <s v="Mãe"/>
    <x v="0"/>
    <s v="CREARE -EQUIPAMENTO COM CÂMERA DESLOCADA - 202600395267"/>
    <s v="SISTEMA ALERTA DE FADIGA"/>
    <m/>
    <m/>
    <m/>
    <m/>
    <m/>
    <m/>
    <m/>
  </r>
  <r>
    <n v="0"/>
    <m/>
    <m/>
    <m/>
    <m/>
    <m/>
    <m/>
    <m/>
    <m/>
    <m/>
    <m/>
    <m/>
    <m/>
    <n v="1"/>
    <s v="SISTEMA ALERTA DE FADIGA"/>
    <x v="1"/>
    <s v="Acessórios"/>
    <n v="1.2302777777658775"/>
    <x v="0"/>
    <s v="EXP.MAE"/>
    <s v="NÃO"/>
    <n v="0"/>
    <n v="0"/>
    <n v="0"/>
    <x v="725"/>
    <d v="2026-01-22T09:44:12"/>
    <x v="3"/>
    <n v="202601729918"/>
    <s v="8032"/>
    <s v="MPNS - Hora Manutenção Preventiva não Sistemática"/>
    <s v="MPNS - EXEC TERCEIROS TRABALHANDO"/>
    <s v="Mãe"/>
    <x v="0"/>
    <s v="CREARE"/>
    <s v="SISTEMA ALERTA DE FADIGA"/>
    <m/>
    <m/>
    <m/>
    <m/>
    <m/>
    <m/>
    <m/>
  </r>
  <r>
    <n v="0"/>
    <m/>
    <m/>
    <m/>
    <m/>
    <m/>
    <m/>
    <m/>
    <m/>
    <m/>
    <m/>
    <m/>
    <m/>
    <n v="1"/>
    <s v="SISTEMA ALERTA DE FADIGA"/>
    <x v="1"/>
    <s v="Acessórios"/>
    <n v="0.77444444457069039"/>
    <x v="0"/>
    <s v="EXP.MAE"/>
    <s v="NÃO"/>
    <n v="0"/>
    <n v="0"/>
    <n v="0"/>
    <x v="726"/>
    <d v="2026-01-22T19:13:31"/>
    <x v="3"/>
    <n v="202601729918"/>
    <s v="8032"/>
    <s v="MPNS - Hora Manutenção Preventiva não Sistemática"/>
    <s v="MPNS - EXEC TERCEIROS TRABALHANDO"/>
    <s v="Mãe"/>
    <x v="0"/>
    <s v="creare"/>
    <s v="SISTEMA ALERTA DE FADIGA"/>
    <m/>
    <m/>
    <m/>
    <m/>
    <m/>
    <m/>
    <m/>
  </r>
  <r>
    <n v="0"/>
    <m/>
    <m/>
    <m/>
    <m/>
    <m/>
    <m/>
    <m/>
    <m/>
    <m/>
    <m/>
    <m/>
    <m/>
    <n v="1"/>
    <s v="ELETRICO"/>
    <x v="3"/>
    <s v="Corretivas"/>
    <n v="8.5297222223016433"/>
    <x v="1"/>
    <s v="NÃO EXP.MAE"/>
    <s v="NÃO"/>
    <n v="0"/>
    <n v="0"/>
    <n v="0"/>
    <x v="727"/>
    <d v="2026-01-24T04:57:29"/>
    <x v="3"/>
    <n v="202601729918"/>
    <s v="9000"/>
    <s v="HMC - Hora de Manutenção Corretiva"/>
    <s v="HMC - EXEC MANUT"/>
    <s v="Mãe"/>
    <x v="0"/>
    <s v="BAIXO NIVEL DO OLEO DO MOTOR -  202600434500  REINSTABELECIDO ALIMENTAÇÃO E SINAL DO SENSOR DE BAIXO NIVEL DE OLEO DO MOTOR 1150588"/>
    <s v="ELETRICO"/>
    <s v="MOTOR DE COMBUSTAO"/>
    <s v="SENSOR DE NIVEL DE OLEO"/>
    <s v="CURTO CIRCUITO"/>
    <s v="CORRIGIR"/>
    <s v="Elétrica"/>
    <s v="Eletrico - Motor Combustao"/>
    <s v="Monitor-Alimentaca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8.3333333335758653E-2"/>
    <n v="0"/>
    <n v="0"/>
    <x v="728"/>
    <d v="2026-01-23T22:30:00"/>
    <x v="3"/>
    <n v="202601729918"/>
    <s v="9000"/>
    <s v="HMC - Hora de Manutenção Corretiva"/>
    <s v="MPS - AG LUBRIFICACAO"/>
    <s v="Filha"/>
    <x v="0"/>
    <s v="BAIXO NIVEL DO OLEO DO MOTOR -  202600434500  REINSTABELECIDO ALIMENTAÇÃO E SINAL DO SENSOR DE BAIXO NIVEL DE OLEO DO MOTOR 1150588"/>
    <s v="ELETRICO"/>
    <s v="MOTOR DE COMBUSTAO"/>
    <s v="SENSOR DE NIVEL DE OLEO"/>
    <s v="CURTO CIRCUITO"/>
    <s v="CORRIGIR"/>
    <s v="Elétrica"/>
    <s v="Eletrico - Motor Combustao"/>
    <s v="Monitor-Alimentacao"/>
  </r>
  <r>
    <n v="0"/>
    <m/>
    <m/>
    <m/>
    <m/>
    <m/>
    <m/>
    <m/>
    <m/>
    <m/>
    <m/>
    <m/>
    <m/>
    <n v="1"/>
    <s v="LOCOMOÇÃO"/>
    <x v="3"/>
    <s v="Man. Pneus"/>
    <n v="1.7480555555666797"/>
    <x v="1"/>
    <s v="NÃO EXP.MAE"/>
    <s v="NÃO"/>
    <n v="0"/>
    <n v="0"/>
    <n v="0"/>
    <x v="729"/>
    <d v="2026-01-25T00:57:52"/>
    <x v="3"/>
    <n v="202601729918"/>
    <s v="9010"/>
    <s v="HMC - Hora de Manutenção Corretiva"/>
    <s v="HMC - EXEC BORRACHARIA"/>
    <s v="Mãe"/>
    <x v="0"/>
    <s v="BAIXA PRESSAO DO PNEU DD  - 202600446355  REALIZADO CALIBRAGEM DO PNEU DD  MT:81036838"/>
    <s v="LOCOMOCAO"/>
    <s v="RODA DD"/>
    <s v="PNEU"/>
    <s v="BAIXA PRESSAO"/>
    <s v="COMPLETAR"/>
    <s v="Borracharia"/>
    <s v="Locomocao - Roda Dd"/>
    <s v="Pneu-Pressao"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5.7685833329742309E-2"/>
    <n v="0"/>
    <n v="0"/>
    <x v="730"/>
    <d v="2026-01-25T00:57:52"/>
    <x v="3"/>
    <n v="202601729918"/>
    <s v="9010"/>
    <s v="HMC - Hora de Manutenção Corretiva"/>
    <s v="HMC - EXEC BORRACHARIA"/>
    <s v="Filha"/>
    <x v="0"/>
    <s v="BAIXA PRESSAO DO PNEU DD  - 202600446355  REALIZADO CALIBRAGEM DO PNEU DD  MT:81036838"/>
    <s v="LOCOMOCAO"/>
    <s v="RODA DD"/>
    <s v="PNEU"/>
    <s v="BAIXA PRESSAO"/>
    <s v="COMPLETAR"/>
    <s v="Borracharia"/>
    <s v="Locomocao - Roda Dd"/>
    <s v="Pneu-Pressao"/>
  </r>
  <r>
    <n v="0"/>
    <m/>
    <m/>
    <m/>
    <m/>
    <m/>
    <m/>
    <m/>
    <m/>
    <m/>
    <m/>
    <m/>
    <m/>
    <n v="1"/>
    <s v="SISTEMA ALERTA DE PROXIMIDADE"/>
    <x v="3"/>
    <s v="Acessórios"/>
    <n v="0.57888888887828216"/>
    <x v="0"/>
    <s v="EXP.MAE"/>
    <s v="NÃO"/>
    <n v="0"/>
    <n v="0"/>
    <n v="0"/>
    <x v="731"/>
    <d v="2026-01-25T17:02:32"/>
    <x v="3"/>
    <n v="202601729918"/>
    <s v="9032"/>
    <s v="HMC - Hora de Manutenção Corretiva"/>
    <s v="HMC - EXEC TERCEIROS TRABALHANDO"/>
    <s v="Mãe"/>
    <x v="0"/>
    <s v="FALHA NO ALERTA DE PROXIMIDADE - SUBSTITUIDO CARCAÇA DO ATERRAMENTO DO HEXAGON"/>
    <s v="SISTEMA ALERTA DE PROXIMIDADE"/>
    <s v="HEXAGON"/>
    <s v="ATERRAMENTO"/>
    <s v="FALHA"/>
    <s v="CORRIGIR"/>
    <s v="Automação"/>
    <s v="Alerta De Proximidade - Cabo Danificado"/>
    <s v="Gps - Falha Comunicação"/>
  </r>
  <r>
    <n v="0"/>
    <m/>
    <m/>
    <m/>
    <m/>
    <m/>
    <m/>
    <m/>
    <m/>
    <m/>
    <m/>
    <m/>
    <m/>
    <n v="1"/>
    <s v="DIRECAO"/>
    <x v="3"/>
    <s v="Corretivas"/>
    <n v="1.0788888889364898"/>
    <x v="1"/>
    <s v="NÃO EXP.MAE"/>
    <s v="NÃO"/>
    <n v="0"/>
    <n v="0"/>
    <n v="0"/>
    <x v="732"/>
    <d v="2026-01-27T03:33:35"/>
    <x v="3"/>
    <n v="202601729918"/>
    <s v="9000"/>
    <s v="HMC - Hora de Manutenção Corretiva"/>
    <s v="HMC - EXEC MANUT"/>
    <s v="Mãe"/>
    <x v="0"/>
    <s v="TM_3 - ALARME BAIXO NÍVEL DE ÓLEO DA DIREÇÃO - 202600479500 - REALIZAR INSPEÇÃO E VERIFICAR POSSÍVEIS VAZAMENTO E COMPLETAR ÓLEO DA DIREÇÃO"/>
    <s v="DIRECAO"/>
    <s v="TANQUE HIDRAULICO"/>
    <s v="OLEO"/>
    <s v="BAIXO NIVEL"/>
    <s v="COMPLETAR"/>
    <s v="Mecânica"/>
    <s v="Direcao - Hidraulico"/>
    <s v="Acumulador"/>
  </r>
  <r>
    <n v="0"/>
    <m/>
    <m/>
    <m/>
    <m/>
    <m/>
    <m/>
    <m/>
    <m/>
    <m/>
    <m/>
    <m/>
    <m/>
    <n v="1"/>
    <s v="LOCOMOÇÃO"/>
    <x v="1"/>
    <s v="Man. Pneus"/>
    <n v="0.40999999997438863"/>
    <x v="1"/>
    <s v="NÃO EXP.MAE"/>
    <s v="NÃO"/>
    <n v="0"/>
    <n v="0"/>
    <n v="0"/>
    <x v="733"/>
    <d v="2026-01-27T14:30:55"/>
    <x v="3"/>
    <n v="202601729918"/>
    <s v="8010"/>
    <s v="MPNS - Hora Manutenção Preventiva não Sistemática"/>
    <s v="MPNS - EXEC BORRACHARIA"/>
    <s v="Mãe"/>
    <x v="0"/>
    <s v="MACHINE GEN Started a delay: MPNS - Exec borracharia"/>
    <s v="LOCOMOCAO"/>
    <m/>
    <m/>
    <m/>
    <m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1.352999999653548E-2"/>
    <n v="0"/>
    <n v="0"/>
    <x v="734"/>
    <d v="2026-01-27T14:30:55"/>
    <x v="3"/>
    <n v="202601729918"/>
    <s v="8010"/>
    <s v="MPNS - Hora Manutenção Preventiva não Sistemática"/>
    <s v="MPNS - EXEC BORRACHARIA"/>
    <s v="Filha"/>
    <x v="0"/>
    <s v="MACHINE GEN Started a delay: MPNS - Exec borracharia"/>
    <s v="LOCOMOCAO"/>
    <m/>
    <m/>
    <m/>
    <m/>
    <m/>
    <m/>
    <m/>
  </r>
  <r>
    <n v="0"/>
    <m/>
    <m/>
    <m/>
    <m/>
    <m/>
    <m/>
    <m/>
    <m/>
    <m/>
    <m/>
    <m/>
    <m/>
    <n v="1"/>
    <s v="INSPEÇÃO SENSITIVA"/>
    <x v="1"/>
    <s v="Inspeção"/>
    <n v="0.90277777769370005"/>
    <x v="1"/>
    <s v="NÃO EXP.MAE"/>
    <s v="NÃO"/>
    <n v="0"/>
    <n v="0"/>
    <n v="0"/>
    <x v="735"/>
    <d v="2026-01-30T11:04:17"/>
    <x v="3"/>
    <n v="202601729918"/>
    <s v="8001"/>
    <s v="MPNS - Hora Manutenção Preventiva não Sistemática"/>
    <s v="MPNS - EXEC MECANICA"/>
    <s v="Mãe"/>
    <x v="0"/>
    <s v="MACHINE GEN Atraso iniciado: Troca de operador"/>
    <s v="INSPEÇÃO"/>
    <m/>
    <m/>
    <m/>
    <m/>
    <m/>
    <m/>
    <m/>
  </r>
  <r>
    <n v="0"/>
    <m/>
    <m/>
    <m/>
    <m/>
    <m/>
    <m/>
    <m/>
    <m/>
    <m/>
    <m/>
    <m/>
    <m/>
    <n v="1"/>
    <s v="SISTEMA DE FREIO"/>
    <x v="3"/>
    <s v="Corretivas"/>
    <n v="2.3383333333767951"/>
    <x v="1"/>
    <s v="NÃO EXP.MAE"/>
    <s v="NÃO"/>
    <n v="0"/>
    <n v="0"/>
    <n v="0"/>
    <x v="736"/>
    <d v="2026-01-30T16:17:54"/>
    <x v="3"/>
    <n v="202601729918"/>
    <s v="9000"/>
    <s v="HMC - Hora de Manutenção Corretiva"/>
    <s v="HMC - EXEC MANUT"/>
    <s v="Mãe"/>
    <x v="0"/>
    <s v="202600560128- DIAGNOSTICAR DESLIGAMENTO INVOLUNTARIO- CORRIGIDO FALHA NO SENSOR DO ARREFECIMENTO DOS FREIOS"/>
    <s v="FRENAGEM"/>
    <s v="ARREFECIMENTO"/>
    <s v="SWITCH BY-PASS"/>
    <s v="ALIMENTACAO"/>
    <s v="CORRIGIR"/>
    <s v="Mecânica"/>
    <s v="Motor Combustao - Arrefecimento"/>
    <s v="Indicador Nivel-Mau Contato"/>
  </r>
  <r>
    <n v="0"/>
    <m/>
    <m/>
    <m/>
    <m/>
    <m/>
    <m/>
    <m/>
    <m/>
    <m/>
    <m/>
    <m/>
    <m/>
    <n v="1"/>
    <s v="COMUNICACAO"/>
    <x v="3"/>
    <s v="Acessórios"/>
    <n v="1.1638888888992369"/>
    <x v="0"/>
    <s v="EXP.MAE"/>
    <s v="NÃO"/>
    <n v="0"/>
    <n v="0"/>
    <n v="0"/>
    <x v="737"/>
    <d v="2026-01-30T22:16:12"/>
    <x v="3"/>
    <n v="202601729918"/>
    <s v="9032"/>
    <s v="HMC - Hora de Manutenção Corretiva"/>
    <s v="HMC - EXEC TERCEIROS TRABALHANDO"/>
    <s v="Mãe"/>
    <x v="0"/>
    <s v="FALHA NA COMUNICAÇÃO  - 202600563500 REALIZADO LIMPEZA DA CONEXÃO DA ANTENA"/>
    <s v="COMUNICACAO"/>
    <s v="GPS"/>
    <s v="ANTENA"/>
    <s v="SUJEIRA"/>
    <s v="LIMPAR"/>
    <s v="Automação"/>
    <s v="Despacho - Antena Danificada"/>
    <s v="Gps - Falha Comunicação"/>
  </r>
  <r>
    <n v="0"/>
    <m/>
    <m/>
    <m/>
    <m/>
    <m/>
    <m/>
    <m/>
    <m/>
    <m/>
    <m/>
    <m/>
    <m/>
    <n v="1"/>
    <s v="SISTEMA DE FREIO"/>
    <x v="3"/>
    <s v="Corretivas"/>
    <n v="9.7638888888177462"/>
    <x v="1"/>
    <s v="NÃO EXP.MAE"/>
    <s v="NÃO"/>
    <n v="0"/>
    <n v="0"/>
    <n v="0"/>
    <x v="738"/>
    <d v="2026-01-31T23:59:59"/>
    <x v="3"/>
    <n v="202601729918"/>
    <s v="9000"/>
    <s v="HMC - Hora de Manutenção Corretiva"/>
    <s v="HMC - EXEC MANUT"/>
    <s v="Mãe"/>
    <x v="0"/>
    <s v="ALARME PRESSÃO DOS FREIOS   202600574185 - NÃO IDENTIFICADO FALHA NO EQUIPAMENTO."/>
    <s v="FRENAGEM"/>
    <s v="FRENAGEM"/>
    <s v="FRENAGEM"/>
    <s v="NAO IDENTIFICADO "/>
    <m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5.5555555554747116E-2"/>
    <n v="0"/>
    <n v="0"/>
    <x v="739"/>
    <d v="2026-01-31T18:00:00"/>
    <x v="3"/>
    <n v="202601729918"/>
    <s v="9000"/>
    <s v="HMC - Hora de Manutenção Corretiva"/>
    <s v="HMC - AG DETONACAO"/>
    <s v="Filha"/>
    <x v="0"/>
    <s v="ALARME PRESSÃO DOS FREIOS   202600574185 - NÃO IDENTIFICADO FALHA NO EQUIPAMENTO."/>
    <s v="FRENAGEM"/>
    <s v="FRENAGEM"/>
    <s v="FRENAGEM"/>
    <s v="NAO IDENTIFICADO "/>
    <m/>
    <m/>
    <m/>
    <m/>
  </r>
  <r>
    <n v="0"/>
    <m/>
    <m/>
    <m/>
    <m/>
    <m/>
    <m/>
    <m/>
    <m/>
    <m/>
    <m/>
    <n v="0"/>
    <m/>
    <n v="0"/>
    <s v="SISTEMA DE FREIO"/>
    <x v="3"/>
    <s v="Corretivas"/>
    <n v="12.617499999934807"/>
    <x v="1"/>
    <s v="NÃO EXP.MAE"/>
    <s v="NÃO"/>
    <n v="0"/>
    <n v="0"/>
    <n v="0"/>
    <x v="740"/>
    <d v="2026-02-01T12:37:03"/>
    <x v="3"/>
    <n v="202601729918"/>
    <s v="9000"/>
    <s v="HMC - Hora de Manutenção Corretiva"/>
    <s v="HMC - EXEC MANUT"/>
    <s v="Mãe"/>
    <x v="1"/>
    <s v="ALARME PRESSÃO DOS FREIOS   202600574185 - NÃO IDENTIFICADO FALHA NO EQUIPAMENTO."/>
    <s v="FRENAGEM"/>
    <s v="FRENAGEM"/>
    <s v="FRENAGEM"/>
    <s v="NAO IDENTIFICADO "/>
    <m/>
    <m/>
    <m/>
    <m/>
  </r>
  <r>
    <n v="0"/>
    <m/>
    <m/>
    <m/>
    <m/>
    <m/>
    <m/>
    <m/>
    <m/>
    <m/>
    <m/>
    <m/>
    <m/>
    <n v="1"/>
    <s v="ELETRICO"/>
    <x v="3"/>
    <s v="Corretivas"/>
    <n v="2.3586111111799255"/>
    <x v="1"/>
    <s v="NÃO EXP.MAE"/>
    <s v="NÃO"/>
    <n v="0"/>
    <n v="0"/>
    <n v="0"/>
    <x v="741"/>
    <d v="2026-02-01T16:38:37"/>
    <x v="3"/>
    <n v="202601729918"/>
    <s v="9000"/>
    <s v="HMC - Hora de Manutenção Corretiva"/>
    <s v="HMC - EXEC MANUT"/>
    <s v="Mãe"/>
    <x v="1"/>
    <s v="ALARMANDO SHUTDOWN. - 202600586135   NÃO IDENTIFICADO FALHA, REALIZADO LIMPEZA NO CONECTOR DO  SHUTDOWN."/>
    <s v="ELETRICO"/>
    <s v="MOTOR DE COMBUSTAO"/>
    <s v="CONEXAO SHUTDOWN"/>
    <s v="SUJEIRA"/>
    <s v="LIMPAR"/>
    <s v="Elétrica"/>
    <s v="Eletrico - Painel Controle"/>
    <s v="Painel"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3.4722222226264421E-2"/>
    <n v="0"/>
    <n v="0"/>
    <x v="742"/>
    <d v="2026-02-01T15:40:00"/>
    <x v="3"/>
    <n v="202601729918"/>
    <s v="9000"/>
    <s v="HMC - Hora de Manutenção Corretiva"/>
    <s v="HMC - AG DETONACAO"/>
    <s v="Filha"/>
    <x v="1"/>
    <s v="ALARMANDO SHUTDOWN. - 202600586135   NÃO IDENTIFICADO FALHA, REALIZADO LIMPEZA NO CONECTOR DO  SHUTDOWN."/>
    <s v="ELETRICO"/>
    <s v="MOTOR DE COMBUSTAO"/>
    <s v="CONEXAO SHUTDOWN"/>
    <s v="SUJEIRA"/>
    <s v="LIMPAR"/>
    <s v="Elétrica"/>
    <s v="Eletrico - Painel Controle"/>
    <s v="Painel"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2.7777777781011537E-2"/>
    <n v="0"/>
    <n v="0"/>
    <x v="743"/>
    <d v="2026-02-01T16:30:00"/>
    <x v="3"/>
    <n v="202601729918"/>
    <s v="9000"/>
    <s v="HMC - Hora de Manutenção Corretiva"/>
    <s v="HMC - AG LUBRIFICACAO"/>
    <s v="Filha"/>
    <x v="1"/>
    <s v="ALARMANDO SHUTDOWN. - 202600586135   NÃO IDENTIFICADO FALHA, REALIZADO LIMPEZA NO CONECTOR DO  SHUTDOWN."/>
    <s v="ELETRICO"/>
    <s v="MOTOR DE COMBUSTAO"/>
    <s v="CONEXAO SHUTDOWN"/>
    <s v="SUJEIRA"/>
    <s v="LIMPAR"/>
    <s v="Elétrica"/>
    <s v="Eletrico - Painel Controle"/>
    <s v="Painel"/>
  </r>
  <r>
    <n v="0"/>
    <m/>
    <m/>
    <m/>
    <m/>
    <m/>
    <m/>
    <m/>
    <m/>
    <m/>
    <m/>
    <m/>
    <m/>
    <n v="1"/>
    <s v="ELETRICO"/>
    <x v="3"/>
    <s v="Corretivas"/>
    <n v="1.1569444444030523"/>
    <x v="1"/>
    <s v="NÃO EXP.MAE"/>
    <s v="NÃO"/>
    <n v="0"/>
    <n v="0"/>
    <n v="0"/>
    <x v="744"/>
    <d v="2026-02-01T20:41:28"/>
    <x v="3"/>
    <n v="202601729918"/>
    <s v="9000"/>
    <s v="HMC - Hora de Manutenção Corretiva"/>
    <s v="HMC - EXEC MANUT"/>
    <s v="Mãe"/>
    <x v="1"/>
    <s v="DESLIGAMENTO INVOLUNTÁRIO - REPOSICIONAR PONTE DAS BATERIAS - 202600586939"/>
    <s v="ELETRICO"/>
    <s v="BATERIA"/>
    <s v="TERMINAL"/>
    <s v="FOLGA"/>
    <s v="APERTAR"/>
    <s v="Elétrica"/>
    <s v="Eletrico - Bateria"/>
    <s v="Bateria"/>
  </r>
  <r>
    <n v="0"/>
    <m/>
    <m/>
    <m/>
    <m/>
    <m/>
    <m/>
    <m/>
    <m/>
    <m/>
    <m/>
    <m/>
    <m/>
    <n v="1"/>
    <s v="HIDRAULICO"/>
    <x v="3"/>
    <s v="Corretivas"/>
    <n v="36.13666666665813"/>
    <x v="1"/>
    <s v="NÃO EXP.MAE"/>
    <s v="NÃO"/>
    <n v="0"/>
    <n v="0"/>
    <n v="0"/>
    <x v="745"/>
    <d v="2026-02-05T07:53:27"/>
    <x v="3"/>
    <n v="202601729918"/>
    <s v="9000"/>
    <s v="HMC - Hora de Manutenção Corretiva"/>
    <s v="HMC - EXEC MANUT"/>
    <s v="Mãe"/>
    <x v="1"/>
    <s v="ALTA TEMPERATURA DOS FREIOS E FALHA NA ELEVAÇÃO DA BÁSCULA - DRENAR ÓLEO DO SISTEMA HIDRÁULICO E FREIO E REALIZAR TESTES NO SISTEMA DE ELEVAÇÃO - 202600628104"/>
    <s v="HIDRAULICO"/>
    <s v="TANQUE HIDRAULICO"/>
    <s v="OLEO"/>
    <s v="ALTA TEMPERATURA"/>
    <s v="SUBSTITUIR"/>
    <m/>
    <m/>
    <m/>
  </r>
  <r>
    <n v="0"/>
    <m/>
    <m/>
    <m/>
    <m/>
    <m/>
    <m/>
    <m/>
    <m/>
    <m/>
    <m/>
    <m/>
    <s v="NÃO"/>
    <s v=""/>
    <s v=""/>
    <x v="2"/>
    <s v=""/>
    <s v=""/>
    <x v="2"/>
    <s v="NÃO EXP.MAE"/>
    <s v="NÃO"/>
    <n v="0"/>
    <n v="0"/>
    <n v="0"/>
    <x v="746"/>
    <d v="2026-02-04T00:20:00"/>
    <x v="3"/>
    <n v="202601729918"/>
    <s v="9000"/>
    <s v="HMC - Hora de Manutenção Corretiva"/>
    <s v="HMC - AG LOCOMOCAO"/>
    <s v="Filha"/>
    <x v="1"/>
    <s v="ALTA TEMPERATURA DOS FREIOS E FALHA NA ELEVAÇÃO DA BÁSCULA - DRENAR ÓLEO DO SISTEMA HIDRÁULICO E FREIO E REALIZAR TESTES NO SISTEMA DE ELEVAÇÃO - 202600628104"/>
    <s v="HIDRAULICO"/>
    <s v="TANQUE HIDRAULICO"/>
    <s v="OLEO"/>
    <s v="ALTA TEMPERATUR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10278111111256294"/>
    <n v="0"/>
    <n v="0"/>
    <x v="747"/>
    <d v="2026-02-04T02:48:00"/>
    <x v="3"/>
    <n v="202601729918"/>
    <s v="9000"/>
    <s v="HMC - Hora de Manutenção Corretiva"/>
    <s v="HMC - AG LOCOMOCAO"/>
    <s v="Filha"/>
    <x v="1"/>
    <s v="ALTA TEMPERATURA DOS FREIOS E FALHA NA ELEVAÇÃO DA BÁSCULA - DRENAR ÓLEO DO SISTEMA HIDRÁULICO E FREIO E REALIZAR TESTES NO SISTEMA DE ELEVAÇÃO - 202600628104"/>
    <s v="HIDRAULICO"/>
    <s v="TANQUE HIDRAULICO"/>
    <s v="OLEO"/>
    <s v="ALTA TEMPERATURA"/>
    <s v="SUBSTITUIR"/>
    <m/>
    <m/>
    <m/>
  </r>
  <r>
    <n v="0"/>
    <m/>
    <m/>
    <m/>
    <m/>
    <m/>
    <m/>
    <m/>
    <m/>
    <m/>
    <m/>
    <m/>
    <s v="NÃO"/>
    <s v=""/>
    <s v=""/>
    <x v="2"/>
    <s v=""/>
    <s v=""/>
    <x v="2"/>
    <s v="NÃO EXP.MAE"/>
    <s v="NÃO"/>
    <n v="0"/>
    <n v="0"/>
    <n v="0"/>
    <x v="748"/>
    <d v="2026-02-04T14:39:00"/>
    <x v="3"/>
    <n v="202601729918"/>
    <s v="9000"/>
    <s v="HMC - Hora de Manutenção Corretiva"/>
    <s v="HMC - AG LOCOMOCAO"/>
    <s v="Filha"/>
    <x v="1"/>
    <s v="ALTA TEMPERATURA DOS FREIOS E FALHA NA ELEVAÇÃO DA BÁSCULA - DRENAR ÓLEO DO SISTEMA HIDRÁULICO E FREIO E REALIZAR TESTES NO SISTEMA DE ELEVAÇÃO - 202600628104"/>
    <s v="HIDRAULICO"/>
    <s v="TANQUE HIDRAULICO"/>
    <s v="OLEO"/>
    <s v="ALTA TEMPERATUR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9.0233333321521059E-3"/>
    <n v="0"/>
    <n v="0"/>
    <x v="749"/>
    <d v="2026-02-04T14:52:00"/>
    <x v="3"/>
    <n v="202601729918"/>
    <s v="9000"/>
    <s v="HMC - Hora de Manutenção Corretiva"/>
    <s v="HMC - AG LOCOMOCAO"/>
    <s v="Filha"/>
    <x v="1"/>
    <s v="ALTA TEMPERATURA DOS FREIOS E FALHA NA ELEVAÇÃO DA BÁSCULA - DRENAR ÓLEO DO SISTEMA HIDRÁULICO E FREIO E REALIZAR TESTES NO SISTEMA DE ELEVAÇÃO - 202600628104"/>
    <s v="HIDRAULICO"/>
    <s v="TANQUE HIDRAULICO"/>
    <s v="OLEO"/>
    <s v="ALTA TEMPERATURA"/>
    <s v="SUBSTITUIR"/>
    <m/>
    <m/>
    <m/>
  </r>
  <r>
    <n v="0"/>
    <m/>
    <m/>
    <m/>
    <m/>
    <m/>
    <m/>
    <m/>
    <m/>
    <m/>
    <m/>
    <m/>
    <s v="NÃO"/>
    <n v="1"/>
    <s v="REVISÃO PREVENTIVA"/>
    <x v="4"/>
    <s v="Preventivas"/>
    <n v="0.1783333332859911"/>
    <x v="1"/>
    <s v="NÃO EXP.MAE"/>
    <s v="NÃO"/>
    <n v="0"/>
    <n v="0"/>
    <n v="0"/>
    <x v="750"/>
    <d v="2026-02-05T08:07:28"/>
    <x v="3"/>
    <n v="202601729918"/>
    <s v="7116"/>
    <s v="MPS - Hora Manutenção Preventiva Sistemática"/>
    <s v="MPS - AG LOCOMOCAO"/>
    <s v="Mãe"/>
    <x v="1"/>
    <s v="PM: 500h + 2 BL's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2.3905555555829778"/>
    <x v="1"/>
    <s v="NÃO EXP.MAE"/>
    <s v="NÃO"/>
    <n v="0"/>
    <n v="0"/>
    <n v="0"/>
    <x v="751"/>
    <d v="2026-02-05T10:30:54"/>
    <x v="3"/>
    <n v="202601729918"/>
    <s v="7000"/>
    <s v="MPS - Hora Manutenção Preventiva Sistemática"/>
    <s v="MPS - EXEC MANUT"/>
    <s v="Mãe"/>
    <x v="1"/>
    <s v="PM: 500h + 2 BL's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1.111111108912155E-2"/>
    <x v="1"/>
    <s v="NÃO EXP.MAE"/>
    <s v="NÃO"/>
    <n v="0"/>
    <n v="0"/>
    <n v="0"/>
    <x v="752"/>
    <d v="2026-02-05T10:31:34"/>
    <x v="3"/>
    <n v="202601729918"/>
    <s v="7011"/>
    <s v="MPS - Hora Manutenção Preventiva Sistemática"/>
    <s v="MPS - EXEC LAVADOR"/>
    <s v="Mãe"/>
    <x v="1"/>
    <s v="PM: 500h + 2 BL's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1.0161111111519858"/>
    <x v="0"/>
    <s v="EXP.MAE"/>
    <s v="NÃO"/>
    <n v="0"/>
    <n v="0"/>
    <n v="0"/>
    <x v="753"/>
    <d v="2026-02-05T11:32:32"/>
    <x v="3"/>
    <n v="202601729918"/>
    <s v="7111"/>
    <s v="MPS - Hora Manutenção Preventiva Sistemática"/>
    <s v="MPS - AG LAVADOR"/>
    <s v="Mãe"/>
    <x v="1"/>
    <s v="PM: 500h + 2 BL's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3.9999999999417923"/>
    <x v="1"/>
    <s v="NÃO EXP.MAE"/>
    <s v="NÃO"/>
    <n v="0"/>
    <n v="0"/>
    <n v="0"/>
    <x v="754"/>
    <d v="2026-02-05T15:32:32"/>
    <x v="3"/>
    <n v="202601729918"/>
    <s v="7011"/>
    <s v="MPS - Hora Manutenção Preventiva Sistemática"/>
    <s v="MPS - EXEC LAVADOR"/>
    <s v="Mãe"/>
    <x v="1"/>
    <s v="PM: 500h + 2 BL's"/>
    <s v="PREVENTIVA"/>
    <s v="500 HORAS"/>
    <m/>
    <m/>
    <m/>
    <m/>
    <m/>
    <m/>
  </r>
  <r>
    <n v="0"/>
    <m/>
    <m/>
    <m/>
    <m/>
    <m/>
    <m/>
    <m/>
    <m/>
    <m/>
    <m/>
    <m/>
    <s v="SIM"/>
    <n v="0"/>
    <s v="REVISÃO PREVENTIVA"/>
    <x v="4"/>
    <s v="Preventivas"/>
    <n v="0.8349999999627471"/>
    <x v="0"/>
    <s v="EXP.MAE"/>
    <s v="NÃO"/>
    <n v="0"/>
    <n v="0"/>
    <n v="0"/>
    <x v="755"/>
    <d v="2026-02-05T16:22:38"/>
    <x v="3"/>
    <n v="202601729918"/>
    <s v="7011"/>
    <s v="MPS - Hora Manutenção Preventiva Sistemática"/>
    <s v="MPS - EXEC LAVADOR"/>
    <s v="Mãe"/>
    <x v="1"/>
    <s v="PM: 500h + 2 BL's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44.186388889036607"/>
    <x v="1"/>
    <s v="NÃO EXP.MAE"/>
    <s v="NÃO"/>
    <n v="0"/>
    <n v="0"/>
    <n v="0"/>
    <x v="756"/>
    <d v="2026-02-07T12:33:49"/>
    <x v="3"/>
    <n v="202601729918"/>
    <s v="7000"/>
    <s v="MPS - Hora Manutenção Preventiva Sistemática"/>
    <s v="MPS - EXEC MANUT"/>
    <s v="Mãe"/>
    <x v="1"/>
    <s v="PM: 500h + 2 BL's - MAU TEMPO."/>
    <s v="PREVENTIVA"/>
    <s v="500 HORAS"/>
    <m/>
    <m/>
    <m/>
    <m/>
    <m/>
    <m/>
  </r>
  <r>
    <n v="0"/>
    <m/>
    <m/>
    <m/>
    <m/>
    <m/>
    <m/>
    <m/>
    <m/>
    <m/>
    <m/>
    <m/>
    <m/>
    <n v="1"/>
    <s v="LOCOMOÇÃO"/>
    <x v="3"/>
    <s v="Man. Pneus"/>
    <n v="0.25083333329530433"/>
    <x v="1"/>
    <s v="NÃO EXP.MAE"/>
    <s v="NÃO"/>
    <n v="0"/>
    <n v="0"/>
    <n v="0"/>
    <x v="757"/>
    <d v="2026-02-07T16:09:53"/>
    <x v="3"/>
    <n v="202601729918"/>
    <s v="9010"/>
    <s v="HMC - Hora de Manutenção Corretiva"/>
    <s v="HMC - EXEC BORRACHARIA"/>
    <s v="Mãe"/>
    <x v="1"/>
    <s v="BAIXA PRESSÃO DOS PNEUS - 202600704180    CALIBRADO OS 2 PNEUS DIANTEIROS"/>
    <s v="LOCOMOCAO"/>
    <s v="RODA DD"/>
    <s v="PNEU"/>
    <s v="BAIXA PRESSAO"/>
    <s v="CALIBRAR"/>
    <m/>
    <m/>
    <m/>
  </r>
  <r>
    <n v="0"/>
    <m/>
    <m/>
    <m/>
    <m/>
    <m/>
    <m/>
    <m/>
    <m/>
    <m/>
    <m/>
    <m/>
    <m/>
    <n v="1"/>
    <s v="SISTEMA DE FREIO"/>
    <x v="3"/>
    <s v="Corretivas"/>
    <n v="47.654166666674428"/>
    <x v="1"/>
    <s v="NÃO EXP.MAE"/>
    <s v="NÃO"/>
    <n v="0"/>
    <n v="0"/>
    <n v="0"/>
    <x v="758"/>
    <d v="2026-02-09T16:50:30"/>
    <x v="3"/>
    <n v="202601729918"/>
    <s v="9000"/>
    <s v="HMC - Hora de Manutenção Corretiva"/>
    <s v="HMC - EXEC MANUT"/>
    <s v="Mãe"/>
    <x v="1"/>
    <s v="BAIXA PRESSÃO DO FREIO. -  REALIZAR AJUSTES DA VÁLVULA DE CONTROLE DE FREIO.- 202600713368  CALIBRADO PACOTE DE EMBREAGEM DA TRANSMISSÃO."/>
    <s v="FRENAGEM"/>
    <s v="BOMBA DE FREIO"/>
    <s v="BOMBA"/>
    <s v="AVARIA"/>
    <s v="SUBSTITUIR"/>
    <m/>
    <m/>
    <m/>
  </r>
  <r>
    <n v="0"/>
    <m/>
    <m/>
    <m/>
    <m/>
    <m/>
    <m/>
    <m/>
    <m/>
    <m/>
    <m/>
    <m/>
    <s v="NÃO"/>
    <s v=""/>
    <s v=""/>
    <x v="2"/>
    <s v=""/>
    <s v=""/>
    <x v="2"/>
    <s v="NÃO EXP.MAE"/>
    <s v="NÃO"/>
    <n v="0"/>
    <n v="0"/>
    <n v="0"/>
    <x v="759"/>
    <d v="2026-02-08T04:00:00"/>
    <x v="3"/>
    <n v="202601729918"/>
    <s v="9000"/>
    <s v="HMC - Hora de Manutenção Corretiva"/>
    <s v="HMC - AG LOCOMOCAO"/>
    <s v="Filha"/>
    <x v="1"/>
    <s v="BAIXA PRESSÃO DO FREIO. -  REALIZAR AJUSTES DA VÁLVULA DE CONTROLE DE FREIO.- 202600713368  CALIBRADO PACOTE DE EMBREAGEM DA TRANSMISSÃO."/>
    <s v="FRENAGEM"/>
    <s v="BOMBA DE FREIO"/>
    <s v="BOMBA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8.3333333335758653E-2"/>
    <n v="0"/>
    <n v="0"/>
    <x v="760"/>
    <d v="2026-02-08T06:00:00"/>
    <x v="3"/>
    <n v="202601729918"/>
    <s v="9000"/>
    <s v="HMC - Hora de Manutenção Corretiva"/>
    <s v="HMC - AG LOCOMOCAO"/>
    <s v="Filha"/>
    <x v="1"/>
    <s v="BAIXA PRESSÃO DO FREIO. -  REALIZAR AJUSTES DA VÁLVULA DE CONTROLE DE FREIO.- 202600713368  CALIBRADO PACOTE DE EMBREAGEM DA TRANSMISSÃO."/>
    <s v="FRENAGEM"/>
    <s v="BOMBA DE FREIO"/>
    <s v="BOMBA"/>
    <s v="AVARIA"/>
    <s v="SUBSTITUIR"/>
    <m/>
    <m/>
    <m/>
  </r>
  <r>
    <n v="0"/>
    <m/>
    <m/>
    <m/>
    <m/>
    <m/>
    <m/>
    <m/>
    <m/>
    <m/>
    <m/>
    <m/>
    <m/>
    <n v="1"/>
    <s v="SISTEMA DE FREIO"/>
    <x v="3"/>
    <s v="Corretivas"/>
    <n v="5.6308333332999609"/>
    <x v="1"/>
    <s v="NÃO EXP.MAE"/>
    <s v="NÃO"/>
    <n v="0"/>
    <n v="0"/>
    <n v="0"/>
    <x v="761"/>
    <d v="2026-02-10T03:11:37"/>
    <x v="3"/>
    <n v="202601729918"/>
    <s v="9000"/>
    <s v="HMC - Hora de Manutenção Corretiva"/>
    <s v="HMC - EXEC MANUT"/>
    <s v="Mãe"/>
    <x v="1"/>
    <s v="FALHA NOS FREIOS E BAIXO RENDIMENTO DO MOTOR DIESEL - SUBSTITUIR FILTROS DE COMBUSTÍVEIS E REALIZAR AJUSTES NAS VÁLVULAS DE CONTROLE DE FREIO - 202600741374"/>
    <s v="FRENAGEM"/>
    <s v="BOMBA DE FREIO"/>
    <s v="FILTRO"/>
    <s v="AVARIA"/>
    <s v="SUBSTITUIR"/>
    <m/>
    <m/>
    <m/>
  </r>
  <r>
    <n v="0"/>
    <m/>
    <m/>
    <m/>
    <m/>
    <m/>
    <m/>
    <m/>
    <m/>
    <m/>
    <m/>
    <m/>
    <m/>
    <n v="1"/>
    <s v="SISTEMA DE FREIO"/>
    <x v="3"/>
    <s v="Corretivas"/>
    <n v="12.282222222187556"/>
    <x v="1"/>
    <s v="NÃO EXP.MAE"/>
    <s v="NÃO"/>
    <n v="0"/>
    <n v="0"/>
    <n v="0"/>
    <x v="762"/>
    <d v="2026-02-10T17:32:44"/>
    <x v="3"/>
    <n v="202601729918"/>
    <s v="9000"/>
    <s v="HMC - Hora de Manutenção Corretiva"/>
    <s v="HMC - EXEC MANUT"/>
    <s v="Mãe"/>
    <x v="1"/>
    <s v="FALHA NO CICLO DA BOMBA DOS FREIOS - SUBSTITUIDO VALVULA SOLENOIDE DO FREIO DE ESTACIONAMENTO -202600749873"/>
    <s v="FRENAGEM"/>
    <s v="BOMBA DE FREIO"/>
    <s v="VALVULA SOLENOIDE "/>
    <s v="SUJEIRA"/>
    <s v="LIMPA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3.4019999999145512E-2"/>
    <n v="0"/>
    <n v="0"/>
    <x v="763"/>
    <d v="2026-02-10T12:19:00"/>
    <x v="3"/>
    <n v="202601729918"/>
    <s v="9000"/>
    <s v="HMC - Hora de Manutenção Corretiva"/>
    <s v="HMC - AG MAU TEMPO"/>
    <s v="Filha"/>
    <x v="1"/>
    <s v="FALHA NO CICLO DA BOMBA DOS FREIOS - SUBSTITUIDO VALVULA SOLENOIDE DO FREIO DE ESTACIONAMENTO -202600749873"/>
    <s v="FRENAGEM"/>
    <s v="BOMBA DE FREIO"/>
    <s v="VALVULA SOLENOIDE "/>
    <s v="SUJEIRA"/>
    <s v="LIMPA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3.2639999997627456E-2"/>
    <n v="0"/>
    <n v="0"/>
    <x v="764"/>
    <d v="2026-02-10T15:47:00"/>
    <x v="3"/>
    <n v="202601729918"/>
    <s v="9000"/>
    <s v="HMC - Hora de Manutenção Corretiva"/>
    <s v="HMC - AG DETONACAO"/>
    <s v="Filha"/>
    <x v="1"/>
    <s v="FALHA NO CICLO DA BOMBA DOS FREIOS - SUBSTITUIDO VALVULA SOLENOIDE DO FREIO DE ESTACIONAMENTO -202600749873"/>
    <s v="FRENAGEM"/>
    <s v="BOMBA DE FREIO"/>
    <s v="VALVULA SOLENOIDE "/>
    <s v="SUJEIRA"/>
    <s v="LIMPAR"/>
    <m/>
    <m/>
    <m/>
  </r>
  <r>
    <n v="0"/>
    <m/>
    <m/>
    <m/>
    <m/>
    <m/>
    <m/>
    <m/>
    <m/>
    <m/>
    <m/>
    <m/>
    <m/>
    <n v="1"/>
    <s v="COMUNICACAO"/>
    <x v="1"/>
    <s v="Acessórios"/>
    <n v="0.76416666666045785"/>
    <x v="0"/>
    <s v="EXP.MAE"/>
    <s v="NÃO"/>
    <n v="0"/>
    <n v="0"/>
    <n v="0"/>
    <x v="765"/>
    <d v="2026-02-11T00:17:45"/>
    <x v="3"/>
    <n v="202601729918"/>
    <s v="8032"/>
    <s v="MPNS - Hora Manutenção Preventiva não Sistemática"/>
    <s v="MPNS - EXEC TERCEIROS TRABALHANDO"/>
    <s v="Mãe"/>
    <x v="1"/>
    <m/>
    <s v="COMUNICACAO"/>
    <s v="COMUNICACAO"/>
    <s v="COMUNICACAO"/>
    <s v="COMUNICACAO"/>
    <s v="COMUNICACAO"/>
    <m/>
    <m/>
    <m/>
  </r>
  <r>
    <n v="0"/>
    <m/>
    <m/>
    <m/>
    <m/>
    <m/>
    <m/>
    <m/>
    <m/>
    <m/>
    <m/>
    <m/>
    <m/>
    <n v="1"/>
    <s v="ELETRICO"/>
    <x v="3"/>
    <s v="Corretivas"/>
    <n v="6.3561111110611819"/>
    <x v="1"/>
    <s v="NÃO EXP.MAE"/>
    <s v="NÃO"/>
    <n v="0"/>
    <n v="0"/>
    <n v="0"/>
    <x v="766"/>
    <d v="2026-02-11T12:56:04"/>
    <x v="3"/>
    <n v="202601729918"/>
    <s v="9000"/>
    <s v="HMC - Hora de Manutenção Corretiva"/>
    <s v="HMC - EXEC MANUT"/>
    <s v="Mãe"/>
    <x v="1"/>
    <s v="202600781643- FALHA NO TREM DE FORÇA - REALIZADO LIMPEZA NO SWITH DA ALAVANCA DE MARCHA"/>
    <s v="ELETRICO"/>
    <s v="TREM DE FORCA"/>
    <s v="SWITCH"/>
    <s v="SUJEIRA"/>
    <s v="LIMPAR"/>
    <s v="Elétrica"/>
    <s v="Eletrico - Transmissao Forca"/>
    <s v="Switch do Filtro Carga Transmissa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2.0839999997406267E-2"/>
    <n v="0"/>
    <n v="0"/>
    <x v="767"/>
    <d v="2026-02-11T08:55:00"/>
    <x v="3"/>
    <n v="202601729918"/>
    <s v="9000"/>
    <s v="HMC - Hora de Manutenção Corretiva"/>
    <s v="HMC - AG MAU TEMPO"/>
    <s v="Filha"/>
    <x v="1"/>
    <s v="202600781643- FALHA NO TREM DE FORÇA - REALIZADO LIMPEZA NO SWITH DA ALAVANCA DE MARCHA"/>
    <s v="ELETRICO"/>
    <s v="TREM DE FORCA"/>
    <s v="SWITCH"/>
    <s v="SUJEIRA"/>
    <s v="LIMPAR"/>
    <s v="Elétrica"/>
    <s v="Eletrico - Transmissao Forca"/>
    <s v="Switch do Filtro Carga Transmissao"/>
  </r>
  <r>
    <n v="0"/>
    <m/>
    <m/>
    <m/>
    <m/>
    <m/>
    <m/>
    <m/>
    <m/>
    <m/>
    <m/>
    <m/>
    <m/>
    <n v="1"/>
    <s v="ELETRICO"/>
    <x v="3"/>
    <s v="Corretivas"/>
    <n v="1.379444444377441"/>
    <x v="1"/>
    <s v="NÃO EXP.MAE"/>
    <s v="NÃO"/>
    <n v="0"/>
    <n v="0"/>
    <n v="0"/>
    <x v="768"/>
    <d v="2026-02-12T04:37:05"/>
    <x v="3"/>
    <n v="202601729918"/>
    <s v="9000"/>
    <s v="HMC - Hora de Manutenção Corretiva"/>
    <s v="HMC - EXEC MANUT"/>
    <s v="Mãe"/>
    <x v="1"/>
    <s v="BAIXO RENDIMENTO -202600797931 FIXADO CONECTOR DO COMBUSTIVEL MT: 2201636"/>
    <s v="ELETRICO"/>
    <s v="COMBUSTIVEL"/>
    <s v="SENSOR DE PRESSAO"/>
    <s v="MAU CONTATO"/>
    <s v="COMPLETAR"/>
    <s v="Elétrica"/>
    <s v="Eletrico - Motor Combustao"/>
    <s v="Conexões;Fixação"/>
  </r>
  <r>
    <n v="0"/>
    <m/>
    <m/>
    <m/>
    <m/>
    <m/>
    <m/>
    <m/>
    <m/>
    <m/>
    <m/>
    <m/>
    <m/>
    <n v="1"/>
    <s v="ELETRICO"/>
    <x v="3"/>
    <s v="Corretivas"/>
    <n v="64.569444444437977"/>
    <x v="1"/>
    <s v="NÃO EXP.MAE"/>
    <s v="NÃO"/>
    <n v="0"/>
    <n v="0"/>
    <n v="0"/>
    <x v="769"/>
    <d v="2026-02-15T11:06:56"/>
    <x v="3"/>
    <n v="202601729918"/>
    <s v="9000"/>
    <s v="HMC - Hora de Manutenção Corretiva"/>
    <s v="HMC - EXEC MANUT"/>
    <s v="Mãe"/>
    <x v="1"/>
    <s v="BAIXA PRESSÃO DA VOLTAGEM (AG.LAVADOR ) 202600814653"/>
    <s v="ELETRICO"/>
    <s v="TREM DE FORCA"/>
    <s v="SENSOR DE VELOCIDADE"/>
    <s v="SUJEIRA"/>
    <s v="LIMPAR"/>
    <m/>
    <m/>
    <m/>
  </r>
  <r>
    <n v="0"/>
    <m/>
    <m/>
    <m/>
    <m/>
    <m/>
    <m/>
    <m/>
    <m/>
    <m/>
    <m/>
    <m/>
    <s v="NÃO"/>
    <s v=""/>
    <s v=""/>
    <x v="2"/>
    <s v=""/>
    <s v=""/>
    <x v="2"/>
    <s v="NÃO EXP.MAE"/>
    <s v="NÃO"/>
    <n v="0"/>
    <n v="0"/>
    <n v="0"/>
    <x v="770"/>
    <d v="2026-02-12T23:12:00"/>
    <x v="3"/>
    <n v="202601729918"/>
    <s v="9000"/>
    <s v="HMC - Hora de Manutenção Corretiva"/>
    <s v="HMC - AG LOCOMOCAO"/>
    <s v="Filha"/>
    <x v="1"/>
    <s v="BAIXA PRESSÃO DA VOLTAGEM (AG.LAVADOR ) 202600814653"/>
    <s v="ELETRICO"/>
    <s v="TREM DE FORCA"/>
    <s v="SENSOR DE VELOCIDADE"/>
    <s v="SUJEIRA"/>
    <s v="LIMPA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5.4163333334145136E-2"/>
    <n v="0"/>
    <n v="0"/>
    <x v="771"/>
    <d v="2026-02-13T00:30:00"/>
    <x v="3"/>
    <n v="202601729918"/>
    <s v="9000"/>
    <s v="HMC - Hora de Manutenção Corretiva"/>
    <s v="HMC - AG LOCOMOCAO"/>
    <s v="Filha"/>
    <x v="1"/>
    <s v="BAIXA PRESSÃO DA VOLTAGEM (AG.LAVADOR ) 202600814653"/>
    <s v="ELETRICO"/>
    <s v="TREM DE FORCA"/>
    <s v="SENSOR DE VELOCIDADE"/>
    <s v="SUJEIRA"/>
    <s v="LIMPA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14374999999563443"/>
    <n v="0"/>
    <n v="0"/>
    <x v="772"/>
    <d v="2026-02-13T04:00:00"/>
    <x v="3"/>
    <n v="202601729918"/>
    <s v="9000"/>
    <s v="HMC - Hora de Manutenção Corretiva"/>
    <s v="HMC - AG LAVADOR"/>
    <s v="Filha"/>
    <x v="1"/>
    <s v="BAIXA PRESSÃO DA VOLTAGEM (AG.LAVADOR ) 202600814653"/>
    <s v="ELETRICO"/>
    <s v="TREM DE FORCA"/>
    <s v="SENSOR DE VELOCIDADE"/>
    <s v="SUJEIRA"/>
    <s v="LIMPA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8.3333333335758653E-2"/>
    <n v="0"/>
    <n v="0"/>
    <x v="773"/>
    <d v="2026-02-13T06:00:00"/>
    <x v="3"/>
    <n v="202601729918"/>
    <s v="9000"/>
    <s v="HMC - Hora de Manutenção Corretiva"/>
    <s v="HMC - AG LAVADOR"/>
    <s v="Filha"/>
    <x v="1"/>
    <s v="BAIXA PRESSÃO DA VOLTAGEM (AG.LAVADOR ) 202600814653"/>
    <s v="ELETRICO"/>
    <s v="TREM DE FORCA"/>
    <s v="SENSOR DE VELOCIDADE"/>
    <s v="SUJEIRA"/>
    <s v="LIMPA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8.3333333335758653E-2"/>
    <n v="0"/>
    <n v="0"/>
    <x v="774"/>
    <d v="2026-02-13T12:30:00"/>
    <x v="3"/>
    <n v="202601729918"/>
    <s v="9000"/>
    <s v="HMC - Hora de Manutenção Corretiva"/>
    <s v="HMC - AG MAU TEMPO"/>
    <s v="Filha"/>
    <x v="1"/>
    <s v="BAIXA PRESSÃO DA VOLTAGEM (AG.LAVADOR ) 202600814653"/>
    <s v="ELETRICO"/>
    <s v="TREM DE FORCA"/>
    <s v="SENSOR DE VELOCIDADE"/>
    <s v="SUJEIRA"/>
    <s v="LIMPA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7.6388888890505768E-2"/>
    <n v="0"/>
    <n v="0"/>
    <x v="775"/>
    <d v="2026-02-14T18:00:00"/>
    <x v="3"/>
    <n v="202601729918"/>
    <s v="9000"/>
    <s v="HMC - Hora de Manutenção Corretiva"/>
    <s v="HMC - AG LUBRIFICACAO"/>
    <s v="Filha"/>
    <x v="1"/>
    <s v="BAIXA PRESSÃO DA VOLTAGEM (AG.LAVADOR ) 202600814653"/>
    <s v="ELETRICO"/>
    <s v="TREM DE FORCA"/>
    <s v="SENSOR DE VELOCIDADE"/>
    <s v="SUJEIRA"/>
    <s v="LIMPA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14860999999655178"/>
    <n v="0"/>
    <n v="0"/>
    <x v="776"/>
    <d v="2026-02-14T21:34:00"/>
    <x v="3"/>
    <n v="202601729918"/>
    <s v="9000"/>
    <s v="HMC - Hora de Manutenção Corretiva"/>
    <s v="MPS - AG LUBRIFICACAO"/>
    <s v="Filha"/>
    <x v="1"/>
    <s v="BAIXA PRESSÃO DA VOLTAGEM (AG.LAVADOR ) 202600814653"/>
    <s v="ELETRICO"/>
    <s v="TREM DE FORCA"/>
    <s v="SENSOR DE VELOCIDADE"/>
    <s v="SUJEIRA"/>
    <s v="LIMPA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7.8480000003764872E-2"/>
    <n v="0"/>
    <n v="0"/>
    <x v="777"/>
    <d v="2026-02-15T00:35:00"/>
    <x v="3"/>
    <n v="202601729918"/>
    <s v="9000"/>
    <s v="HMC - Hora de Manutenção Corretiva"/>
    <s v="MPS - AG LUBRIFICACAO"/>
    <s v="Filha"/>
    <x v="1"/>
    <s v="BAIXA PRESSÃO DA VOLTAGEM (AG.LAVADOR ) 202600814653"/>
    <s v="ELETRICO"/>
    <s v="TREM DE FORCA"/>
    <s v="SENSOR DE VELOCIDADE"/>
    <s v="SUJEIRA"/>
    <s v="LIMPAR"/>
    <m/>
    <m/>
    <m/>
  </r>
  <r>
    <n v="0"/>
    <m/>
    <m/>
    <m/>
    <m/>
    <m/>
    <m/>
    <m/>
    <m/>
    <m/>
    <m/>
    <m/>
    <m/>
    <n v="1"/>
    <s v="LOCOMOÇÃO"/>
    <x v="3"/>
    <s v="Man. Pneus"/>
    <n v="1.3025000001071021"/>
    <x v="1"/>
    <s v="NÃO EXP.MAE"/>
    <s v="NÃO"/>
    <n v="0"/>
    <n v="0"/>
    <n v="0"/>
    <x v="778"/>
    <d v="2026-02-15T16:09:13"/>
    <x v="3"/>
    <n v="202601729918"/>
    <s v="9010"/>
    <s v="HMC - Hora de Manutenção Corretiva"/>
    <s v="HMC - EXEC BORRACHARIA"/>
    <s v="Mãe"/>
    <x v="1"/>
    <s v="202600854571- BAIXA PRESSÃO DO PNEU DE - CALIBRADO PNEU DIANTEIRO LE E O PNEU TRASEIRO"/>
    <s v="LOCOMOCAO"/>
    <s v="RODA DE"/>
    <s v="PNEU"/>
    <s v="BAIXA PRESSAO"/>
    <s v="CALIBRAR"/>
    <s v="Mecânica"/>
    <s v="Frenagem - Roda De"/>
    <s v="Mangueira"/>
  </r>
  <r>
    <n v="0"/>
    <m/>
    <m/>
    <m/>
    <m/>
    <m/>
    <m/>
    <m/>
    <m/>
    <m/>
    <m/>
    <m/>
    <m/>
    <n v="1"/>
    <s v="DIRECAO"/>
    <x v="3"/>
    <s v="Corretivas"/>
    <n v="0.17500000004656613"/>
    <x v="1"/>
    <s v="NÃO EXP.MAE"/>
    <s v="NÃO"/>
    <n v="0"/>
    <n v="0"/>
    <n v="0"/>
    <x v="779"/>
    <d v="2026-02-15T19:59:11"/>
    <x v="3"/>
    <n v="202601729918"/>
    <s v="9000"/>
    <s v="HMC - Hora de Manutenção Corretiva"/>
    <s v="HMC - EXEC MANUT"/>
    <s v="Mãe"/>
    <x v="1"/>
    <s v="VAZAMENTO DE OLEO - CORRIGIDO VAZAMENTO DE OLEO"/>
    <s v="DIRECAO"/>
    <s v="TANQUE HIDRAULICO"/>
    <s v="OLEO"/>
    <s v="BAIXO NIVEL"/>
    <s v="COMPLETAR"/>
    <s v="Mecânica"/>
    <s v="Hidraulico Cavalo - Tanque Oleo"/>
    <s v="Oleo"/>
  </r>
  <r>
    <n v="0"/>
    <m/>
    <m/>
    <m/>
    <m/>
    <m/>
    <m/>
    <m/>
    <m/>
    <m/>
    <m/>
    <m/>
    <m/>
    <n v="1"/>
    <s v="HIDRAULICO"/>
    <x v="3"/>
    <s v="Corretivas"/>
    <n v="0.77555555559229106"/>
    <x v="1"/>
    <s v="NÃO EXP.MAE"/>
    <s v="NÃO"/>
    <n v="0"/>
    <n v="0"/>
    <n v="0"/>
    <x v="780"/>
    <d v="2026-02-16T10:48:36"/>
    <x v="3"/>
    <n v="202601729918"/>
    <s v="9000"/>
    <s v="HMC - Hora de Manutenção Corretiva"/>
    <s v="HMC - EXEC MANUT"/>
    <s v="Mãe"/>
    <x v="1"/>
    <s v="202600869987- BAIXO NÍVEL DO ÓLEO DA DIREÇÃO-COMPLETADO 30L DE ÓLEO DA DIREÇÃO E 60L DE ÓLEO HIDRAULICO"/>
    <s v="HIDRAULICO"/>
    <s v="TANQUE HIDRAULICO"/>
    <s v="OLEO"/>
    <s v="BAIXO NIVEL"/>
    <s v="COMPLETAR"/>
    <s v="Mecânica"/>
    <s v="Direcao - Tanque Oleo"/>
    <s v="Tanque"/>
  </r>
  <r>
    <n v="0"/>
    <m/>
    <m/>
    <m/>
    <m/>
    <m/>
    <m/>
    <m/>
    <m/>
    <m/>
    <m/>
    <m/>
    <m/>
    <n v="1"/>
    <s v="DIRECAO"/>
    <x v="3"/>
    <s v="Corretivas"/>
    <n v="0.5088888889295049"/>
    <x v="1"/>
    <s v="NÃO EXP.MAE"/>
    <s v="NÃO"/>
    <n v="0"/>
    <n v="0"/>
    <n v="0"/>
    <x v="781"/>
    <d v="2026-02-20T19:28:29"/>
    <x v="3"/>
    <n v="202601729918"/>
    <s v="9000"/>
    <s v="HMC - Hora de Manutenção Corretiva"/>
    <s v="HMC - EXEC MANUT"/>
    <s v="Mãe"/>
    <x v="1"/>
    <s v="BAIXO NIVEL DE OLEO DA DIREÇÃO - REALIZAR COMPLEMENTO DO NÍVEL DE ÓLEO DA DIREÇÃO_x0009_202600952542"/>
    <s v="DIRECAO"/>
    <s v="TANQUE HIDRAULICO"/>
    <s v="OLEO"/>
    <s v="BAIXO NIVEL"/>
    <s v="COMPLETAR"/>
    <s v="Mecânica"/>
    <s v="Direcao - Hidraulico"/>
    <s v="Acumulador"/>
  </r>
  <r>
    <n v="0"/>
    <m/>
    <m/>
    <m/>
    <m/>
    <m/>
    <m/>
    <m/>
    <m/>
    <m/>
    <m/>
    <m/>
    <m/>
    <n v="1"/>
    <s v="LOCOMOÇÃO"/>
    <x v="1"/>
    <s v="Man. Pneus"/>
    <n v="0.4002777777495794"/>
    <x v="1"/>
    <s v="NÃO EXP.MAE"/>
    <s v="NÃO"/>
    <n v="0"/>
    <n v="0"/>
    <n v="0"/>
    <x v="782"/>
    <d v="2026-02-21T10:49:18"/>
    <x v="3"/>
    <n v="202601729918"/>
    <s v="8010"/>
    <s v="MPNS - Hora Manutenção Preventiva não Sistemática"/>
    <s v="MPNS - EXEC BORRACHARIA"/>
    <s v="Mãe"/>
    <x v="1"/>
    <s v="MACHINE GEN Started a delay: MPNS - Exec borracharia"/>
    <s v="LOCOMOCAO"/>
    <m/>
    <m/>
    <m/>
    <m/>
    <m/>
    <m/>
    <m/>
  </r>
  <r>
    <n v="0"/>
    <m/>
    <m/>
    <m/>
    <m/>
    <m/>
    <m/>
    <m/>
    <m/>
    <m/>
    <m/>
    <m/>
    <m/>
    <n v="1"/>
    <s v="DIRECAO"/>
    <x v="3"/>
    <s v="Corretivas"/>
    <n v="3.6744444445939735"/>
    <x v="1"/>
    <s v="NÃO EXP.MAE"/>
    <s v="NÃO"/>
    <n v="0"/>
    <n v="0"/>
    <n v="0"/>
    <x v="783"/>
    <d v="2026-02-22T13:25:08"/>
    <x v="3"/>
    <n v="202601729918"/>
    <s v="9000"/>
    <s v="HMC - Hora de Manutenção Corretiva"/>
    <s v="HMC - EXEC MANUT"/>
    <s v="Mãe"/>
    <x v="1"/>
    <s v="202600977341- BAIXO NIVEL DE OLEO DA DIREÇÃO-AG COMBOIO 09:44- COMPLETADO 10LT NA DIREÇÃO 30 LT OLEO HIDRAULICO"/>
    <s v="DIRECAO"/>
    <s v="TANQUE HIDRAULICO"/>
    <s v="OLEO"/>
    <s v="BAIXO NIVEL"/>
    <s v="COMPLETAR"/>
    <s v="Mecânica"/>
    <s v="Direcao - Tanque Oleo"/>
    <s v="Oleo-Nivel Baix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15208333333430346"/>
    <n v="0"/>
    <n v="0"/>
    <x v="783"/>
    <d v="2026-02-22T13:23:40"/>
    <x v="3"/>
    <n v="202601729918"/>
    <s v="9000"/>
    <s v="HMC - Hora de Manutenção Corretiva"/>
    <s v="HMC - AG LUBRIFICACAO"/>
    <s v="Filha"/>
    <x v="1"/>
    <s v="202600977341- BAIXO NIVEL DE OLEO DA DIREÇÃO-AG COMBOIO 09:44- COMPLETADO 10LT NA DIREÇÃO 30 LT OLEO HIDRAULICO"/>
    <s v="DIRECAO"/>
    <s v="TANQUE HIDRAULICO"/>
    <s v="OLEO"/>
    <s v="BAIXO NIVEL"/>
    <s v="COMPLETAR"/>
    <s v="Mecânica"/>
    <s v="Direcao - Tanque Oleo"/>
    <s v="Oleo-Nivel Baixo"/>
  </r>
  <r>
    <n v="0"/>
    <m/>
    <m/>
    <m/>
    <m/>
    <m/>
    <m/>
    <m/>
    <m/>
    <m/>
    <m/>
    <m/>
    <m/>
    <n v="1"/>
    <s v="LOCOMOÇÃO"/>
    <x v="1"/>
    <s v="Man. Pneus"/>
    <n v="0.77361111104255542"/>
    <x v="1"/>
    <s v="NÃO EXP.MAE"/>
    <s v="NÃO"/>
    <n v="0"/>
    <n v="0"/>
    <n v="0"/>
    <x v="784"/>
    <d v="2026-02-25T03:55:24"/>
    <x v="3"/>
    <n v="202601729918"/>
    <s v="8010"/>
    <s v="MPNS - Hora Manutenção Preventiva não Sistemática"/>
    <s v="MPNS - EXEC BORRACHARIA"/>
    <s v="Mãe"/>
    <x v="1"/>
    <s v="BAIXA PRESSÃO DO PNEU DE 202601028028"/>
    <s v="LOCOMOCAO"/>
    <m/>
    <m/>
    <m/>
    <m/>
    <m/>
    <m/>
    <m/>
  </r>
  <r>
    <n v="0"/>
    <m/>
    <m/>
    <m/>
    <m/>
    <m/>
    <m/>
    <m/>
    <m/>
    <m/>
    <m/>
    <m/>
    <m/>
    <n v="1"/>
    <s v="DIRECAO"/>
    <x v="3"/>
    <s v="Corretivas"/>
    <n v="1.3883333334233612"/>
    <x v="1"/>
    <s v="NÃO EXP.MAE"/>
    <s v="NÃO"/>
    <n v="0"/>
    <n v="0"/>
    <n v="0"/>
    <x v="785"/>
    <d v="2026-02-25T20:17:42"/>
    <x v="3"/>
    <n v="202601729918"/>
    <s v="9000"/>
    <s v="HMC - Hora de Manutenção Corretiva"/>
    <s v="HMC - EXEC MANUT"/>
    <s v="Mãe"/>
    <x v="1"/>
    <s v="BAIXO NIVEL DO ÓLEO DA DIREÇÃO - REALIZADO INSPEÇÃO E COMPLETAR NÍVEIS - 202601045999"/>
    <s v="DIRECAO"/>
    <s v="TANQUE HIDRAULICO"/>
    <s v="OLEO"/>
    <s v="BAIXO NIVEL"/>
    <s v="COMPLETAR"/>
    <s v="Mecânica"/>
    <s v="Direcao - Hidraulico"/>
    <s v="Acumulador"/>
  </r>
  <r>
    <n v="0"/>
    <m/>
    <m/>
    <m/>
    <m/>
    <m/>
    <m/>
    <m/>
    <m/>
    <m/>
    <m/>
    <m/>
    <s v="NÃO"/>
    <n v="1"/>
    <s v="REVISÃO PREVENTIVA"/>
    <x v="4"/>
    <s v="Preventivas"/>
    <n v="0.34333333326503634"/>
    <x v="1"/>
    <s v="NÃO EXP.MAE"/>
    <s v="NÃO"/>
    <n v="0"/>
    <n v="0"/>
    <n v="0"/>
    <x v="786"/>
    <d v="2026-02-27T01:24:40"/>
    <x v="3"/>
    <n v="202601729918"/>
    <s v="7116"/>
    <s v="MPS - Hora Manutenção Preventiva Sistemática"/>
    <s v="MPS - AG LOCOMOCAO"/>
    <s v="Mãe"/>
    <x v="1"/>
    <s v="PM: 250h + 10 BL's"/>
    <s v="PREVENTIVA"/>
    <s v="PITSTOP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3.9186111110611819"/>
    <x v="1"/>
    <s v="NÃO EXP.MAE"/>
    <s v="NÃO"/>
    <n v="0"/>
    <n v="0"/>
    <n v="0"/>
    <x v="787"/>
    <d v="2026-02-27T05:19:47"/>
    <x v="3"/>
    <n v="202601729918"/>
    <s v="7000"/>
    <s v="MPS - Hora Manutenção Preventiva Sistemática"/>
    <s v="MPS - EXEC MANUT"/>
    <s v="Mãe"/>
    <x v="1"/>
    <s v="PM: 250h + 10 BL's"/>
    <s v="PREVENTIVA"/>
    <s v="PITSTOP"/>
    <m/>
    <m/>
    <m/>
    <m/>
    <m/>
    <m/>
  </r>
  <r>
    <n v="0"/>
    <m/>
    <m/>
    <m/>
    <m/>
    <m/>
    <m/>
    <m/>
    <m/>
    <m/>
    <m/>
    <m/>
    <m/>
    <n v="1"/>
    <s v="DIRECAO"/>
    <x v="3"/>
    <s v="Corretivas"/>
    <n v="1.9058333332068287"/>
    <x v="1"/>
    <s v="NÃO EXP.MAE"/>
    <s v="NÃO"/>
    <n v="0"/>
    <n v="0"/>
    <n v="0"/>
    <x v="788"/>
    <d v="2026-02-27T20:14:16"/>
    <x v="3"/>
    <n v="202601729918"/>
    <s v="9000"/>
    <s v="HMC - Hora de Manutenção Corretiva"/>
    <s v="HMC - EXEC MANUT"/>
    <s v="Mãe"/>
    <x v="1"/>
    <s v="TM_3 - ALARME DE BAIXO NÍVEL DE ÓLEO DA DIREÇÃO - 202601084452 COMPLETADO 30 LITROS DE ÓLEO"/>
    <s v="DIRECAO"/>
    <s v="TANQUE HIDRAULICO"/>
    <s v="OLEO"/>
    <s v="BAIXO NIVEL"/>
    <s v="COMPLETAR"/>
    <s v="Mecânica"/>
    <s v="Direcao - Hidraulico"/>
    <s v="Acumulador"/>
  </r>
  <r>
    <n v="0"/>
    <m/>
    <m/>
    <m/>
    <m/>
    <m/>
    <m/>
    <m/>
    <m/>
    <m/>
    <m/>
    <m/>
    <m/>
    <n v="1"/>
    <s v="INSPEÇÃO SENSITIVA"/>
    <x v="1"/>
    <s v="Inspeção"/>
    <n v="2.0480555556714535"/>
    <x v="1"/>
    <s v="NÃO EXP.MAE"/>
    <s v="NÃO"/>
    <n v="0"/>
    <n v="0"/>
    <n v="0"/>
    <x v="789"/>
    <d v="2026-02-28T00:01:51"/>
    <x v="3"/>
    <n v="202601729918"/>
    <s v="8001"/>
    <s v="MPNS - Hora Manutenção Preventiva não Sistemática"/>
    <s v="MPNS - EXEC MECANICA"/>
    <s v="Mãe"/>
    <x v="1"/>
    <s v="MACHINE GEN Started a delay: MPNS - Exec mecanica"/>
    <s v="INSPEÇÃO"/>
    <m/>
    <m/>
    <m/>
    <m/>
    <m/>
    <m/>
    <m/>
  </r>
  <r>
    <n v="0"/>
    <m/>
    <m/>
    <m/>
    <m/>
    <m/>
    <m/>
    <m/>
    <m/>
    <m/>
    <m/>
    <m/>
    <m/>
    <n v="1"/>
    <s v="SISTEMA DE FREIO"/>
    <x v="3"/>
    <s v="Corretivas"/>
    <n v="378.15833333332557"/>
    <x v="1"/>
    <s v="NÃO EXP.MAE"/>
    <s v="NÃO"/>
    <n v="0"/>
    <n v="0"/>
    <n v="0"/>
    <x v="790"/>
    <d v="2026-03-17T06:46:16"/>
    <x v="3"/>
    <n v="202601729918"/>
    <s v="9000"/>
    <s v="HMC - Hora de Manutenção Corretiva"/>
    <s v="HMC - EXEC MANUT"/>
    <s v="Mãe"/>
    <x v="2"/>
    <s v="202601105190- ALARME ACUMULO DE FREIO SECUNDARIO - SUBSTITUIDO MANGUEIRA DA BOMBA DE DIREÇÃO"/>
    <s v="FRENAGEM"/>
    <s v="FREIO"/>
    <s v="FREIO"/>
    <s v="AVARIA"/>
    <s v="SUBSTITUIR"/>
    <m/>
    <m/>
    <m/>
  </r>
  <r>
    <n v="0"/>
    <m/>
    <m/>
    <m/>
    <m/>
    <m/>
    <m/>
    <m/>
    <m/>
    <m/>
    <m/>
    <m/>
    <s v="NÃO"/>
    <s v=""/>
    <s v=""/>
    <x v="2"/>
    <s v=""/>
    <s v=""/>
    <x v="2"/>
    <s v="NÃO EXP.MAE"/>
    <s v="NÃO"/>
    <n v="0"/>
    <n v="0"/>
    <n v="0"/>
    <x v="791"/>
    <d v="2026-03-02T14:11:00"/>
    <x v="3"/>
    <n v="202601729918"/>
    <s v="9000"/>
    <s v="HMC - Hora de Manutenção Corretiva"/>
    <s v="HMC - AG LOCOMOCAO"/>
    <s v="Filha"/>
    <x v="2"/>
    <s v="202601105190- ALARME ACUMULO DE FREIO SECUNDARIO - SUBSTITUIDO MANGUEIRA DA BOMBA DE DIREÇÃO"/>
    <s v="FRENAGEM"/>
    <s v="FREIO"/>
    <s v="FREIO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5.8333333334303461E-2"/>
    <n v="0"/>
    <n v="0"/>
    <x v="792"/>
    <d v="2026-03-02T15:35:00"/>
    <x v="3"/>
    <n v="202601729918"/>
    <s v="9000"/>
    <s v="HMC - Hora de Manutenção Corretiva"/>
    <s v="HMC - AG LOCOMOCAO"/>
    <s v="Filha"/>
    <x v="2"/>
    <s v="202601105190- ALARME ACUMULO DE FREIO SECUNDARIO - SUBSTITUIDO MANGUEIRA DA BOMBA DE DIREÇÃO"/>
    <s v="FRENAGEM"/>
    <s v="FREIO"/>
    <s v="FREIO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16666666667151731"/>
    <n v="0"/>
    <n v="0"/>
    <x v="793"/>
    <d v="2026-03-03T05:00:00"/>
    <x v="3"/>
    <n v="202601729918"/>
    <s v="9000"/>
    <s v="HMC - Hora de Manutenção Corretiva"/>
    <s v="HMC - AG LAVADOR"/>
    <s v="Filha"/>
    <x v="2"/>
    <s v="202601105190- ALARME ACUMULO DE FREIO SECUNDARIO - SUBSTITUIDO MANGUEIRA DA BOMBA DE DIREÇÃO"/>
    <s v="FRENAGEM"/>
    <s v="FREIO"/>
    <s v="FREIO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8.3333333335758653E-2"/>
    <n v="0"/>
    <n v="0"/>
    <x v="794"/>
    <d v="2026-03-06T08:00:00"/>
    <x v="3"/>
    <n v="202601729918"/>
    <s v="9000"/>
    <s v="HMC - Hora de Manutenção Corretiva"/>
    <s v="HMC - AG MAO DE OBRA"/>
    <s v="Filha"/>
    <x v="2"/>
    <s v="202601105190- ALARME ACUMULO DE FREIO SECUNDARIO - SUBSTITUIDO MANGUEIRA DA BOMBA DE DIREÇÃO"/>
    <s v="FRENAGEM"/>
    <s v="FREIO"/>
    <s v="FREIO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6.25E-2"/>
    <n v="0"/>
    <n v="0"/>
    <x v="73"/>
    <d v="2026-03-06T18:00:00"/>
    <x v="3"/>
    <n v="202601729918"/>
    <s v="9000"/>
    <s v="HMC - Hora de Manutenção Corretiva"/>
    <s v="HMC - AG DETONACAO"/>
    <s v="Filha"/>
    <x v="2"/>
    <s v="202601105190- ALARME ACUMULO DE FREIO SECUNDARIO - SUBSTITUIDO MANGUEIRA DA BOMBA DE DIREÇÃO"/>
    <s v="FRENAGEM"/>
    <s v="FREIO"/>
    <s v="FREIO"/>
    <s v="AVARIA"/>
    <s v="SUBSTITUIR"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2.484722222223354"/>
    <n v="0"/>
    <n v="0"/>
    <x v="74"/>
    <d v="2026-03-09T05:38:00"/>
    <x v="3"/>
    <n v="202601729918"/>
    <s v="9000"/>
    <s v="HMC - Hora de Manutenção Corretiva"/>
    <s v="HMC - EXEC MANUT"/>
    <s v="Filha"/>
    <x v="2"/>
    <s v="202601105190- ALARME ACUMULO DE FREIO SECUNDARIO - SUBSTITUIDO MANGUEIRA DA BOMBA DE DIREÇÃO (Expugo dedicado ao componente)"/>
    <s v="FRENAGEM"/>
    <s v="FREIO"/>
    <s v="FREIO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4.1666666664241347E-2"/>
    <n v="0"/>
    <n v="0"/>
    <x v="795"/>
    <d v="2026-03-09T10:00:00"/>
    <x v="3"/>
    <n v="202601729918"/>
    <s v="9000"/>
    <s v="HMC - Hora de Manutenção Corretiva"/>
    <s v="HMC - AG RECURSO/FERRAMENTAL"/>
    <s v="Filha"/>
    <x v="2"/>
    <s v="202601105190- ALARME ACUMULO DE FREIO SECUNDARIO - SUBSTITUIDO MANGUEIRA DA BOMBA DE DIREÇÃO"/>
    <s v="FRENAGEM"/>
    <s v="FREIO"/>
    <s v="FREIO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3.7499999998544808E-2"/>
    <n v="0"/>
    <n v="0"/>
    <x v="796"/>
    <d v="2026-03-15T21:37:00"/>
    <x v="3"/>
    <n v="202601729918"/>
    <s v="9000"/>
    <s v="HMC - Hora de Manutenção Corretiva"/>
    <s v="HMC - AG RECURSO/FERRAMENTAL"/>
    <s v="Filha"/>
    <x v="2"/>
    <s v="202601105190- ALARME ACUMULO DE FREIO SECUNDARIO - SUBSTITUIDO MANGUEIRA DA BOMBA DE DIREÇÃO"/>
    <s v="FRENAGEM"/>
    <s v="FREIO"/>
    <s v="FREIO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4.1666666664241347E-2"/>
    <n v="0"/>
    <n v="0"/>
    <x v="797"/>
    <d v="2026-03-16T22:30:00"/>
    <x v="3"/>
    <n v="202601729918"/>
    <s v="9000"/>
    <s v="HMC - Hora de Manutenção Corretiva"/>
    <s v="HMC - AG RECURSO/FERRAMENTAL"/>
    <s v="Filha"/>
    <x v="2"/>
    <s v="202601105190- ALARME ACUMULO DE FREIO SECUNDARIO - SUBSTITUIDO MANGUEIRA DA BOMBA DE DIREÇÃO"/>
    <s v="FRENAGEM"/>
    <s v="FREIO"/>
    <s v="FREIO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10416666666424135"/>
    <n v="0"/>
    <n v="0"/>
    <x v="798"/>
    <d v="2026-03-17T01:30:00"/>
    <x v="3"/>
    <n v="202601729918"/>
    <s v="9000"/>
    <s v="HMC - Hora de Manutenção Corretiva"/>
    <s v="HMC - AG LUBRIFICACAO"/>
    <s v="Filha"/>
    <x v="2"/>
    <s v="202601105190- ALARME ACUMULO DE FREIO SECUNDARIO - SUBSTITUIDO MANGUEIRA DA BOMBA DE DIREÇÃO"/>
    <s v="FRENAGEM"/>
    <s v="FREIO"/>
    <s v="FREIO"/>
    <s v="AVARIA"/>
    <s v="SUBSTITUIR"/>
    <m/>
    <m/>
    <m/>
  </r>
  <r>
    <n v="0"/>
    <m/>
    <m/>
    <m/>
    <m/>
    <m/>
    <m/>
    <m/>
    <m/>
    <m/>
    <m/>
    <m/>
    <s v="NÃO"/>
    <n v="1"/>
    <s v="LOCOMOÇÃO"/>
    <x v="4"/>
    <s v="Man. Pneus"/>
    <n v="5.2027777777402662"/>
    <x v="1"/>
    <s v="NÃO EXP.MAE"/>
    <s v="NÃO"/>
    <n v="0"/>
    <n v="0"/>
    <n v="0"/>
    <x v="799"/>
    <d v="2026-03-17T11:58:26"/>
    <x v="3"/>
    <n v="202601729918"/>
    <s v="7110"/>
    <s v="MPS - Hora Manutenção Preventiva Sistemática"/>
    <s v="MPS - AG BORRACHARIA"/>
    <s v="Mãe"/>
    <x v="2"/>
    <m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COMUNICACAO"/>
    <x v="4"/>
    <s v="Acessórios"/>
    <n v="1.0247222221805714"/>
    <x v="0"/>
    <s v="EXP.MAE"/>
    <s v="NÃO"/>
    <n v="0"/>
    <n v="0"/>
    <n v="0"/>
    <x v="800"/>
    <d v="2026-03-17T14:56:47"/>
    <x v="3"/>
    <n v="202601729918"/>
    <s v="7032"/>
    <s v="MPS - Hora Manutenção Preventiva Sistemática"/>
    <s v="MPS - EXEC TERCEIROS TRABALHANDO"/>
    <s v="Mãe"/>
    <x v="2"/>
    <s v="MACHINE GEN Started a delay: MPS - Exec terceiros trabalhando"/>
    <s v="COMUNICACAO"/>
    <s v="COMUNICACAO"/>
    <s v="COMUNICACAO"/>
    <s v="COMUNICACAO"/>
    <s v="COMUNICACAO"/>
    <m/>
    <m/>
    <m/>
  </r>
  <r>
    <n v="0"/>
    <m/>
    <m/>
    <m/>
    <m/>
    <m/>
    <m/>
    <m/>
    <m/>
    <m/>
    <m/>
    <m/>
    <m/>
    <n v="1"/>
    <s v="AR CONDICIONADO"/>
    <x v="3"/>
    <s v="Corretivas"/>
    <n v="1.9266666666953824"/>
    <x v="1"/>
    <s v="NÃO EXP.MAE"/>
    <s v="NÃO"/>
    <n v="0"/>
    <n v="0"/>
    <n v="0"/>
    <x v="801"/>
    <d v="2026-03-17T21:04:47"/>
    <x v="3"/>
    <n v="202601729918"/>
    <s v="9000"/>
    <s v="HMC - Hora de Manutenção Corretiva"/>
    <s v="HMC - EXEC MANUT"/>
    <s v="Mãe"/>
    <x v="2"/>
    <s v="FALHA NO AR CONDIONADO E BARRUI ANOMAL DA CABINE - 202601412437 - REALIZADO LIMPEZA NO RELAY DE ACIONAMENTO DO COMPRESSOR"/>
    <s v="AR CONDICIONADO"/>
    <s v="COMPRESSOR"/>
    <s v="RELE"/>
    <s v="MAU CONTATO"/>
    <s v="FIXAR"/>
    <s v="Elétrica"/>
    <s v="Ar Condicionado - Compressor"/>
    <s v="Cabo/fiação/Mau contato"/>
  </r>
  <r>
    <n v="0"/>
    <m/>
    <m/>
    <m/>
    <m/>
    <m/>
    <m/>
    <m/>
    <m/>
    <m/>
    <m/>
    <m/>
    <m/>
    <n v="1"/>
    <s v="LOCOMOÇÃO"/>
    <x v="4"/>
    <s v="Man. Pneus"/>
    <n v="0.53611111122881994"/>
    <x v="1"/>
    <s v="NÃO EXP.MAE"/>
    <s v="NÃO"/>
    <n v="0"/>
    <n v="0"/>
    <n v="0"/>
    <x v="802"/>
    <d v="2026-03-18T00:07:14"/>
    <x v="3"/>
    <n v="202601729918"/>
    <s v="7010"/>
    <s v="MPS - Hora Manutenção Preventiva Sistemática"/>
    <s v="MPS - EXEC BORRACHARIA"/>
    <s v="Mãe"/>
    <x v="2"/>
    <m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AR CONDICIONADO"/>
    <x v="3"/>
    <s v="Corretivas"/>
    <n v="0.8663888888549991"/>
    <x v="1"/>
    <s v="NÃO EXP.MAE"/>
    <s v="NÃO"/>
    <n v="0"/>
    <n v="0"/>
    <n v="0"/>
    <x v="803"/>
    <d v="2026-03-19T09:39:36"/>
    <x v="3"/>
    <n v="202601729918"/>
    <s v="9000"/>
    <s v="HMC - Hora de Manutenção Corretiva"/>
    <s v="HMC - EXEC MANUT"/>
    <s v="Mãe"/>
    <x v="2"/>
    <s v="202601457048 FALHA NO AR-CONDICIONADO - CORRIGIDO RELE DE DO COMPRESSOR DO AC"/>
    <s v="AR CONDICIONADO"/>
    <s v="COMPRESSOR"/>
    <s v="RELE"/>
    <s v="MAU CONTATO"/>
    <s v="COMPLETAR"/>
    <s v="Mecânica"/>
    <s v="Ar Condicionado - Compressor"/>
    <s v="Compressor"/>
  </r>
  <r>
    <n v="0"/>
    <m/>
    <m/>
    <m/>
    <m/>
    <m/>
    <m/>
    <m/>
    <m/>
    <m/>
    <m/>
    <m/>
    <m/>
    <n v="1"/>
    <s v="ELEVAÇÃO"/>
    <x v="3"/>
    <s v="Corretivas"/>
    <n v="63.402777777635492"/>
    <x v="1"/>
    <s v="NÃO EXP.MAE"/>
    <s v="NÃO"/>
    <n v="0"/>
    <n v="0"/>
    <n v="0"/>
    <x v="804"/>
    <d v="2026-03-22T04:04:50"/>
    <x v="3"/>
    <n v="202601729918"/>
    <s v="9000"/>
    <s v="HMC - Hora de Manutenção Corretiva"/>
    <s v="HMC - EXEC MANUT"/>
    <s v="Mãe"/>
    <x v="2"/>
    <s v="FALHA NA ELEVAÇÃO - 202601459326 - COMPLETADO OLEO E CORRIGIDO FREIO"/>
    <s v="ELEVACAO"/>
    <s v="HIDRAULICO"/>
    <s v="BOMBA DE ELEVACAO"/>
    <s v="AVARIA"/>
    <s v="SUBSTITUIR"/>
    <s v="Mecânica"/>
    <s v="Elevacao - Hidraulico"/>
    <s v="Bomba de Ole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2.2916666668606922E-2"/>
    <n v="0"/>
    <n v="0"/>
    <x v="805"/>
    <d v="2026-03-19T15:30:00"/>
    <x v="3"/>
    <n v="202601729918"/>
    <s v="9000"/>
    <s v="HMC - Hora de Manutenção Corretiva"/>
    <s v="HMC - AG DETONACAO"/>
    <s v="Filha"/>
    <x v="2"/>
    <s v="FALHA NA ELEVAÇÃO - 202601459326 - COMPLETADO OLEO E CORRIGIDO FREIO"/>
    <s v="ELEVACAO"/>
    <s v="HIDRAULICO"/>
    <s v="BOMBA DE ELEVACAO"/>
    <s v="AVARIA"/>
    <s v="SUBSTITUIR"/>
    <s v="Mecânica"/>
    <s v="Elevacao - Hidraulico"/>
    <s v="Bomba de Ole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2.4305555554747116E-2"/>
    <n v="0"/>
    <n v="0"/>
    <x v="806"/>
    <d v="2026-03-20T16:50:00"/>
    <x v="3"/>
    <n v="202601729918"/>
    <s v="9000"/>
    <s v="HMC - Hora de Manutenção Corretiva"/>
    <s v="HMC - AG MAU TEMPO"/>
    <s v="Filha"/>
    <x v="2"/>
    <s v="FALHA NA ELEVAÇÃO - 202601459326 - COMPLETADO OLEO E CORRIGIDO FREIO"/>
    <s v="ELEVACAO"/>
    <s v="HIDRAULICO"/>
    <s v="BOMBA DE ELEVACAO"/>
    <s v="AVARIA"/>
    <s v="SUBSTITUIR"/>
    <s v="Mecânica"/>
    <s v="Elevacao - Hidraulico"/>
    <s v="Bomba de Ole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6.25E-2"/>
    <n v="0"/>
    <n v="0"/>
    <x v="807"/>
    <d v="2026-03-21T10:30:00"/>
    <x v="3"/>
    <n v="202601729918"/>
    <s v="9000"/>
    <s v="HMC - Hora de Manutenção Corretiva"/>
    <s v="HMC - AG LUBRIFICACAO"/>
    <s v="Filha"/>
    <x v="2"/>
    <s v="FALHA NA ELEVAÇÃO - 202601459326 - COMPLETADO OLEO E CORRIGIDO FREIO"/>
    <s v="ELEVACAO"/>
    <s v="HIDRAULICO"/>
    <s v="BOMBA DE ELEVACAO"/>
    <s v="AVARIA"/>
    <s v="SUBSTITUIR"/>
    <s v="Mecânica"/>
    <s v="Elevacao - Hidraulico"/>
    <s v="Bomba de Oleo"/>
  </r>
  <r>
    <n v="0"/>
    <m/>
    <m/>
    <m/>
    <m/>
    <m/>
    <m/>
    <m/>
    <m/>
    <m/>
    <m/>
    <m/>
    <m/>
    <n v="1"/>
    <s v="LOCOMOÇÃO"/>
    <x v="3"/>
    <s v="Man. Pneus"/>
    <n v="2.3644444444798864"/>
    <x v="1"/>
    <s v="NÃO EXP.MAE"/>
    <s v="NÃO"/>
    <n v="0"/>
    <n v="0"/>
    <n v="0"/>
    <x v="808"/>
    <d v="2026-03-22T07:50:00"/>
    <x v="3"/>
    <n v="202601729918"/>
    <s v="9010"/>
    <s v="HMC - Hora de Manutenção Corretiva"/>
    <s v="HMC - EXEC BORRACHARIA"/>
    <s v="Mãe"/>
    <x v="2"/>
    <s v="BAIXA PRESSÃO DO PNEL TDI  - CALIBRADO O PNEU TDI - 202601496120"/>
    <s v="LOCOMOCAO"/>
    <s v="RODA TDI"/>
    <s v="PNEU"/>
    <s v="BAIXA PRESSAO"/>
    <s v="CALIBRAR"/>
    <s v="Borracharia"/>
    <s v="Locomocao - Roda Tdi"/>
    <s v="Pneu-Pressao"/>
  </r>
  <r>
    <n v="0"/>
    <m/>
    <m/>
    <m/>
    <m/>
    <m/>
    <m/>
    <m/>
    <m/>
    <m/>
    <m/>
    <m/>
    <m/>
    <n v="1"/>
    <s v="ELETRICO"/>
    <x v="3"/>
    <s v="Corretivas"/>
    <n v="4.9447222221060656"/>
    <x v="1"/>
    <s v="NÃO EXP.MAE"/>
    <s v="NÃO"/>
    <n v="0"/>
    <n v="0"/>
    <n v="0"/>
    <x v="809"/>
    <d v="2026-03-22T21:46:41"/>
    <x v="3"/>
    <n v="202601729918"/>
    <n v="9000"/>
    <s v="HMC - Hora de Manutenção Corretiva"/>
    <s v="HMC - EXEC MANUT"/>
    <s v="Mãe"/>
    <x v="2"/>
    <s v="FALHA NA ESCADA - 202601498675 - REALIZAR SUBSTITUIÇÃO DO RELAY DE ACIONAMENTO DO MOTOR DA ESCADA"/>
    <s v="ELETRICO"/>
    <s v="ESCADA RETRATIL"/>
    <s v="RELE"/>
    <s v="AVARIA"/>
    <s v="SUBSTITUIR"/>
    <m/>
    <m/>
    <m/>
  </r>
  <r>
    <n v="0"/>
    <m/>
    <m/>
    <m/>
    <m/>
    <m/>
    <m/>
    <m/>
    <m/>
    <m/>
    <m/>
    <m/>
    <m/>
    <n v="1"/>
    <s v="ELETRICO"/>
    <x v="3"/>
    <s v="Corretivas"/>
    <n v="4.18611111107748"/>
    <x v="1"/>
    <s v="NÃO EXP.MAE"/>
    <s v="NÃO"/>
    <n v="0"/>
    <n v="0"/>
    <n v="0"/>
    <x v="810"/>
    <d v="2026-03-23T11:00:51"/>
    <x v="3"/>
    <n v="202601729918"/>
    <s v="9000"/>
    <s v="HMC - Hora de Manutenção Corretiva"/>
    <s v="HMC - EXEC MANUT"/>
    <s v="Mãe"/>
    <x v="2"/>
    <s v="FALHA NA ESCADA - SUBSTITUIDO RELÉ DE ACIONAMENTO = 202601513799"/>
    <s v="ELETRICO"/>
    <s v="ESCADA RETRATIL"/>
    <s v="RELE"/>
    <s v="AVARIA"/>
    <s v="SUBSTITUIR"/>
    <s v="Elétrica"/>
    <s v="Eletrico - Cabine"/>
    <s v="Rele-Queima"/>
  </r>
  <r>
    <n v="0"/>
    <m/>
    <m/>
    <m/>
    <m/>
    <m/>
    <m/>
    <m/>
    <m/>
    <m/>
    <m/>
    <m/>
    <m/>
    <n v="1"/>
    <s v="ELETRICO"/>
    <x v="3"/>
    <s v="Corretivas"/>
    <n v="6.748333333292976"/>
    <x v="1"/>
    <s v="NÃO EXP.MAE"/>
    <s v="NÃO"/>
    <n v="0"/>
    <n v="0"/>
    <n v="0"/>
    <x v="811"/>
    <d v="2026-03-23T22:29:48"/>
    <x v="3"/>
    <n v="202601729918"/>
    <s v="9000"/>
    <s v="HMC - Hora de Manutenção Corretiva"/>
    <s v="HMC - EXEC MANUT"/>
    <s v="Mãe"/>
    <x v="2"/>
    <s v="FALHA NA ESCADA - REALIZAR SUBSTITUIÇÃO DO RELAY DE ACIONAMENTO DO MOTOR DA ESCADA - 202601519239"/>
    <s v="ELETRICO"/>
    <s v="ESCADA RETRATIL"/>
    <s v="RELE"/>
    <s v="AVARIA"/>
    <s v="SUBSTITUIR"/>
    <s v="Mecânica"/>
    <s v="Estrutura"/>
    <s v="Escada"/>
  </r>
  <r>
    <n v="0"/>
    <m/>
    <m/>
    <m/>
    <m/>
    <m/>
    <m/>
    <m/>
    <m/>
    <m/>
    <m/>
    <m/>
    <m/>
    <s v=""/>
    <s v=""/>
    <x v="2"/>
    <s v=""/>
    <s v=""/>
    <x v="2"/>
    <s v="NÃO EXP.MAE"/>
    <s v="SIM"/>
    <n v="2.0833333328482695E-2"/>
    <n v="0"/>
    <n v="0"/>
    <x v="354"/>
    <d v="2026-03-23T17:30:00"/>
    <x v="3"/>
    <n v="202601729918"/>
    <s v="9000"/>
    <s v="HMC - Hora de Manutenção Corretiva"/>
    <s v="HMC - AG DETONACAO"/>
    <s v="Filha"/>
    <x v="2"/>
    <s v="FALHA NA ESCADA - REALIZAR SUBSTITUIÇÃO DO RELAY DE ACIONAMENTO DO MOTOR DA ESCADA - 202601519239"/>
    <s v="ELETRICO"/>
    <s v="ESCADA RETRATIL"/>
    <s v="RELE"/>
    <s v="AVARIA"/>
    <s v="SUBSTITUIR"/>
    <s v="Mecânica"/>
    <s v="Estrutura"/>
    <s v="Escada"/>
  </r>
  <r>
    <n v="0"/>
    <m/>
    <m/>
    <m/>
    <m/>
    <m/>
    <m/>
    <m/>
    <m/>
    <m/>
    <m/>
    <m/>
    <m/>
    <n v="1"/>
    <s v="SISTEMA DE FREIO"/>
    <x v="3"/>
    <s v="Corretivas"/>
    <n v="146.17638888896909"/>
    <x v="1"/>
    <s v="NÃO EXP.MAE"/>
    <s v="NÃO"/>
    <n v="0"/>
    <n v="0"/>
    <n v="0"/>
    <x v="812"/>
    <d v="2026-03-30T04:38:59"/>
    <x v="3"/>
    <n v="202601729918"/>
    <s v="9000"/>
    <s v="HMC - Hora de Manutenção Corretiva"/>
    <s v="HMC - EXEC MANUT"/>
    <s v="Mãe"/>
    <x v="2"/>
    <s v="FALHA NA BOMBA DO FREIO. 202601530598- AG. MAU TEMPO 07:07"/>
    <s v="FRENAGEM"/>
    <s v="BOMBA DE FREIO"/>
    <s v="BOMBA"/>
    <s v="BAIXA PRESSAO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9.9999999998544808E-2"/>
    <n v="0"/>
    <n v="0"/>
    <x v="813"/>
    <d v="2026-03-24T06:00:00"/>
    <x v="3"/>
    <n v="202601729918"/>
    <s v="9000"/>
    <s v="HMC - Hora de Manutenção Corretiva"/>
    <s v="HMC - AG CONDICAO SEGURA"/>
    <s v="Filha"/>
    <x v="2"/>
    <s v="FALHA NA BOMBA DO FREIO. 202601530598- AG. MAU TEMPO 07:07"/>
    <s v="FRENAGEM"/>
    <s v="BOMBA DE FREIO"/>
    <s v="BOMBA"/>
    <s v="BAIXA PRESSAO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26875000000291038"/>
    <n v="0"/>
    <n v="0"/>
    <x v="814"/>
    <d v="2026-03-25T12:27:00"/>
    <x v="3"/>
    <n v="202601729918"/>
    <s v="9000"/>
    <s v="HMC - Hora de Manutenção Corretiva"/>
    <s v="HMC - AG MAU TEMPO"/>
    <s v="Filha"/>
    <x v="2"/>
    <s v="FALHA NA BOMBA DO FREIO. 202601530598- AG. MAU TEMPO 07:07"/>
    <s v="FRENAGEM"/>
    <s v="BOMBA DE FREIO"/>
    <s v="BOMBA"/>
    <s v="BAIXA PRESSAO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2.7083333334303461E-2"/>
    <n v="0"/>
    <n v="0"/>
    <x v="361"/>
    <d v="2026-03-25T15:29:00"/>
    <x v="3"/>
    <n v="202601729918"/>
    <s v="9000"/>
    <s v="HMC - Hora de Manutenção Corretiva"/>
    <s v="HMC - AG DETONACAO"/>
    <s v="Filha"/>
    <x v="2"/>
    <s v="FALHA NA BOMBA DO FREIO. 202601530598- AG. MAU TEMPO 07:07"/>
    <s v="FRENAGEM"/>
    <s v="BOMBA DE FREIO"/>
    <s v="BOMBA"/>
    <s v="BAIXA PRESSAO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125"/>
    <n v="0"/>
    <n v="0"/>
    <x v="815"/>
    <d v="2026-03-27T11:00:00"/>
    <x v="3"/>
    <n v="202601729918"/>
    <s v="9000"/>
    <s v="HMC - Hora de Manutenção Corretiva"/>
    <s v="HMC - AG MAU TEMPO"/>
    <s v="Filha"/>
    <x v="2"/>
    <s v="FALHA NA BOMBA DO FREIO. 202601530598- AG. MAU TEMPO 07:07"/>
    <s v="FRENAGEM"/>
    <s v="BOMBA DE FREIO"/>
    <s v="BOMBA"/>
    <s v="BAIXA PRESSAO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125"/>
    <n v="0"/>
    <n v="0"/>
    <x v="816"/>
    <d v="2026-03-28T16:00:00"/>
    <x v="3"/>
    <n v="202601729918"/>
    <s v="9000"/>
    <s v="HMC - Hora de Manutenção Corretiva"/>
    <s v="HMC - AG CONDICAO SEGURA"/>
    <s v="Filha"/>
    <x v="2"/>
    <s v="FALHA NA BOMBA DO FREIO. 202601530598- AG. MAU TEMPO 07:07"/>
    <s v="FRENAGEM"/>
    <s v="BOMBA DE FREIO"/>
    <s v="BOMBA"/>
    <s v="BAIXA PRESSAO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1.0416666664241347E-2"/>
    <n v="0"/>
    <n v="0"/>
    <x v="817"/>
    <d v="2026-03-30T01:00:00"/>
    <x v="3"/>
    <n v="202601729918"/>
    <s v="9000"/>
    <s v="HMC - Hora de Manutenção Corretiva"/>
    <s v="HMC - AG LUBRIFICACAO"/>
    <s v="Filha"/>
    <x v="2"/>
    <s v="FALHA NA BOMBA DO FREIO. 202601530598- AG. MAU TEMPO 07:07"/>
    <s v="FRENAGEM"/>
    <s v="BOMBA DE FREIO"/>
    <s v="BOMBA"/>
    <s v="BAIXA PRESSAO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6.8750000005820766E-2"/>
    <n v="0"/>
    <n v="0"/>
    <x v="818"/>
    <d v="2026-03-30T02:29:00"/>
    <x v="3"/>
    <n v="202601729918"/>
    <s v="9000"/>
    <s v="HMC - Hora de Manutenção Corretiva"/>
    <s v="HMC - AG MAU TEMPO"/>
    <s v="Filha"/>
    <x v="2"/>
    <s v="FALHA NA BOMBA DO FREIO. 202601530598- AG. MAU TEMPO 07:07"/>
    <s v="FRENAGEM"/>
    <s v="BOMBA DE FREIO"/>
    <s v="BOMBA"/>
    <s v="BAIXA PRESSAO"/>
    <s v="SUBSTITUIR"/>
    <m/>
    <m/>
    <m/>
  </r>
  <r>
    <n v="0"/>
    <m/>
    <m/>
    <m/>
    <m/>
    <m/>
    <m/>
    <m/>
    <m/>
    <m/>
    <m/>
    <m/>
    <m/>
    <n v="1"/>
    <s v="LOCOMOÇÃO"/>
    <x v="3"/>
    <s v="Man. Pneus"/>
    <n v="0.50638888886896893"/>
    <x v="1"/>
    <s v="NÃO EXP.MAE"/>
    <s v="NÃO"/>
    <n v="0"/>
    <n v="0"/>
    <n v="0"/>
    <x v="819"/>
    <d v="2026-03-30T07:08:44"/>
    <x v="3"/>
    <n v="202601729918"/>
    <s v="9010"/>
    <s v="HMC - Hora de Manutenção Corretiva"/>
    <s v="HMC - EXEC BORRACHARIA"/>
    <s v="Mãe"/>
    <x v="2"/>
    <s v="202601642425- BAIXA PRESSÃO NO PNEU D\E- FOI REALIZADO A CALIBRAGEM DO PNEU TDE"/>
    <s v="LOCOMOCAO"/>
    <s v="RODA TDE"/>
    <s v="PNEU"/>
    <s v="BAIXA PRESSAO"/>
    <s v="CALIBRAR"/>
    <s v="Borracharia"/>
    <s v="Locomocao - Roda De"/>
    <s v="Pneu-Pressao"/>
  </r>
  <r>
    <n v="0"/>
    <m/>
    <m/>
    <m/>
    <m/>
    <m/>
    <m/>
    <m/>
    <m/>
    <m/>
    <m/>
    <m/>
    <s v="NÃO"/>
    <n v="1"/>
    <s v="LOCOMOÇÃO"/>
    <x v="1"/>
    <s v="Man. Pneus"/>
    <n v="1.4166666835080832E-2"/>
    <x v="1"/>
    <s v="NÃO EXP.MAE"/>
    <s v="NÃO"/>
    <n v="0"/>
    <n v="0"/>
    <n v="0"/>
    <x v="820"/>
    <d v="2026-03-30T07:10:18"/>
    <x v="3"/>
    <n v="202601729918"/>
    <s v="8110"/>
    <s v="MPNS - Hora Manutenção Preventiva não Sistemática"/>
    <s v="MPNS - AG BORRACHARIA"/>
    <s v="Mãe"/>
    <x v="2"/>
    <m/>
    <s v="LOCOMOCAO"/>
    <s v="RODA TDE"/>
    <s v="PNEU"/>
    <s v="BAIXA PRESSAO"/>
    <s v="CALIBRAR"/>
    <m/>
    <m/>
    <m/>
  </r>
  <r>
    <n v="0"/>
    <m/>
    <m/>
    <m/>
    <m/>
    <m/>
    <m/>
    <m/>
    <m/>
    <m/>
    <m/>
    <m/>
    <m/>
    <n v="1"/>
    <s v="LOCOMOÇÃO"/>
    <x v="3"/>
    <s v="Man. Pneus"/>
    <n v="2.7766666664974764"/>
    <x v="1"/>
    <s v="NÃO EXP.MAE"/>
    <s v="NÃO"/>
    <n v="0"/>
    <n v="0"/>
    <n v="0"/>
    <x v="821"/>
    <d v="2026-03-30T09:56:54"/>
    <x v="3"/>
    <n v="202601729918"/>
    <s v="9010"/>
    <s v="HMC - Hora de Manutenção Corretiva"/>
    <s v="HMC - EXEC BORRACHARIA"/>
    <s v="Mãe"/>
    <x v="2"/>
    <s v="202601642425- BAIXA PRESSÃO NO PNEU D\E- FOI REALIZADO A CALIBRAGEM DO PNEU TDE"/>
    <s v="LOCOMOCAO"/>
    <s v="RODA TDE"/>
    <s v="PNEU"/>
    <s v="BAIXA PRESSAO"/>
    <s v="CALIBRAR"/>
    <s v="Borracharia"/>
    <s v="Locomocao - Roda De"/>
    <s v="Pneu-Pressao"/>
  </r>
  <r>
    <n v="0"/>
    <m/>
    <m/>
    <m/>
    <m/>
    <m/>
    <m/>
    <m/>
    <m/>
    <m/>
    <m/>
    <m/>
    <m/>
    <n v="1"/>
    <s v="ELETRICO"/>
    <x v="3"/>
    <s v="Corretivas"/>
    <n v="1.843611111107748"/>
    <x v="1"/>
    <s v="NÃO EXP.MAE"/>
    <s v="NÃO"/>
    <n v="0"/>
    <n v="0"/>
    <n v="0"/>
    <x v="822"/>
    <d v="2026-04-01T05:32:01"/>
    <x v="3"/>
    <s v="202601682390"/>
    <s v="9000"/>
    <s v="HMC - Hora de Manutenção Corretiva"/>
    <s v="HMC - EXEC MANUT"/>
    <s v="Mãe"/>
    <x v="3"/>
    <s v="FALHA NA BATERIA   202601682390  SUBSTITUIDO 3 BATERIAS MT:2201636"/>
    <s v="ELETRICO"/>
    <s v="BATERIA"/>
    <s v="BATERIA"/>
    <s v="AVARIA"/>
    <s v="SUBSTITUIR"/>
    <s v="Mecânica"/>
    <s v="Motor Combustao - Pneumatico"/>
    <s v="Motor de Partida Pneumatico"/>
  </r>
  <r>
    <n v="0"/>
    <m/>
    <m/>
    <m/>
    <m/>
    <m/>
    <m/>
    <m/>
    <m/>
    <m/>
    <m/>
    <m/>
    <m/>
    <n v="1"/>
    <s v="LOCOMOÇÃO"/>
    <x v="1"/>
    <s v="Man. Pneus"/>
    <n v="0.91194444440770894"/>
    <x v="1"/>
    <s v="NÃO EXP.MAE"/>
    <s v="NÃO"/>
    <n v="0"/>
    <n v="0"/>
    <n v="0"/>
    <x v="823"/>
    <d v="2026-04-02T22:28:02"/>
    <x v="3"/>
    <m/>
    <s v="8010"/>
    <s v="MPNS - Hora Manutenção Preventiva não Sistemática"/>
    <s v="MPNS - EXEC BORRACHARIA"/>
    <s v="Mãe"/>
    <x v="3"/>
    <s v="MACHINE GEN Started a delay: MPNS - Exec borracharia"/>
    <s v="LOCOMOCAO"/>
    <s v="LOCOMOCAO"/>
    <s v="LOCOMOCAO"/>
    <s v="LOCOMOCAO"/>
    <s v="LOCOMOCAO"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1.4735502314579207E-2"/>
    <n v="0"/>
    <n v="0"/>
    <x v="824"/>
    <d v="2026-04-02T22:28:02"/>
    <x v="3"/>
    <m/>
    <s v="8010"/>
    <s v="MPNS - Hora Manutenção Preventiva não Sistemática"/>
    <s v="MPNS - EXEC BORRACHARIA"/>
    <s v="Filha"/>
    <x v="3"/>
    <s v="MACHINE GEN Started a delay: MPNS - Exec borracharia"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ELEVAÇÃO"/>
    <x v="3"/>
    <s v="Corretivas"/>
    <n v="37.603333333390765"/>
    <x v="1"/>
    <s v="NÃO EXP.MAE"/>
    <s v="NÃO"/>
    <n v="0"/>
    <n v="0"/>
    <n v="0"/>
    <x v="825"/>
    <d v="2026-04-07T03:00:46"/>
    <x v="3"/>
    <m/>
    <s v="9000"/>
    <s v="HMC - Hora de Manutenção Corretiva"/>
    <s v="HMC - EXEC MANUT"/>
    <s v="Mãe"/>
    <x v="3"/>
    <s v="FALHA NA ELEVAÇÃO"/>
    <s v="ELEVACAO"/>
    <s v="HIDRAULICO"/>
    <s v="PTO"/>
    <s v="VAZAMENTO"/>
    <s v="CORRIG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8.3634259259270038E-2"/>
    <n v="0"/>
    <n v="0"/>
    <x v="825"/>
    <d v="2026-04-05T15:25:00"/>
    <x v="3"/>
    <m/>
    <s v="9000"/>
    <s v="HMC - Hora de Manutenção Corretiva"/>
    <s v="HMC - AG OPERACAO"/>
    <s v="Filha"/>
    <x v="3"/>
    <s v="AGUARDANDO LIMPEZA BASCULA"/>
    <s v="ELEVACAO"/>
    <s v="HIDRAULICO"/>
    <s v="PTO"/>
    <s v="VAZAMENTO"/>
    <s v="CORRIG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2.9861111106583849E-2"/>
    <n v="0"/>
    <n v="0"/>
    <x v="826"/>
    <d v="2026-04-06T00:12:00"/>
    <x v="3"/>
    <m/>
    <s v="9000"/>
    <s v="HMC - Hora de Manutenção Corretiva"/>
    <s v="HMC - AG MAU TEMPO"/>
    <s v="Filha"/>
    <x v="3"/>
    <s v="AGUARDANDO MAU TEMPO"/>
    <s v="ELEVACAO"/>
    <s v="HIDRAULICO"/>
    <s v="PTO"/>
    <s v="VAZAMENTO"/>
    <s v="CORRIGIR"/>
    <m/>
    <m/>
    <m/>
  </r>
  <r>
    <n v="0"/>
    <m/>
    <m/>
    <m/>
    <m/>
    <m/>
    <m/>
    <m/>
    <m/>
    <m/>
    <m/>
    <m/>
    <m/>
    <n v="1"/>
    <s v="REVISÃO PREVENTIVA"/>
    <x v="4"/>
    <s v="Preventivas"/>
    <n v="68.641111111035571"/>
    <x v="1"/>
    <s v="NÃO EXP.MAE"/>
    <s v="NÃO"/>
    <n v="0"/>
    <n v="0"/>
    <n v="0"/>
    <x v="827"/>
    <d v="2026-04-09T23:40:08"/>
    <x v="3"/>
    <m/>
    <s v="7000"/>
    <s v="MPS - Hora Manutenção Preventiva Sistemática"/>
    <s v="MPS - EXEC MANUT"/>
    <s v="Mãe"/>
    <x v="3"/>
    <s v="PM 1000h + 22 BLs"/>
    <s v="PREVENTIVA"/>
    <s v="1000 HORAS"/>
    <m/>
    <m/>
    <m/>
    <m/>
    <m/>
    <m/>
  </r>
  <r>
    <n v="0"/>
    <m/>
    <m/>
    <m/>
    <m/>
    <m/>
    <m/>
    <m/>
    <m/>
    <m/>
    <m/>
    <m/>
    <s v="NÃO"/>
    <n v="1"/>
    <s v="LOCOMOÇÃO"/>
    <x v="1"/>
    <s v="Man. Pneus"/>
    <n v="0.33972222218289971"/>
    <x v="1"/>
    <s v="NÃO EXP.MAE"/>
    <s v="NÃO"/>
    <n v="0"/>
    <n v="0"/>
    <n v="0"/>
    <x v="828"/>
    <d v="2026-04-10T01:53:11"/>
    <x v="3"/>
    <m/>
    <s v="8116"/>
    <s v="MPNS - Hora Manutenção Preventiva não Sistemática"/>
    <s v="MPNS - AG LOCOMOCAO"/>
    <s v="Mãe"/>
    <x v="3"/>
    <m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0"/>
    <s v="LOCOMOÇÃO"/>
    <x v="1"/>
    <s v="Man. Pneus"/>
    <n v="1.3088888889178634"/>
    <x v="1"/>
    <s v="NÃO EXP.MAE"/>
    <s v="NÃO"/>
    <n v="0"/>
    <n v="0"/>
    <n v="0"/>
    <x v="829"/>
    <d v="2026-04-10T03:11:43"/>
    <x v="3"/>
    <m/>
    <s v="8010"/>
    <s v="MPNS - Hora Manutenção Preventiva não Sistemática"/>
    <s v="MPNS - EXEC BORRACHARIA"/>
    <s v="Mãe"/>
    <x v="3"/>
    <m/>
    <s v="LOCOMOCAO"/>
    <s v="LOCOMOCAO"/>
    <s v="LOCOMOCAO"/>
    <s v="LOCOMOCAO"/>
    <s v="LOCOMOCAO"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2.1149462962057441E-2"/>
    <n v="0"/>
    <n v="0"/>
    <x v="830"/>
    <d v="2026-04-10T03:11:43"/>
    <x v="3"/>
    <m/>
    <s v="8010"/>
    <s v="MPNS - Hora Manutenção Preventiva não Sistemática"/>
    <s v="MPNS - EXEC BORRACHARIA"/>
    <s v="Filha"/>
    <x v="3"/>
    <m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COMUNICACAO"/>
    <x v="3"/>
    <s v="Acessórios"/>
    <n v="2.9163888889015652"/>
    <x v="0"/>
    <s v="EXP.MAE"/>
    <s v="NÃO"/>
    <n v="0"/>
    <n v="0"/>
    <n v="0"/>
    <x v="831"/>
    <d v="2026-04-10T08:00:58"/>
    <x v="3"/>
    <s v="202601851227"/>
    <s v="9032"/>
    <s v="HMC - Hora de Manutenção Corretiva"/>
    <s v="HMC - EXEC TERCEIROS TRABALHANDO"/>
    <s v="Mãe"/>
    <x v="3"/>
    <s v="FALHA NO RÁDIO DE COMUNICAÇÃO PTT - NÃO ENCONTRADO FALHA NO EQUIPAMENTO  -   202601851227"/>
    <s v="COMUNICACAO"/>
    <s v="COMUNICACAO"/>
    <s v="COMUNICACAO"/>
    <s v="NAO IDENTIFICADO "/>
    <m/>
    <s v="Automação"/>
    <s v="Rádio De Voz - Conector Danificado"/>
    <s v="Rádio De Voz - Falha Comunicação"/>
  </r>
  <r>
    <n v="0"/>
    <m/>
    <m/>
    <m/>
    <m/>
    <m/>
    <m/>
    <m/>
    <m/>
    <m/>
    <m/>
    <m/>
    <m/>
    <n v="1"/>
    <s v="COMUNICACAO"/>
    <x v="3"/>
    <s v="Acessórios"/>
    <n v="1.6505555554758757"/>
    <x v="0"/>
    <s v="EXP.MAE"/>
    <s v="NÃO"/>
    <n v="0"/>
    <n v="0"/>
    <n v="0"/>
    <x v="832"/>
    <d v="2026-04-10T10:49:40"/>
    <x v="3"/>
    <s v="202601851227"/>
    <s v="9032"/>
    <s v="HMC - Hora de Manutenção Corretiva"/>
    <s v="HMC - EXEC TERCEIROS TRABALHANDO"/>
    <s v="Mãe"/>
    <x v="3"/>
    <s v="FALHA NO RÁDIO PTT -   FOI REALIZADO A TROCA DO CONECTOR DA ANTENA - 202601851227"/>
    <s v="COMUNICACAO"/>
    <s v="COMUNICACAO"/>
    <s v="CABO/FIACAO"/>
    <s v="AVARIA"/>
    <s v="SUBSTITUIR"/>
    <s v="Automação"/>
    <s v="Rádio De Voz - Conector Danificado"/>
    <s v="Rádio De Voz - Falha Comunicação"/>
  </r>
  <r>
    <n v="0"/>
    <m/>
    <m/>
    <m/>
    <m/>
    <m/>
    <m/>
    <m/>
    <m/>
    <m/>
    <m/>
    <m/>
    <m/>
    <n v="1"/>
    <s v="COMBATE INCENDIO"/>
    <x v="3"/>
    <s v="Acessórios"/>
    <n v="4.4883333334000781"/>
    <x v="0"/>
    <s v="EXP.MAE"/>
    <s v="NÃO"/>
    <n v="0"/>
    <n v="0"/>
    <n v="0"/>
    <x v="833"/>
    <d v="2026-04-10T16:49:03"/>
    <x v="3"/>
    <s v="202601854866"/>
    <s v="9032"/>
    <s v="HMC - Hora de Manutenção Corretiva"/>
    <s v="HMC - EXEC TERCEIROS TRABALHANDO"/>
    <s v="Mãe"/>
    <x v="3"/>
    <s v="FALHA NO AFEX - RECONECTADO O ATUADAOR ELÉTRICO DO SISTEMA AFEX -  202601854866"/>
    <s v="SISTEMA AFEX"/>
    <s v="COMBATE INCENDIO"/>
    <s v="CABO/FIACAO"/>
    <s v="POSICAO"/>
    <s v="REPOSCIONAR"/>
    <s v="Elétrica"/>
    <s v="Combate Incendio - Acionamento Automatico"/>
    <s v="Fio Sensor de Chama"/>
  </r>
  <r>
    <n v="0"/>
    <m/>
    <m/>
    <m/>
    <m/>
    <m/>
    <m/>
    <m/>
    <m/>
    <m/>
    <m/>
    <m/>
    <m/>
    <n v="1"/>
    <s v="ESTRUTURA"/>
    <x v="3"/>
    <s v="Corretivas"/>
    <n v="6.3188888888689689"/>
    <x v="1"/>
    <s v="NÃO EXP.MAE"/>
    <s v="NÃO"/>
    <n v="0"/>
    <n v="0"/>
    <n v="0"/>
    <x v="834"/>
    <d v="2026-04-11T12:56:17"/>
    <x v="3"/>
    <m/>
    <s v="9000"/>
    <s v="HMC - Hora de Manutenção Corretiva"/>
    <s v="HMC - EXEC MANUT"/>
    <s v="Mãe"/>
    <x v="3"/>
    <s v="FALHA NO EXTRATOR DE BLOCOS - REALIZADO REPARO NO EXTRATOR DE BLOCOS"/>
    <s v="ESTRUTURA"/>
    <s v="EIXO TRASEIRO"/>
    <s v="EXTRATOR DE PEDRAS"/>
    <s v="FIXACAO"/>
    <s v="SOLDAR"/>
    <m/>
    <m/>
    <m/>
  </r>
  <r>
    <n v="0"/>
    <m/>
    <m/>
    <m/>
    <m/>
    <m/>
    <m/>
    <m/>
    <m/>
    <m/>
    <m/>
    <m/>
    <s v="NÃO"/>
    <s v=""/>
    <s v=""/>
    <x v="2"/>
    <s v=""/>
    <s v=""/>
    <x v="2"/>
    <s v="NÃO EXP.MAE"/>
    <s v="NÃO"/>
    <n v="0"/>
    <n v="0"/>
    <n v="0"/>
    <x v="835"/>
    <d v="2026-04-11T09:57:00"/>
    <x v="3"/>
    <m/>
    <s v="9000"/>
    <s v="HMC - Hora de Manutenção Corretiva"/>
    <s v="HMC - AG LOCOMOCAO"/>
    <s v="Filha"/>
    <x v="3"/>
    <s v="AGUARDANDO LOCOMOÇÃO"/>
    <s v="ESTRUTURA"/>
    <s v="EIXO TRASEIRO"/>
    <s v="EXTRATOR DE PEDRAS"/>
    <s v="FIXACAO"/>
    <s v="SOLDA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5.2083333328482695E-2"/>
    <n v="0"/>
    <n v="0"/>
    <x v="836"/>
    <d v="2026-04-11T09:57:00"/>
    <x v="3"/>
    <m/>
    <s v="9000"/>
    <s v="HMC - Hora de Manutenção Corretiva"/>
    <s v="HMC - AG LOCOMOCAO"/>
    <s v="Filha"/>
    <x v="3"/>
    <s v="AGUARDANDO LOCOMOÇÃO"/>
    <s v="ESTRUTURA"/>
    <s v="EIXO TRASEIRO"/>
    <s v="EXTRATOR DE PEDRAS"/>
    <s v="FIXACAO"/>
    <s v="SOLDAR"/>
    <m/>
    <m/>
    <m/>
  </r>
  <r>
    <n v="0"/>
    <m/>
    <m/>
    <m/>
    <m/>
    <m/>
    <m/>
    <m/>
    <m/>
    <m/>
    <m/>
    <m/>
    <m/>
    <n v="1"/>
    <s v="TREM DE FORÇA"/>
    <x v="3"/>
    <s v="Corretivas"/>
    <n v="1.0188888888806105"/>
    <x v="1"/>
    <s v="NÃO EXP.MAE"/>
    <s v="NÃO"/>
    <n v="0"/>
    <n v="0"/>
    <n v="0"/>
    <x v="837"/>
    <d v="2026-04-11T15:39:19"/>
    <x v="3"/>
    <m/>
    <s v="9000"/>
    <s v="HMC - Hora de Manutenção Corretiva"/>
    <s v="HMC - EXEC MANUT"/>
    <s v="Mãe"/>
    <x v="3"/>
    <s v="DESLIGAMENTO DO MOTOR , ALTA TEMPERATURA DO CONVERSOR DE TORQUE- DRENADO EXCESSO DE ÓLEO DA TRANSMISSÃO"/>
    <s v="TREM DE FORCA"/>
    <s v="CONVERSOR DE TORQUE"/>
    <s v="OLEO"/>
    <s v="ALTO NIVEL"/>
    <s v="DRENAR"/>
    <m/>
    <m/>
    <m/>
  </r>
  <r>
    <n v="0"/>
    <m/>
    <m/>
    <m/>
    <m/>
    <m/>
    <m/>
    <m/>
    <m/>
    <m/>
    <m/>
    <m/>
    <m/>
    <n v="1"/>
    <s v="LOCOMOÇÃO"/>
    <x v="4"/>
    <s v="Man. Pneus"/>
    <n v="0.80888888885965571"/>
    <x v="1"/>
    <s v="NÃO EXP.MAE"/>
    <s v="NÃO"/>
    <n v="0"/>
    <n v="0"/>
    <n v="0"/>
    <x v="838"/>
    <d v="2026-04-12T15:56:03"/>
    <x v="3"/>
    <m/>
    <s v="7010"/>
    <s v="MPS - Hora Manutenção Preventiva Sistemática"/>
    <s v="MPS - EXEC BORRACHARIA"/>
    <s v="Mãe"/>
    <x v="3"/>
    <s v="MACHINE GEN Started a delay: MPS - Exec borracharia"/>
    <s v="LOCOMOCAO"/>
    <s v="LOCOMOCAO"/>
    <s v="LOCOMOCAO"/>
    <s v="LOCOMOCAO"/>
    <s v="LOCOMOCAO"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1.3070296299702022E-2"/>
    <n v="0"/>
    <n v="0"/>
    <x v="839"/>
    <d v="2026-04-12T15:56:03"/>
    <x v="3"/>
    <m/>
    <s v="7010"/>
    <s v="MPS - Hora Manutenção Preventiva Sistemática"/>
    <s v="MPS - EXEC BORRACHARIA"/>
    <s v="Filha"/>
    <x v="3"/>
    <s v="MACHINE GEN Started a delay: MPS - Exec borracharia"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DIRECAO"/>
    <x v="3"/>
    <s v="Corretivas"/>
    <n v="17.768611111154314"/>
    <x v="1"/>
    <s v="NÃO EXP.MAE"/>
    <s v="NÃO"/>
    <n v="0"/>
    <n v="0"/>
    <n v="0"/>
    <x v="840"/>
    <d v="2026-04-13T13:37:15"/>
    <x v="3"/>
    <m/>
    <s v="9000"/>
    <s v="HMC - Hora de Manutenção Corretiva"/>
    <s v="HMC - EXEC MANUT"/>
    <s v="Mãe"/>
    <x v="3"/>
    <s v="DESLIGAMENTO INVOLUNTARIO_x0009_202601888384"/>
    <s v="DIRECAO"/>
    <s v="HMU"/>
    <s v="MANGUEIRA"/>
    <s v="AVARIA"/>
    <s v="SUBSTITUIR"/>
    <m/>
    <m/>
    <m/>
  </r>
  <r>
    <n v="0"/>
    <m/>
    <m/>
    <m/>
    <m/>
    <m/>
    <m/>
    <m/>
    <m/>
    <m/>
    <m/>
    <m/>
    <s v="NÃO"/>
    <s v=""/>
    <s v=""/>
    <x v="2"/>
    <s v=""/>
    <s v=""/>
    <x v="2"/>
    <s v="NÃO EXP.MAE"/>
    <s v="NÃO"/>
    <n v="0"/>
    <n v="0"/>
    <n v="0"/>
    <x v="841"/>
    <d v="2026-04-13T03:07:00"/>
    <x v="3"/>
    <m/>
    <s v="9000"/>
    <s v="HMC - Hora de Manutenção Corretiva"/>
    <s v="HMC - AG LUBRIFICACAO"/>
    <s v="Filha"/>
    <x v="3"/>
    <s v="AGUARDANDO COMBOIO"/>
    <s v="DIRECAO"/>
    <s v="HMU"/>
    <s v="MANGUEIRA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10902777777664596"/>
    <n v="0"/>
    <n v="0"/>
    <x v="842"/>
    <d v="2026-04-13T03:07:00"/>
    <x v="3"/>
    <m/>
    <s v="9000"/>
    <s v="HMC - Hora de Manutenção Corretiva"/>
    <s v="HMC - AG LUBRIFICACAO"/>
    <s v="Filha"/>
    <x v="3"/>
    <s v="AGUARDANDO COMBOIO"/>
    <s v="DIRECAO"/>
    <s v="HMU"/>
    <s v="MANGUEIRA"/>
    <s v="AVARIA"/>
    <s v="SUBSTITUIR"/>
    <m/>
    <m/>
    <m/>
  </r>
  <r>
    <n v="0"/>
    <m/>
    <m/>
    <m/>
    <m/>
    <m/>
    <m/>
    <m/>
    <m/>
    <m/>
    <m/>
    <m/>
    <m/>
    <n v="1"/>
    <s v="LOCOMOÇÃO"/>
    <x v="1"/>
    <s v="Man. Pneus"/>
    <n v="1.0641666667652316"/>
    <x v="1"/>
    <s v="NÃO EXP.MAE"/>
    <s v="NÃO"/>
    <n v="0"/>
    <n v="0"/>
    <n v="0"/>
    <x v="843"/>
    <d v="2026-04-15T03:04:19"/>
    <x v="3"/>
    <m/>
    <s v="8010"/>
    <s v="MPNS - Hora Manutenção Preventiva não Sistemática"/>
    <s v="MPNS - EXEC BORRACHARIA"/>
    <s v="Mãe"/>
    <x v="3"/>
    <s v="MACHINE GEN Started a delay: MPNS - Exec borracharia"/>
    <s v="LOCOMOCAO"/>
    <s v="LOCOMOCAO"/>
    <s v="LOCOMOCAO"/>
    <s v="LOCOMOCAO"/>
    <s v="LOCOMOCAO"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1.7195159722177777E-2"/>
    <n v="0"/>
    <n v="0"/>
    <x v="844"/>
    <d v="2026-04-15T03:04:19"/>
    <x v="3"/>
    <m/>
    <s v="8010"/>
    <s v="MPNS - Hora Manutenção Preventiva não Sistemática"/>
    <s v="MPNS - EXEC BORRACHARIA"/>
    <s v="Filha"/>
    <x v="3"/>
    <s v="MACHINE GEN Started a delay: MPNS - Exec borracharia"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LOCOMOÇÃO"/>
    <x v="4"/>
    <s v="Man. Pneus"/>
    <n v="3.9858333332813345"/>
    <x v="1"/>
    <s v="NÃO EXP.MAE"/>
    <s v="NÃO"/>
    <n v="0"/>
    <n v="0"/>
    <n v="0"/>
    <x v="845"/>
    <d v="2026-04-15T13:01:54"/>
    <x v="3"/>
    <m/>
    <s v="7010"/>
    <s v="MPS - Hora Manutenção Preventiva Sistemática"/>
    <s v="MPS - EXEC BORRACHARIA"/>
    <s v="Mãe"/>
    <x v="3"/>
    <s v="MACHINE GEN Started a delay: MPS - Exec borracharia"/>
    <s v="LOCOMOCAO"/>
    <s v="LOCOMOCAO"/>
    <s v="LOCOMOCAO"/>
    <s v="LOCOMOCAO"/>
    <s v="LOCOMOCAO"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6.4404423610540107E-2"/>
    <n v="0"/>
    <n v="0"/>
    <x v="846"/>
    <d v="2026-04-15T13:01:54"/>
    <x v="3"/>
    <m/>
    <s v="7010"/>
    <s v="MPS - Hora Manutenção Preventiva Sistemática"/>
    <s v="MPS - EXEC BORRACHARIA"/>
    <s v="Filha"/>
    <x v="3"/>
    <s v="MACHINE GEN Started a delay: MPS - Exec borracharia"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INSPEÇÃO SENSITIVA"/>
    <x v="4"/>
    <s v="Inspeção"/>
    <n v="0.82444444438442588"/>
    <x v="1"/>
    <s v="NÃO EXP.MAE"/>
    <s v="NÃO"/>
    <n v="0"/>
    <n v="0"/>
    <n v="0"/>
    <x v="847"/>
    <d v="2026-04-16T11:41:04"/>
    <x v="3"/>
    <m/>
    <s v="7005"/>
    <s v="MPS - Hora Manutenção Preventiva Sistemática"/>
    <s v="MPS-EXEC INSP MECANICA"/>
    <s v="Mãe"/>
    <x v="3"/>
    <s v="INSPEÇÃO PROGRAMADA SOTREQ"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ELETRICO"/>
    <x v="3"/>
    <s v="Corretivas"/>
    <n v="5.4891666666953824"/>
    <x v="1"/>
    <s v="NÃO EXP.MAE"/>
    <s v="NÃO"/>
    <n v="0"/>
    <n v="0"/>
    <n v="0"/>
    <x v="848"/>
    <d v="2026-04-18T23:41:30"/>
    <x v="3"/>
    <s v="202602003024"/>
    <s v="9000"/>
    <s v="HMC - Hora de Manutenção Corretiva"/>
    <s v="HMC - EXEC MANUT"/>
    <s v="Mãe"/>
    <x v="3"/>
    <s v="202602003024 FALHA NA BUZINA - SUBSTITUIDO BUZINA"/>
    <s v="ELETRICO"/>
    <s v="CABINE"/>
    <s v="BUZINA"/>
    <s v="AVARIA"/>
    <s v="SUBSTITUIR"/>
    <s v="Mecânica"/>
    <s v="Estrutura - Cabine"/>
    <s v="Buzina-Avaria"/>
  </r>
  <r>
    <n v="0"/>
    <m/>
    <m/>
    <m/>
    <m/>
    <m/>
    <m/>
    <m/>
    <m/>
    <m/>
    <m/>
    <m/>
    <m/>
    <s v=""/>
    <s v=""/>
    <x v="2"/>
    <s v=""/>
    <s v=""/>
    <x v="2"/>
    <s v="NÃO EXP.MAE"/>
    <s v="SIM"/>
    <n v="5.4166666661330964E-2"/>
    <n v="0"/>
    <n v="0"/>
    <x v="849"/>
    <d v="2026-04-18T22:03:00"/>
    <x v="3"/>
    <s v="202602003024"/>
    <s v="9000"/>
    <s v="HMC - Hora de Manutenção Corretiva"/>
    <s v="HMC - AG MAU TEMPO"/>
    <s v="Filha"/>
    <x v="3"/>
    <s v="AGUARDANDO MAU TEMPO"/>
    <s v="ELETRICO"/>
    <s v="CABINE"/>
    <s v="BUZINA"/>
    <s v="AVARIA"/>
    <s v="SUBSTITUIR"/>
    <m/>
    <m/>
    <m/>
  </r>
  <r>
    <n v="0"/>
    <m/>
    <m/>
    <m/>
    <m/>
    <m/>
    <m/>
    <m/>
    <m/>
    <m/>
    <m/>
    <m/>
    <m/>
    <n v="1"/>
    <s v="AR CONDICIONADO"/>
    <x v="3"/>
    <s v="Corretivas"/>
    <n v="5.2766666666138917"/>
    <x v="1"/>
    <s v="NÃO EXP.MAE"/>
    <s v="NÃO"/>
    <n v="0"/>
    <n v="0"/>
    <n v="0"/>
    <x v="850"/>
    <d v="2026-04-22T00:46:50"/>
    <x v="3"/>
    <s v="202602042338"/>
    <s v="9000"/>
    <s v="HMC - Hora de Manutenção Corretiva"/>
    <s v="HMC - EXEC MANUT"/>
    <s v="Mãe"/>
    <x v="3"/>
    <s v="202602042338- FALHA NO AR CONDICIONADO-  SUBSTITUIDO COMPRESSOR DO A/C"/>
    <s v="AR CONDICIONADO"/>
    <s v="COMPRESSOR"/>
    <s v="COMPRESSOR "/>
    <s v="AVARIA"/>
    <s v="SUBSTITUIR"/>
    <s v="Mecânica"/>
    <s v="Ar Condicionado - Compressor"/>
    <s v="Compressor-Desgaste"/>
  </r>
  <r>
    <n v="0"/>
    <m/>
    <m/>
    <m/>
    <m/>
    <m/>
    <m/>
    <m/>
    <m/>
    <m/>
    <m/>
    <m/>
    <m/>
    <n v="1"/>
    <s v="AR CONDICIONADO"/>
    <x v="3"/>
    <s v="Corretivas"/>
    <n v="2.0050000000046566"/>
    <x v="1"/>
    <s v="NÃO EXP.MAE"/>
    <s v="NÃO"/>
    <n v="0"/>
    <n v="0"/>
    <n v="0"/>
    <x v="851"/>
    <d v="2026-04-22T16:00:16"/>
    <x v="3"/>
    <s v="202602069697"/>
    <s v="9000"/>
    <s v="HMC - Hora de Manutenção Corretiva"/>
    <s v="HMC - EXEC MANUT"/>
    <s v="Mãe"/>
    <x v="3"/>
    <s v="202602069697- FALHA NO AR CONDICIONADO- REPOSIONADO VENTILADOR DO AR CONDICIONADO"/>
    <s v="AR CONDICIONADO"/>
    <s v="ELETRO-VENTILADOR"/>
    <s v="VENTILADOR"/>
    <s v="POSICAO"/>
    <s v="REPOSCIONAR"/>
    <s v="Mecânica"/>
    <s v="Ar Condicionado - Ventilador"/>
    <s v="Motor elétrico/Fixação"/>
  </r>
  <r>
    <n v="0"/>
    <m/>
    <m/>
    <m/>
    <m/>
    <m/>
    <m/>
    <m/>
    <m/>
    <m/>
    <m/>
    <m/>
    <s v="NÃO"/>
    <n v="1"/>
    <s v="REVISÃO PREVENTIVA"/>
    <x v="4"/>
    <s v="Preventivas"/>
    <n v="0.45722222223412246"/>
    <x v="1"/>
    <s v="NÃO EXP.MAE"/>
    <s v="NÃO"/>
    <n v="0"/>
    <n v="0"/>
    <n v="0"/>
    <x v="852"/>
    <d v="2026-04-25T03:31:48"/>
    <x v="3"/>
    <n v="202601729918"/>
    <s v="7116"/>
    <s v="MPS - Hora Manutenção Preventiva Sistemática"/>
    <s v="MPS - AG LOCOMOCAO"/>
    <s v="Mãe"/>
    <x v="3"/>
    <s v="PM 500h + 33 BLs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1.5249999999068677"/>
    <x v="1"/>
    <s v="NÃO EXP.MAE"/>
    <s v="NÃO"/>
    <n v="0"/>
    <n v="0"/>
    <n v="0"/>
    <x v="853"/>
    <d v="2026-04-25T05:03:18"/>
    <x v="3"/>
    <n v="202601729918"/>
    <s v="7000"/>
    <s v="MPS - Hora Manutenção Preventiva Sistemática"/>
    <s v="MPS - EXEC MANUT"/>
    <s v="Mãe"/>
    <x v="3"/>
    <s v="PM 500h + 33 BLs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3.4441666665952653"/>
    <x v="0"/>
    <s v="EXP.MAE"/>
    <s v="NÃO"/>
    <n v="0"/>
    <n v="0"/>
    <n v="0"/>
    <x v="854"/>
    <d v="2026-04-25T08:29:57"/>
    <x v="3"/>
    <n v="202601729918"/>
    <s v="7111"/>
    <s v="MPS - Hora Manutenção Preventiva Sistemática"/>
    <s v="MPS - AG LAVADOR"/>
    <s v="Mãe"/>
    <x v="3"/>
    <s v="PM 500h + 33 BLs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2.7050000000162981"/>
    <x v="1"/>
    <s v="NÃO EXP.MAE"/>
    <s v="NÃO"/>
    <n v="0"/>
    <n v="0"/>
    <n v="0"/>
    <x v="855"/>
    <d v="2026-04-25T11:12:15"/>
    <x v="3"/>
    <n v="202601729918"/>
    <s v="7011"/>
    <s v="MPS - Hora Manutenção Preventiva Sistemática"/>
    <s v="MPS - EXEC LAVADOR"/>
    <s v="Mãe"/>
    <x v="3"/>
    <s v="PM 500h + 33 BLs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55.290555555664469"/>
    <x v="1"/>
    <s v="NÃO EXP.MAE"/>
    <s v="NÃO"/>
    <n v="0"/>
    <n v="0"/>
    <n v="0"/>
    <x v="856"/>
    <d v="2026-04-27T18:29:41"/>
    <x v="3"/>
    <n v="202601729918"/>
    <s v="7000"/>
    <s v="MPS - Hora Manutenção Preventiva Sistemática"/>
    <s v="MPS - EXEC MANUT"/>
    <s v="Mãe"/>
    <x v="3"/>
    <s v="PM 500h + 33 BLs"/>
    <s v="PREVENTIVA"/>
    <s v="500 HORAS"/>
    <m/>
    <m/>
    <m/>
    <m/>
    <m/>
    <m/>
  </r>
  <r>
    <n v="0"/>
    <m/>
    <m/>
    <m/>
    <m/>
    <m/>
    <m/>
    <m/>
    <m/>
    <m/>
    <m/>
    <m/>
    <m/>
    <n v="1"/>
    <s v="LOCOMOÇÃO"/>
    <x v="1"/>
    <s v="Man. Pneus"/>
    <n v="0.38777777779614553"/>
    <x v="1"/>
    <s v="NÃO EXP.MAE"/>
    <s v="NÃO"/>
    <n v="0"/>
    <n v="0"/>
    <n v="0"/>
    <x v="857"/>
    <d v="2026-04-29T09:58:36"/>
    <x v="3"/>
    <n v="202601729918"/>
    <s v="8010"/>
    <s v="MPNS - Hora Manutenção Preventiva não Sistemática"/>
    <s v="MPNS - EXEC BORRACHARIA"/>
    <s v="Mãe"/>
    <x v="3"/>
    <s v="CALIBRAR O PNEU DD"/>
    <s v="LOCOMOCAO"/>
    <s v="RODA DD"/>
    <s v="PNEU"/>
    <s v="BAIXA PRESSAO"/>
    <s v="CALIBRAR"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6.2658425958943553E-3"/>
    <n v="0"/>
    <n v="0"/>
    <x v="858"/>
    <d v="2026-04-29T09:58:36"/>
    <x v="3"/>
    <n v="202601729918"/>
    <s v="8010"/>
    <s v="MPNS - Hora Manutenção Preventiva não Sistemática"/>
    <s v="MPNS - EXEC BORRACHARIA"/>
    <s v="Filha"/>
    <x v="3"/>
    <s v="CALIBRAR O PNEU DD"/>
    <s v="LOCOMOCAO"/>
    <s v="RODA DD"/>
    <s v="PNEU"/>
    <s v="BAIXA PRESSAO"/>
    <s v="CALIBRAR"/>
    <m/>
    <m/>
    <m/>
  </r>
  <r>
    <n v="0"/>
    <m/>
    <m/>
    <m/>
    <m/>
    <m/>
    <m/>
    <m/>
    <m/>
    <m/>
    <m/>
    <m/>
    <m/>
    <n v="1"/>
    <s v="INSPEÇÃO SENSITIVA"/>
    <x v="4"/>
    <s v="Inspeção"/>
    <n v="0.9497222222853452"/>
    <x v="1"/>
    <s v="NÃO EXP.MAE"/>
    <s v="NÃO"/>
    <n v="0"/>
    <n v="0"/>
    <n v="0"/>
    <x v="859"/>
    <d v="2026-04-30T11:01:21"/>
    <x v="3"/>
    <n v="202601729918"/>
    <s v="7005"/>
    <s v="MPS - Hora Manutenção Preventiva Sistemática"/>
    <s v="MPS-EXEC INSP MECANICA"/>
    <s v="Mãe"/>
    <x v="3"/>
    <s v="MACHINE GEN Started a delay: MPS - Exec insp mecanica"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SISTEMA DE FREIO"/>
    <x v="3"/>
    <s v="Corretivas"/>
    <n v="6.7844444444635883"/>
    <x v="1"/>
    <s v="NÃO EXP.MAE"/>
    <s v="NÃO"/>
    <n v="0"/>
    <n v="0"/>
    <n v="0"/>
    <x v="860"/>
    <d v="2026-05-04T13:11:53"/>
    <x v="3"/>
    <s v="202602269587"/>
    <s v="9000"/>
    <s v="HMC - Hora de Manutenção Corretiva"/>
    <s v="HMC - EXEC MANUT"/>
    <s v="Mãe"/>
    <x v="4"/>
    <s v="VAZAMENTO DE ÓLEO NA RODA DIANTEIRA DIREITA - SUBSTITUÍDO A MANGUEIRA DO FREIO DA RODA DIANTREIRO DIREITO - 202602269587"/>
    <s v="FRENAGEM"/>
    <s v="RODA DD"/>
    <s v="MANGUEIRA"/>
    <s v="VAZAMENTO"/>
    <s v="SUBSTITUIR"/>
    <s v="Mecânica"/>
    <s v="Frenagem - Freio Dd"/>
    <s v="Tubo-Vazamento"/>
  </r>
  <r>
    <n v="0"/>
    <m/>
    <m/>
    <m/>
    <m/>
    <m/>
    <m/>
    <m/>
    <m/>
    <m/>
    <m/>
    <m/>
    <m/>
    <n v="1"/>
    <s v="LOCOMOÇÃO"/>
    <x v="3"/>
    <s v="Man. Pneus"/>
    <n v="1.7488888889201917"/>
    <x v="1"/>
    <s v="NÃO EXP.MAE"/>
    <s v="NÃO"/>
    <n v="0"/>
    <n v="0"/>
    <n v="0"/>
    <x v="861"/>
    <d v="2026-05-04T15:55:51"/>
    <x v="3"/>
    <s v="202602276736"/>
    <s v="9010"/>
    <s v="HMC - Hora de Manutenção Corretiva"/>
    <s v="HMC - EXEC BORRACHARIA"/>
    <s v="Mãe"/>
    <x v="4"/>
    <s v="BAIXA PRESSÃO NO PNEU TDE - CALIBRADO O PNEU TDE, NÃO ENCONTRADO VAZAMENTO - 202602276736"/>
    <s v="LOCOMOCAO"/>
    <s v="RODA TDE"/>
    <s v="PNEU"/>
    <s v="BAIXA PRESSAO"/>
    <s v="CALIBRAR"/>
    <s v="Borracharia"/>
    <s v="Locomocao - Roda Tde"/>
    <s v="Pneu-Pressao"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5.0557462964206934E-2"/>
    <n v="0"/>
    <n v="0"/>
    <x v="862"/>
    <d v="2026-05-04T15:55:51"/>
    <x v="3"/>
    <s v="202602276736"/>
    <s v="9010"/>
    <s v="HMC - Hora de Manutenção Corretiva"/>
    <s v="HMC - EXEC BORRACHARIA"/>
    <s v="Filha"/>
    <x v="4"/>
    <s v="BAIXA PRESSÃO NO PNEU TDE - CALIBRADO O PNEU TDE, NÃO ENCONTRADO VAZAMENTO - 202602276736"/>
    <s v="LOCOMOCAO"/>
    <s v="RODA TDE"/>
    <s v="PNEU"/>
    <s v="BAIXA PRESSAO"/>
    <s v="CALIBRAR"/>
    <m/>
    <m/>
    <m/>
  </r>
  <r>
    <n v="0"/>
    <m/>
    <m/>
    <m/>
    <m/>
    <m/>
    <m/>
    <m/>
    <m/>
    <m/>
    <m/>
    <m/>
    <m/>
    <n v="1"/>
    <s v="DIRECAO"/>
    <x v="3"/>
    <s v="Corretivas"/>
    <n v="0.76888888893881813"/>
    <x v="1"/>
    <s v="NÃO EXP.MAE"/>
    <s v="NÃO"/>
    <n v="0"/>
    <n v="0"/>
    <n v="0"/>
    <x v="863"/>
    <d v="2026-05-05T00:47:17"/>
    <x v="3"/>
    <s v="202602280082"/>
    <s v="9000"/>
    <s v="HMC - Hora de Manutenção Corretiva"/>
    <s v="HMC - EXEC MANUT"/>
    <s v="Mãe"/>
    <x v="4"/>
    <s v="202602280082- BAIXO NIVEL DO OLEO DA DIREÇÃO - COMPLETADO 15LT DO OLEO DA DIREÇÃO E VERIFICADO TODOS OS NIVEIS"/>
    <s v="DIRECAO"/>
    <s v="TANQUE HIDRAULICO"/>
    <s v="OLEO"/>
    <s v="BAIXO NIVEL"/>
    <s v="COMPLETAR"/>
    <s v="Mecânica"/>
    <s v="Direcao - Tanque Oleo"/>
    <s v="Oleo-Nivel"/>
  </r>
  <r>
    <n v="0"/>
    <m/>
    <m/>
    <m/>
    <m/>
    <m/>
    <m/>
    <m/>
    <m/>
    <m/>
    <m/>
    <m/>
    <m/>
    <n v="1"/>
    <s v="ELETRICO"/>
    <x v="3"/>
    <s v="Corretivas"/>
    <n v="2.2430555556784384"/>
    <x v="1"/>
    <s v="NÃO EXP.MAE"/>
    <s v="NÃO"/>
    <n v="0"/>
    <n v="0"/>
    <n v="0"/>
    <x v="864"/>
    <d v="2026-05-05T11:49:48"/>
    <x v="3"/>
    <n v="202602289765"/>
    <s v="9000"/>
    <s v="HMC - Hora de Manutenção Corretiva"/>
    <s v="HMC - EXEC MANUT"/>
    <s v="Mãe"/>
    <x v="4"/>
    <s v="FALHA NAS CÂMERAS-  REALIZADA SUBISTITUIÇÃO DA CÂMERA  DE MANITORAMENTO LADO DIREITO  - 202602289765"/>
    <s v="ELETRICO"/>
    <s v="SISTEMA DE CAMERA"/>
    <s v="DISPLAY DAS CAMERAS"/>
    <s v="COMUNICACAO"/>
    <s v="SUBSTITUIR"/>
    <m/>
    <m/>
    <m/>
  </r>
  <r>
    <n v="0"/>
    <m/>
    <m/>
    <m/>
    <m/>
    <m/>
    <m/>
    <m/>
    <m/>
    <m/>
    <m/>
    <m/>
    <m/>
    <n v="1"/>
    <s v="ELETRICO"/>
    <x v="3"/>
    <s v="Corretivas"/>
    <n v="5.8347222221782431"/>
    <x v="1"/>
    <s v="NÃO EXP.MAE"/>
    <s v="NÃO"/>
    <n v="0"/>
    <n v="0"/>
    <n v="0"/>
    <x v="865"/>
    <d v="2026-05-05T23:12:19"/>
    <x v="3"/>
    <n v="202602289765"/>
    <s v="9000"/>
    <s v="HMC - Hora de Manutenção Corretiva"/>
    <s v="HMC - EXEC MANUT"/>
    <s v="Mãe"/>
    <x v="4"/>
    <s v="FALHA NA CAMERA  -202602289765    SUBSTITUIDO  CABO DA CAMERA L/D MT: 1150588"/>
    <s v="ELETRICO"/>
    <s v="SISTEMA DE CAMERA"/>
    <s v="CABO/FIACAO"/>
    <s v="COMUNICACAO"/>
    <s v="SUBSTITUIR"/>
    <m/>
    <m/>
    <m/>
  </r>
  <r>
    <n v="0"/>
    <m/>
    <m/>
    <m/>
    <m/>
    <m/>
    <m/>
    <m/>
    <m/>
    <m/>
    <m/>
    <m/>
    <m/>
    <n v="1"/>
    <s v="INSPEÇÃO SENSITIVA"/>
    <x v="4"/>
    <s v="Inspeção"/>
    <n v="1.0061111110844649"/>
    <x v="1"/>
    <s v="NÃO EXP.MAE"/>
    <s v="NÃO"/>
    <n v="0"/>
    <n v="0"/>
    <n v="0"/>
    <x v="866"/>
    <d v="2026-05-08T15:05:51"/>
    <x v="3"/>
    <m/>
    <s v="7005"/>
    <s v="MPS - Hora Manutenção Preventiva Sistemática"/>
    <s v="MPS-EXEC INSP MECANICA"/>
    <s v="Mãe"/>
    <x v="4"/>
    <m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ELETRICO"/>
    <x v="3"/>
    <s v="Corretivas"/>
    <n v="1.9341666667023674"/>
    <x v="1"/>
    <s v="NÃO EXP.MAE"/>
    <s v="NÃO"/>
    <n v="0"/>
    <n v="0"/>
    <n v="0"/>
    <x v="867"/>
    <d v="2026-05-09T22:04:12"/>
    <x v="3"/>
    <s v="202602378798"/>
    <s v="9000"/>
    <s v="HMC - Hora de Manutenção Corretiva"/>
    <s v="HMC - EXEC MANUT"/>
    <s v="Mãe"/>
    <x v="4"/>
    <s v="FALHA NO DISPLAY DO PAYLOAD - CORRIGIR ALIMENTAÇÃO DO DISPLAY E CONFIGURAR DIPSWITCH DO DISPLAY - 202602378798"/>
    <s v="ELETRICO"/>
    <s v="PAINEL"/>
    <s v="FUSIVEL"/>
    <s v="FALHA"/>
    <s v="CORRIGIR"/>
    <s v="Elétrica"/>
    <s v="Eletrico - Cabine"/>
    <s v="Painel Eletrico-Isolacao"/>
  </r>
  <r>
    <n v="0"/>
    <m/>
    <m/>
    <m/>
    <m/>
    <m/>
    <m/>
    <m/>
    <m/>
    <m/>
    <m/>
    <m/>
    <m/>
    <n v="1"/>
    <s v="REVISÃO PREVENTIVA"/>
    <x v="4"/>
    <s v="Preventivas"/>
    <n v="3.0405555556062609"/>
    <x v="1"/>
    <s v="NÃO EXP.MAE"/>
    <s v="NÃO"/>
    <n v="0"/>
    <n v="0"/>
    <n v="0"/>
    <x v="868"/>
    <d v="2026-05-12T22:55:36"/>
    <x v="3"/>
    <m/>
    <s v="7000"/>
    <s v="MPS - Hora Manutenção Preventiva Sistemática"/>
    <s v="MPS - EXEC MANUT"/>
    <s v="Mãe"/>
    <x v="4"/>
    <s v="PM: 250h"/>
    <s v="PREVENTIVA"/>
    <s v="PITSTOP"/>
    <m/>
    <m/>
    <m/>
    <m/>
    <m/>
    <m/>
  </r>
  <r>
    <n v="0"/>
    <m/>
    <m/>
    <m/>
    <m/>
    <m/>
    <m/>
    <m/>
    <m/>
    <m/>
    <m/>
    <m/>
    <m/>
    <n v="1"/>
    <s v="DIRECAO"/>
    <x v="3"/>
    <s v="Corretivas"/>
    <n v="56.470555555599276"/>
    <x v="1"/>
    <s v="NÃO EXP.MAE"/>
    <s v="NÃO"/>
    <n v="0"/>
    <n v="0"/>
    <n v="0"/>
    <x v="869"/>
    <d v="2026-05-17T13:32:48"/>
    <x v="3"/>
    <s v="202602488122"/>
    <s v="9000"/>
    <s v="HMC - Hora de Manutenção Corretiva"/>
    <s v="HMC - EXEC MANUT"/>
    <s v="Mãe"/>
    <x v="4"/>
    <s v="202602488122 - BAIXO NIVEL DE OLEO DA DIREÇÃO - REALIZAR A SUBSTITUIÇÃO DO CILINDRO DE DIREÇÃO LADO DIREITO E COMPLETAR NÍVEIS"/>
    <s v="DIRECAO"/>
    <s v="CILINDRO LD"/>
    <s v="CILINDRO"/>
    <s v="AVARIA"/>
    <s v="SUBSTITUIR"/>
    <s v="Mecânica"/>
    <s v="Direcao - Cilindro Le"/>
    <s v="Cilindr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16666666666424135"/>
    <n v="0"/>
    <n v="0"/>
    <x v="870"/>
    <d v="2026-05-15T10:00:00"/>
    <x v="3"/>
    <s v="202602488122"/>
    <s v="9000"/>
    <s v="HMC - Hora de Manutenção Corretiva"/>
    <s v="HMC - AG CONDICAO SEGURA"/>
    <s v="Filha"/>
    <x v="4"/>
    <s v="AGUARDANDO SEGREGAÇÃO LOCAL"/>
    <s v="DIRECAO"/>
    <s v="CILINDRO LD"/>
    <s v="CILINDRO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29166666666424135"/>
    <n v="0"/>
    <n v="0"/>
    <x v="871"/>
    <d v="2026-05-16T01:00:00"/>
    <x v="3"/>
    <s v="202602488122"/>
    <s v="9000"/>
    <s v="HMC - Hora de Manutenção Corretiva"/>
    <s v="HMC - AG RECURSO/FERRAMENTAL"/>
    <s v="Filha"/>
    <x v="4"/>
    <s v="AGUARDANDO RECURSO - OXICORTE"/>
    <s v="DIRECAO"/>
    <s v="CILINDRO LD"/>
    <s v="CILINDRO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14583333333575865"/>
    <n v="0"/>
    <n v="0"/>
    <x v="872"/>
    <d v="2026-05-16T13:30:00"/>
    <x v="3"/>
    <s v="202602488122"/>
    <s v="9000"/>
    <s v="HMC - Hora de Manutenção Corretiva"/>
    <s v="HMC - AG RECURSO/FERRAMENTAL"/>
    <s v="Filha"/>
    <x v="4"/>
    <s v="AGUARDANDO RECURSO - OXICORTE"/>
    <s v="DIRECAO"/>
    <s v="CILINDRO LD"/>
    <s v="CILINDRO"/>
    <s v="AVARIA"/>
    <s v="SUBSTITUIR"/>
    <m/>
    <m/>
    <m/>
  </r>
  <r>
    <n v="0"/>
    <m/>
    <m/>
    <m/>
    <m/>
    <m/>
    <m/>
    <m/>
    <m/>
    <m/>
    <m/>
    <m/>
    <m/>
    <n v="1"/>
    <s v="SISTEMA DE FREIO"/>
    <x v="3"/>
    <s v="Corretivas"/>
    <n v="4.0127777777379379"/>
    <x v="1"/>
    <s v="NÃO EXP.MAE"/>
    <s v="NÃO"/>
    <n v="0"/>
    <n v="0"/>
    <n v="0"/>
    <x v="873"/>
    <d v="2026-05-17T20:19:02"/>
    <x v="3"/>
    <s v="202602520162"/>
    <s v="9000"/>
    <s v="HMC - Hora de Manutenção Corretiva"/>
    <s v="HMC - EXEC MANUT"/>
    <s v="Mãe"/>
    <x v="4"/>
    <s v="ALTA PRESSÃO DA BOMBA DO FREIO  202602520162  REALIZADO REAPERTO NA VÁLVULA DE DESCOMPRESSÃO DA BOMBA DO FREIO MT:1150588"/>
    <s v="FRENAGEM"/>
    <s v="BOMBA DE FREIO"/>
    <s v="BOMBA"/>
    <s v="ALTA PRESSÃO"/>
    <s v="CORRIGIR"/>
    <s v="Mecânica"/>
    <s v="Frenagem - Freio"/>
    <s v="Bomba"/>
  </r>
  <r>
    <n v="0"/>
    <m/>
    <m/>
    <m/>
    <m/>
    <m/>
    <m/>
    <m/>
    <m/>
    <m/>
    <m/>
    <m/>
    <m/>
    <s v=""/>
    <s v=""/>
    <x v="2"/>
    <s v=""/>
    <s v=""/>
    <x v="2"/>
    <s v="NÃO EXP.MAE"/>
    <s v="SIM"/>
    <n v="4.9803240741312038E-2"/>
    <n v="0"/>
    <n v="0"/>
    <x v="874"/>
    <d v="2026-05-17T17:30:00"/>
    <x v="3"/>
    <n v="202602520162"/>
    <s v="9000"/>
    <s v="HMC - Hora de Manutenção Corretiva"/>
    <s v="HMC - AG DETONACAO"/>
    <s v="Filha"/>
    <x v="4"/>
    <s v="AGUARDANDO DESMONTE"/>
    <s v="FRENAGEM"/>
    <s v="BOMBA DE FREIO"/>
    <s v="BOMBA"/>
    <s v="ALTA PRESSÃO"/>
    <s v="CORRIGIR"/>
    <m/>
    <m/>
    <m/>
  </r>
  <r>
    <n v="0"/>
    <m/>
    <m/>
    <m/>
    <m/>
    <m/>
    <m/>
    <m/>
    <m/>
    <m/>
    <m/>
    <m/>
    <m/>
    <n v="1"/>
    <s v="LOCOMOÇÃO"/>
    <x v="4"/>
    <s v="Man. Pneus"/>
    <n v="14.181666666758247"/>
    <x v="1"/>
    <s v="NÃO EXP.MAE"/>
    <s v="NÃO"/>
    <n v="0"/>
    <n v="0"/>
    <n v="0"/>
    <x v="875"/>
    <d v="2026-05-19T02:22:51"/>
    <x v="3"/>
    <m/>
    <s v="7010"/>
    <s v="MPS - Hora Manutenção Preventiva Sistemática"/>
    <s v="MPS - EXEC BORRACHARIA"/>
    <s v="Mãe"/>
    <x v="4"/>
    <s v="SUBSTITUIR PNEU DE/DD"/>
    <s v="LOCOMOCAO"/>
    <s v="RODA DE/DD"/>
    <s v="PNEU"/>
    <s v="AVARIA"/>
    <s v="SUBSTITUIR"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NÃO"/>
    <n v="0"/>
    <n v="0"/>
    <n v="0"/>
    <x v="876"/>
    <d v="2026-05-19T02:22:51"/>
    <x v="3"/>
    <m/>
    <s v="7010"/>
    <s v="MPS - Hora Manutenção Preventiva Sistemática"/>
    <s v="MPS - EXEC BORRACHARIA"/>
    <s v="Filha"/>
    <x v="4"/>
    <s v="SUBSTITUIR PNEU DE/DD"/>
    <s v="LOCOMOCAO"/>
    <s v="RODA DE/DD"/>
    <s v="PNEU"/>
    <s v="AVARIA"/>
    <s v="SUBSTITUIR"/>
    <m/>
    <m/>
    <m/>
  </r>
  <r>
    <n v="0"/>
    <m/>
    <m/>
    <m/>
    <m/>
    <m/>
    <m/>
    <m/>
    <m/>
    <m/>
    <m/>
    <m/>
    <m/>
    <n v="1"/>
    <s v="DIRECAO"/>
    <x v="3"/>
    <s v="Corretivas"/>
    <n v="3.4502777777379379"/>
    <x v="1"/>
    <s v="NÃO EXP.MAE"/>
    <s v="NÃO"/>
    <n v="0"/>
    <n v="0"/>
    <n v="0"/>
    <x v="877"/>
    <d v="2026-05-21T05:17:44"/>
    <x v="3"/>
    <s v="202602602344"/>
    <s v="9000"/>
    <s v="HMC - Hora de Manutenção Corretiva"/>
    <s v="HMC - EXEC MANUT"/>
    <s v="Mãe"/>
    <x v="4"/>
    <s v="BAIXO NIVEL DE ÓELO DA DIREÇÃO - COMPLETAR NÍVEL DO ÓLEO DA DIREÇÃO - 202602602344"/>
    <s v="DIRECAO"/>
    <s v="LUBRIFICACAO"/>
    <s v="OLEO"/>
    <s v="NIVEL"/>
    <s v="COMPLETAR"/>
    <s v="Mecânica"/>
    <s v="Direcao - Tanque Oleo"/>
    <s v="Oleo-Nivel Baix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12103009259590181"/>
    <n v="0"/>
    <n v="0"/>
    <x v="878"/>
    <d v="2026-05-21T05:15:00"/>
    <x v="3"/>
    <s v="202602602344"/>
    <s v="9000"/>
    <s v="HMC - Hora de Manutenção Corretiva"/>
    <s v="HMC - AG LUBRIFICACAO"/>
    <s v="Filha"/>
    <x v="4"/>
    <s v="DESVIO AGUARDANDO COMBOIO &gt; 30 MIN"/>
    <s v="DIRECAO"/>
    <s v="LUBRIFICACAO"/>
    <s v="OLEO"/>
    <s v="NIVEL"/>
    <s v="COMPLETAR"/>
    <m/>
    <m/>
    <m/>
  </r>
  <r>
    <n v="0"/>
    <m/>
    <m/>
    <m/>
    <m/>
    <m/>
    <m/>
    <m/>
    <m/>
    <m/>
    <m/>
    <m/>
    <m/>
    <n v="1"/>
    <s v="LOCOMOÇÃO"/>
    <x v="4"/>
    <s v="Man. Pneus"/>
    <n v="0.31583333329763263"/>
    <x v="1"/>
    <s v="NÃO EXP.MAE"/>
    <s v="NÃO"/>
    <n v="0"/>
    <n v="0"/>
    <n v="0"/>
    <x v="879"/>
    <d v="2026-05-21T08:55:22"/>
    <x v="3"/>
    <m/>
    <s v="7010"/>
    <s v="MPS - Hora Manutenção Preventiva Sistemática"/>
    <s v="MPS - EXEC BORRACHARIA"/>
    <s v="Mãe"/>
    <x v="4"/>
    <s v="MACHINE GEN Started a delay: MPS - Exec borracharia"/>
    <s v="LOCOMOCAO"/>
    <s v="LOCOMOCAO"/>
    <s v="LOCOMOCAO"/>
    <s v="LOCOMOCAO"/>
    <s v="LOCOMOCAO"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9.1302152795833535E-3"/>
    <n v="0"/>
    <n v="0"/>
    <x v="880"/>
    <d v="2026-05-21T08:55:22"/>
    <x v="3"/>
    <m/>
    <s v="7010"/>
    <s v="MPS - Hora Manutenção Preventiva Sistemática"/>
    <s v="MPS - EXEC BORRACHARIA"/>
    <s v="Filha"/>
    <x v="4"/>
    <s v="MACHINE GEN Started a delay: MPS - Exec borracharia"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DIRECAO"/>
    <x v="3"/>
    <s v="Corretivas"/>
    <n v="0.74611111107515171"/>
    <x v="1"/>
    <s v="NÃO EXP.MAE"/>
    <s v="NÃO"/>
    <n v="0"/>
    <n v="0"/>
    <n v="0"/>
    <x v="881"/>
    <d v="2026-05-22T01:54:45"/>
    <x v="3"/>
    <s v="202602622280"/>
    <s v="9000"/>
    <s v="HMC - Hora de Manutenção Corretiva"/>
    <s v="HMC - EXEC MANUT"/>
    <s v="Mãe"/>
    <x v="4"/>
    <s v="BAIXO NIVEL DE ÓLEO HIDRAULICO - COMPLETAR NÍVEL DO ÓLEO DA DIREÇÃO - 202602622280"/>
    <s v="DIRECAO"/>
    <s v="LUBRIFICACAO"/>
    <s v="OLEO"/>
    <s v="NIVEL"/>
    <s v="COMPLETAR"/>
    <s v="Mecânica"/>
    <s v="Direcao - Tanque Oleo"/>
    <s v="Oleo-Nivel Baixo"/>
  </r>
  <r>
    <n v="0"/>
    <m/>
    <m/>
    <m/>
    <m/>
    <m/>
    <m/>
    <m/>
    <m/>
    <m/>
    <m/>
    <m/>
    <m/>
    <n v="1"/>
    <s v="TREM DE FORÇA"/>
    <x v="3"/>
    <s v="Corretivas"/>
    <n v="1.433888888801448"/>
    <x v="1"/>
    <s v="NÃO EXP.MAE"/>
    <s v="NÃO"/>
    <n v="0"/>
    <n v="0"/>
    <n v="0"/>
    <x v="882"/>
    <d v="2026-05-22T22:10:21"/>
    <x v="3"/>
    <s v="202602637078"/>
    <s v="9000"/>
    <s v="HMC - Hora de Manutenção Corretiva"/>
    <s v="HMC - EXEC MANUT"/>
    <s v="Mãe"/>
    <x v="4"/>
    <s v="VAZAMENTO HIDRÁULICO - SUBSTITUIR ORING DA MANGUEIRA DE SAIDA DA BOMBA DE LUBRIFICAÇÃO DO DIFERENCIAL - 202602637078"/>
    <s v="TREM DE FORCA"/>
    <s v="LUBRIFICACAO"/>
    <s v="VEDACAO"/>
    <s v="AVARIA"/>
    <s v="SUBSTITUIR"/>
    <s v="Mecânica"/>
    <s v="Transmis Forca - Diferencial"/>
    <s v="Vedacao"/>
  </r>
  <r>
    <n v="0"/>
    <m/>
    <m/>
    <m/>
    <m/>
    <m/>
    <m/>
    <m/>
    <m/>
    <m/>
    <m/>
    <m/>
    <m/>
    <n v="1"/>
    <s v="TREM DE FORÇA"/>
    <x v="3"/>
    <s v="Corretivas"/>
    <n v="0.96722222218522802"/>
    <x v="1"/>
    <s v="NÃO EXP.MAE"/>
    <s v="NÃO"/>
    <n v="0"/>
    <n v="0"/>
    <n v="0"/>
    <x v="883"/>
    <d v="2026-05-23T00:12:54"/>
    <x v="3"/>
    <s v="202602637078"/>
    <s v="9000"/>
    <s v="HMC - Hora de Manutenção Corretiva"/>
    <s v="HMC - EXEC MANUT"/>
    <s v="Mãe"/>
    <x v="4"/>
    <s v="BAIXA PRESSAO DO DIFERENCIAL - 202602637078 - COMPLETADO NIVEL DE OLEO DA BOMBA"/>
    <s v="TREM DE FORCA"/>
    <s v="DIFERENCIAL"/>
    <s v="OLEO"/>
    <s v="NIVEL"/>
    <s v="COMPLETAR"/>
    <s v="Mecânica"/>
    <s v="Transmis Forca - Diferencial"/>
    <s v="Diferencial"/>
  </r>
  <r>
    <n v="0"/>
    <m/>
    <m/>
    <m/>
    <m/>
    <m/>
    <m/>
    <m/>
    <m/>
    <m/>
    <m/>
    <m/>
    <m/>
    <n v="1"/>
    <s v="TREM DE FORÇA"/>
    <x v="3"/>
    <s v="Corretivas"/>
    <n v="1.3169444444356486"/>
    <x v="1"/>
    <s v="NÃO EXP.MAE"/>
    <s v="NÃO"/>
    <n v="0"/>
    <n v="0"/>
    <n v="0"/>
    <x v="884"/>
    <d v="2026-05-23T08:26:18"/>
    <x v="3"/>
    <s v="202602644365"/>
    <s v="9000"/>
    <s v="HMC - Hora de Manutenção Corretiva"/>
    <s v="HMC - EXEC MANUT"/>
    <s v="Mãe"/>
    <x v="4"/>
    <s v="202602644365 VAZAMENTO HIDRÁULICO - SUBS VEDAÇÃO DA MANGUEIRA DE RETORNO DO COMANDO FINAL"/>
    <s v="TREM DE FORCA"/>
    <s v="HIDRAULICO"/>
    <s v="VEDACAO"/>
    <s v="AVARIA"/>
    <s v="SUBSTITUIR"/>
    <s v="Mecânica"/>
    <s v="Direcao - Hidraulico"/>
    <s v="Mangueira"/>
  </r>
  <r>
    <n v="0"/>
    <m/>
    <m/>
    <m/>
    <m/>
    <m/>
    <m/>
    <m/>
    <m/>
    <m/>
    <m/>
    <m/>
    <m/>
    <n v="1"/>
    <s v="DIRECAO"/>
    <x v="3"/>
    <s v="Corretivas"/>
    <n v="1.1738888887921348"/>
    <x v="1"/>
    <s v="NÃO EXP.MAE"/>
    <s v="NÃO"/>
    <n v="0"/>
    <n v="0"/>
    <n v="0"/>
    <x v="885"/>
    <d v="2026-05-24T09:01:12"/>
    <x v="3"/>
    <s v="202602656186"/>
    <s v="9000"/>
    <s v="HMC - Hora de Manutenção Corretiva"/>
    <s v="HMC - EXEC MANUT"/>
    <s v="Mãe"/>
    <x v="4"/>
    <s v="202602656186 BAIXO NÍVEL DE ÓLEO DA DIREÇÃO - COMPLETADO 20 LITROS DO OLEO DA DIREÇÃO"/>
    <s v="DIRECAO"/>
    <s v="HIDRAULICO"/>
    <s v="OLEO"/>
    <s v="NIVEL"/>
    <s v="COMPLETAR"/>
    <s v="Mecânica"/>
    <s v="Direcao - Tanque Oleo"/>
    <s v="Oleo-Nivel Baixo"/>
  </r>
  <r>
    <n v="0"/>
    <m/>
    <m/>
    <m/>
    <m/>
    <m/>
    <m/>
    <m/>
    <m/>
    <m/>
    <m/>
    <m/>
    <m/>
    <n v="1"/>
    <s v="SISTEMA DE FREIO"/>
    <x v="3"/>
    <s v="Corretivas"/>
    <n v="0.19500000000698492"/>
    <x v="1"/>
    <s v="NÃO EXP.MAE"/>
    <s v="NÃO"/>
    <n v="0"/>
    <n v="0"/>
    <n v="0"/>
    <x v="886"/>
    <d v="2026-05-24T12:09:50"/>
    <x v="3"/>
    <m/>
    <s v="9000"/>
    <s v="HMC - Hora de Manutenção Corretiva"/>
    <s v="HMC - EXEC MANUT"/>
    <s v="Mãe"/>
    <x v="4"/>
    <s v="202602657027 FALHA ALTO COMANDO DA BOMBA DOS FREIOS -SUBSTITUIDO FUSIVEL DO ECM DO FREIO"/>
    <s v="FRENAGEM"/>
    <s v="FREIO"/>
    <s v="FUSIVEL"/>
    <s v="FALHA"/>
    <s v="SUBSTITUIR"/>
    <s v="Mecânica"/>
    <s v="Frenagem - Freio"/>
    <s v="Bomba"/>
  </r>
  <r>
    <n v="0"/>
    <m/>
    <m/>
    <m/>
    <m/>
    <m/>
    <m/>
    <m/>
    <m/>
    <m/>
    <m/>
    <m/>
    <m/>
    <n v="1"/>
    <s v="DIRECAO"/>
    <x v="3"/>
    <s v="Corretivas"/>
    <n v="1.5444444445311092"/>
    <x v="1"/>
    <s v="NÃO EXP.MAE"/>
    <s v="NÃO"/>
    <n v="0"/>
    <n v="0"/>
    <n v="0"/>
    <x v="887"/>
    <d v="2026-05-26T22:22:13"/>
    <x v="3"/>
    <s v="202602697781"/>
    <s v="9000"/>
    <s v="HMC - Hora de Manutenção Corretiva"/>
    <s v="HMC - EXEC MANUT"/>
    <s v="Mãe"/>
    <x v="4"/>
    <s v="BAIXO N´VEL DE ÓLEO HIDRÁULICO - COMPLETAR NÍVEL DO ÓLEO DA DIREÇÃO REALIZAR LIMPEZA NA VÁLVULA DO SOLENOIDE DESCOMPRESSOR - 202602697781"/>
    <s v="DIRECAO"/>
    <s v="HIDRAULICO"/>
    <s v="OLEO"/>
    <s v="NIVEL "/>
    <s v="COMPLETAR"/>
    <s v="Mecânica"/>
    <s v="Direcao - Tanque Oleo"/>
    <s v="Oleo-Nivel Baix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3.3333333332848269E-2"/>
    <n v="0"/>
    <n v="0"/>
    <x v="888"/>
    <d v="2026-05-26T22:22:00"/>
    <x v="3"/>
    <s v="202602697781"/>
    <s v="9000"/>
    <s v="HMC - Hora de Manutenção Corretiva"/>
    <s v="HMC - AG LUBRIFICACAO"/>
    <s v="Filha"/>
    <x v="4"/>
    <s v="DESVIO AGUARDANDO COMBOIO &gt; 30 MIN"/>
    <s v="DIRECAO"/>
    <s v="HIDRAULICO"/>
    <s v="OLEO"/>
    <s v="NIVEL "/>
    <s v="COMPLETAR"/>
    <m/>
    <m/>
    <m/>
  </r>
  <r>
    <n v="0"/>
    <m/>
    <m/>
    <m/>
    <m/>
    <m/>
    <m/>
    <m/>
    <m/>
    <m/>
    <m/>
    <m/>
    <m/>
    <n v="1"/>
    <s v="ESTRUTURA"/>
    <x v="3"/>
    <s v="Corretivas"/>
    <n v="4.2899999999790452"/>
    <x v="1"/>
    <s v="NÃO EXP.MAE"/>
    <s v="NÃO"/>
    <n v="0"/>
    <n v="0"/>
    <n v="0"/>
    <x v="889"/>
    <d v="2026-05-27T10:45:27"/>
    <x v="3"/>
    <s v="202602719163"/>
    <s v="9000"/>
    <s v="HMC - Hora de Manutenção Corretiva"/>
    <s v="HMC - EXEC MANUT"/>
    <s v="Mãe"/>
    <x v="4"/>
    <s v="PORTA NÃO ESTÁ FECHANDO (VEDAÇÃO RUIM)-SUBS VEDAÇAO DA PORTA L/E-202602719163"/>
    <s v="ESTRUTURA"/>
    <s v="CABINE"/>
    <s v="PORTA/VEDACAO"/>
    <s v="AVARIA"/>
    <s v="SUBSTITUIR"/>
    <s v="Mecânica"/>
    <s v="Estrutura - Cabine"/>
    <s v="Porta-Vedacao"/>
  </r>
  <r>
    <n v="0"/>
    <m/>
    <m/>
    <m/>
    <m/>
    <m/>
    <m/>
    <m/>
    <m/>
    <m/>
    <m/>
    <m/>
    <m/>
    <n v="1"/>
    <s v="LOCOMOÇÃO"/>
    <x v="1"/>
    <s v="Man. Pneus"/>
    <n v="0.65527777781244367"/>
    <x v="1"/>
    <s v="NÃO EXP.MAE"/>
    <s v="NÃO"/>
    <n v="0"/>
    <n v="0"/>
    <n v="0"/>
    <x v="890"/>
    <d v="2026-05-27T15:47:53"/>
    <x v="3"/>
    <m/>
    <s v="8010"/>
    <s v="MPNS - Hora Manutenção Preventiva não Sistemática"/>
    <s v="MPNS - EXEC BORRACHARIA"/>
    <s v="Mãe"/>
    <x v="4"/>
    <s v="MACHINE GEN Started a delay: MPNS - Exec borracharia"/>
    <s v="LOCOMOCAO"/>
    <s v="LOCOMOCAO"/>
    <s v="LOCOMOCAO"/>
    <s v="LOCOMOCAO"/>
    <s v="LOCOMOCAO"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1.8942988426715601E-2"/>
    <n v="0"/>
    <n v="0"/>
    <x v="891"/>
    <d v="2026-05-27T15:47:53"/>
    <x v="3"/>
    <m/>
    <s v="8010"/>
    <s v="MPNS - Hora Manutenção Preventiva não Sistemática"/>
    <s v="MPNS - EXEC BORRACHARIA"/>
    <s v="Filha"/>
    <x v="4"/>
    <s v="MACHINE GEN Started a delay: MPNS - Exec borracharia"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LOCOMOÇÃO"/>
    <x v="0"/>
    <s v="Acidente operacional"/>
    <n v="0.39222222223179415"/>
    <x v="0"/>
    <s v="EXP.MAE"/>
    <s v="NÃO"/>
    <n v="0"/>
    <n v="0"/>
    <n v="0"/>
    <x v="892"/>
    <d v="2026-05-29T08:24:07"/>
    <x v="3"/>
    <m/>
    <s v="1090"/>
    <s v="HAC - Hora Acidente"/>
    <s v="HAC - EXEC MANUT ACIDENTE"/>
    <s v="Mãe"/>
    <x v="4"/>
    <s v="202602759480- SUBSTITUIDO DE PNEU DEVIDO BLOCO"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LOCOMOÇÃO"/>
    <x v="0"/>
    <s v="Acidente operacional"/>
    <n v="8.8816666665952653"/>
    <x v="0"/>
    <s v="EXP.MAE"/>
    <s v="NÃO"/>
    <n v="0"/>
    <n v="0"/>
    <n v="0"/>
    <x v="893"/>
    <d v="2026-05-29T17:39:12"/>
    <x v="3"/>
    <m/>
    <s v="1090"/>
    <s v="HAC - Hora Acidente"/>
    <s v="HAC - EXEC MANUT ACIDENTE"/>
    <s v="Mãe"/>
    <x v="4"/>
    <s v="202602760458 -,BLOCO PRESO NO PNEU - SUBSTITUIDO PNEU TEI"/>
    <s v="LOCOMOCAO"/>
    <s v="RODA TEI"/>
    <s v="PNEU"/>
    <s v="AVARIA"/>
    <s v="SUBSTITUIR"/>
    <m/>
    <m/>
    <m/>
  </r>
  <r>
    <n v="0"/>
    <m/>
    <m/>
    <m/>
    <m/>
    <m/>
    <m/>
    <m/>
    <m/>
    <m/>
    <m/>
    <m/>
    <m/>
    <n v="1"/>
    <s v="DIRECAO"/>
    <x v="3"/>
    <s v="Corretivas"/>
    <n v="2.3194444444379769"/>
    <x v="1"/>
    <s v="NÃO EXP.MAE"/>
    <s v="NÃO"/>
    <n v="0"/>
    <n v="0"/>
    <n v="0"/>
    <x v="894"/>
    <d v="2026-05-30T07:55:32"/>
    <x v="3"/>
    <s v="202602772452"/>
    <s v="9000"/>
    <s v="HMC - Hora de Manutenção Corretiva"/>
    <s v="HMC - EXEC MANUT"/>
    <s v="Mãe"/>
    <x v="4"/>
    <s v="202602772452 - BAIXO NIVEL DE OLEO HIDRAULICO - COMPLETADO NIVEL DE OLEO"/>
    <s v="DIRECAO"/>
    <s v="LUBRIFICACAO"/>
    <s v="OLEO"/>
    <s v="BAIXI NIVEL"/>
    <s v="COMPLETAR"/>
    <s v="Mecânica"/>
    <s v="Direcao - Tanque Oleo"/>
    <s v="Oleo-Nivel Baixo"/>
  </r>
  <r>
    <n v="0"/>
    <m/>
    <m/>
    <m/>
    <m/>
    <m/>
    <m/>
    <m/>
    <m/>
    <m/>
    <m/>
    <m/>
    <m/>
    <n v="1"/>
    <s v="LOCOMOÇÃO"/>
    <x v="1"/>
    <s v="Man. Pneus"/>
    <n v="0.59305555553874001"/>
    <x v="1"/>
    <s v="NÃO EXP.MAE"/>
    <s v="NÃO"/>
    <n v="0"/>
    <n v="0"/>
    <n v="0"/>
    <x v="895"/>
    <d v="2026-05-30T08:38:53"/>
    <x v="3"/>
    <m/>
    <s v="8010"/>
    <s v="MPNS - Hora Manutenção Preventiva não Sistemática"/>
    <s v="MPNS - EXEC BORRACHARIA"/>
    <s v="Mãe"/>
    <x v="4"/>
    <s v="INSPEÇÃO NA RODA"/>
    <s v="LOCOMOCAO"/>
    <s v="LOCOMOCAO"/>
    <s v="LOCOMOCAO"/>
    <s v="LOCOMOCAO"/>
    <s v="LOCOMOCAO"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1.7144247685791925E-2"/>
    <n v="0"/>
    <n v="0"/>
    <x v="896"/>
    <d v="2026-05-30T08:38:53"/>
    <x v="3"/>
    <m/>
    <s v="8010"/>
    <s v="MPNS - Hora Manutenção Preventiva não Sistemática"/>
    <s v="MPNS - EXEC BORRACHARIA"/>
    <s v="Filha"/>
    <x v="4"/>
    <s v="INSPEÇÃO NA RODA"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SISTEMA DE FREIO"/>
    <x v="3"/>
    <s v="Corretivas"/>
    <n v="2.432500000053551"/>
    <x v="1"/>
    <s v="NÃO EXP.MAE"/>
    <s v="NÃO"/>
    <n v="0"/>
    <n v="0"/>
    <n v="0"/>
    <x v="897"/>
    <d v="2026-05-30T14:09:29"/>
    <x v="3"/>
    <s v="202602772452"/>
    <s v="9000"/>
    <s v="HMC - Hora de Manutenção Corretiva"/>
    <s v="HMC - EXEC MANUT"/>
    <s v="Mãe"/>
    <x v="4"/>
    <s v="202602772452 ALTO COMANDO DA BOMBA DOS  FREIOS - NAO HOUVE ATUAÇÃO"/>
    <s v="FRENAGEM"/>
    <s v="FREIO"/>
    <s v="BOMBA"/>
    <s v="NAO IDENTIFICADO "/>
    <m/>
    <s v="Mecânica"/>
    <s v="Frenagem - Bomba"/>
    <s v="Vedacao"/>
  </r>
  <r>
    <n v="0"/>
    <m/>
    <m/>
    <m/>
    <m/>
    <m/>
    <m/>
    <m/>
    <m/>
    <m/>
    <m/>
    <m/>
    <m/>
    <n v="1"/>
    <s v="SISTEMA DE FREIO"/>
    <x v="3"/>
    <s v="Corretivas"/>
    <n v="1.9125000000349246"/>
    <x v="1"/>
    <s v="NÃO EXP.MAE"/>
    <s v="NÃO"/>
    <n v="0"/>
    <n v="0"/>
    <n v="0"/>
    <x v="898"/>
    <d v="2026-05-31T10:07:06"/>
    <x v="3"/>
    <s v="202602785535"/>
    <s v="9000"/>
    <s v="HMC - Hora de Manutenção Corretiva"/>
    <s v="HMC - EXEC MANUT"/>
    <s v="Mãe"/>
    <x v="4"/>
    <s v="202602785535- ALARME DE COMANDO DE FREIO- REALIZADO AJUSTE NA PRESSÃO DA BOMBA QUE ESTAVA BAIXA."/>
    <s v="FRENAGEM"/>
    <s v="FREIO"/>
    <s v="BOMBA"/>
    <s v="PRESSAO"/>
    <s v="CALIBRAR"/>
    <s v="Mecânica"/>
    <s v="Frenagem - Freio"/>
    <s v="Bomba"/>
  </r>
  <r>
    <n v="0"/>
    <m/>
    <m/>
    <m/>
    <m/>
    <m/>
    <m/>
    <m/>
    <m/>
    <m/>
    <m/>
    <m/>
    <m/>
    <n v="1"/>
    <s v="ESTRUTURA"/>
    <x v="3"/>
    <s v="Corretivas"/>
    <n v="3.8422222221270204"/>
    <x v="1"/>
    <s v="NÃO EXP.MAE"/>
    <s v="NÃO"/>
    <n v="0"/>
    <n v="0"/>
    <n v="0"/>
    <x v="899"/>
    <d v="2026-05-31T20:35:23"/>
    <x v="3"/>
    <m/>
    <s v="9000"/>
    <s v="HMC - Hora de Manutenção Corretiva"/>
    <s v="HMC - EXEC MANUT"/>
    <s v="Mãe"/>
    <x v="4"/>
    <s v="202602787745- FALHA NO VIDRO DA PORTA DO OPERADOR.  - REALIZADO  AJUSTE NO VIDRO DA PORTA DO OPERADOR MT: 1150588"/>
    <s v="ESTRUTURA"/>
    <s v="CABINE"/>
    <s v="VIDRO DA PORTA"/>
    <s v="POSICAO"/>
    <s v="REPOSCIONAR"/>
    <m/>
    <m/>
    <m/>
  </r>
  <r>
    <n v="0"/>
    <m/>
    <m/>
    <m/>
    <m/>
    <m/>
    <m/>
    <m/>
    <m/>
    <m/>
    <m/>
    <m/>
    <m/>
    <n v="1"/>
    <s v="REVISÃO PREVENTIVA"/>
    <x v="4"/>
    <s v="Preventivas"/>
    <n v="0.28444444458000362"/>
    <x v="0"/>
    <s v="EXP.MAE"/>
    <s v="NÃO"/>
    <n v="0"/>
    <n v="0"/>
    <n v="0"/>
    <x v="900"/>
    <d v="2026-06-02T03:36:57"/>
    <x v="3"/>
    <m/>
    <s v="7116"/>
    <s v="MPS - Hora Manutenção Preventiva Sistemática"/>
    <s v="MPS - AG LOCOMOCAO"/>
    <s v="Mãe"/>
    <x v="5"/>
    <s v="PM 2000h + 38BLs"/>
    <s v="PREVENTIVA"/>
    <s v="20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1.752777777670417"/>
    <x v="1"/>
    <s v="NÃO EXP.MAE"/>
    <s v="NÃO"/>
    <n v="0"/>
    <n v="0"/>
    <n v="0"/>
    <x v="901"/>
    <d v="2026-06-02T05:22:07"/>
    <x v="3"/>
    <m/>
    <s v="7000"/>
    <s v="MPS - Hora Manutenção Preventiva Sistemática"/>
    <s v="MPS - EXEC MANUT"/>
    <s v="Mãe"/>
    <x v="5"/>
    <s v="PM 2000h + 38BLs"/>
    <s v="PREVENTIVA"/>
    <s v="20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5.7694444445078261"/>
    <x v="1"/>
    <s v="NÃO EXP.MAE"/>
    <s v="NÃO"/>
    <n v="0"/>
    <n v="0"/>
    <n v="0"/>
    <x v="902"/>
    <d v="2026-06-02T11:08:17"/>
    <x v="3"/>
    <m/>
    <s v="7011"/>
    <s v="MPS - Hora Manutenção Preventiva Sistemática"/>
    <s v="MPS - EXEC LAVADOR"/>
    <s v="Mãe"/>
    <x v="5"/>
    <s v="PM 2000h + 38BLs"/>
    <s v="PREVENTIVA"/>
    <s v="2000 HORAS"/>
    <m/>
    <m/>
    <m/>
    <m/>
    <m/>
    <m/>
  </r>
  <r>
    <n v="0"/>
    <m/>
    <m/>
    <m/>
    <m/>
    <m/>
    <m/>
    <m/>
    <m/>
    <m/>
    <m/>
    <m/>
    <s v="SIM"/>
    <s v=""/>
    <s v=""/>
    <x v="2"/>
    <s v=""/>
    <s v=""/>
    <x v="2"/>
    <s v="NÃO EXP.MAE"/>
    <s v="SIM"/>
    <n v="7.3726851849642117E-2"/>
    <n v="0"/>
    <n v="0"/>
    <x v="903"/>
    <d v="2026-06-02T11:08:17"/>
    <x v="3"/>
    <m/>
    <s v="7011"/>
    <s v="MPS - Hora Manutenção Preventiva Sistemática"/>
    <s v="MPS - EXEC LAVADOR"/>
    <s v="Filha"/>
    <x v="5"/>
    <s v="DESVIO EXEC LAVADOR &gt; 4H"/>
    <s v="PREVENTIVA"/>
    <s v="20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25.783611111051869"/>
    <x v="1"/>
    <s v="NÃO EXP.MAE"/>
    <s v="NÃO"/>
    <n v="0"/>
    <n v="0"/>
    <n v="0"/>
    <x v="904"/>
    <d v="2026-06-03T12:55:18"/>
    <x v="3"/>
    <m/>
    <s v="7000"/>
    <s v="MPS - Hora Manutenção Preventiva Sistemática"/>
    <s v="MPS - EXEC MANUT"/>
    <s v="Mãe"/>
    <x v="5"/>
    <s v="PM 2000h + 38BLs"/>
    <s v="PREVENTIVA"/>
    <s v="2000 HORAS"/>
    <m/>
    <m/>
    <m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0.18611111111385981"/>
    <n v="0"/>
    <n v="0"/>
    <x v="905"/>
    <d v="2026-06-03T08:28:00"/>
    <x v="3"/>
    <n v="202602798500"/>
    <s v="7000"/>
    <s v="MPS - Hora Manutenção Preventiva Sistemática"/>
    <s v="MPS - AG LUBRIFICACAO"/>
    <s v="Filha"/>
    <x v="5"/>
    <s v="DESVIO AGUARDANDO COMBOIO &gt; 30MIN, ACIONADO AS 03:30, E AS 07:00 2 FICHAS"/>
    <s v="PREVENTIVA"/>
    <s v="2000 HORAS"/>
    <m/>
    <m/>
    <m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SIM"/>
    <n v="4.1666666671517305E-2"/>
    <n v="0"/>
    <n v="0"/>
    <x v="906"/>
    <d v="2026-06-03T12:30:00"/>
    <x v="3"/>
    <n v="202602798500"/>
    <s v="7000"/>
    <s v="MPS - Hora Manutenção Preventiva Sistemática"/>
    <s v="MPS - AG LUBRIFICACAO"/>
    <s v="Filha"/>
    <x v="5"/>
    <s v="DESVIO AGUARDANDO COMBOIO &gt; 30MIN, COMBOIO ACIONADO AS 11:00"/>
    <s v="PREVENTIVA"/>
    <s v="2000 HORAS"/>
    <m/>
    <m/>
    <m/>
    <m/>
    <m/>
    <m/>
  </r>
  <r>
    <n v="0"/>
    <m/>
    <m/>
    <m/>
    <m/>
    <m/>
    <m/>
    <m/>
    <m/>
    <m/>
    <m/>
    <m/>
    <m/>
    <n v="1"/>
    <s v="ELETRICO"/>
    <x v="3"/>
    <s v="Corretivas"/>
    <n v="1.3216666665393859"/>
    <x v="1"/>
    <s v="NÃO EXP.MAE"/>
    <s v="NÃO"/>
    <n v="0"/>
    <n v="0"/>
    <n v="0"/>
    <x v="907"/>
    <d v="2026-06-03T23:20:57"/>
    <x v="3"/>
    <s v="202602861852"/>
    <s v="9000"/>
    <s v="HMC - Hora de Manutenção Corretiva"/>
    <s v="HMC - EXEC MANUT"/>
    <s v="Mãe"/>
    <x v="5"/>
    <s v="CILINDRO , BAIXO RENDIMENTO - CORRIGIR FALHA ELÉTRICA NO INJETOR DE COMBUSTÍVEL DO CILINDRO 12 - 202602861852"/>
    <s v="ELETRICO"/>
    <s v="COMBUSTIVEL"/>
    <s v="INJETOR"/>
    <s v="FALHA"/>
    <s v="CORRIGIR"/>
    <s v="Elétrica"/>
    <s v="Abastecimento - Acionamento"/>
    <s v="Motor Eletrico"/>
  </r>
  <r>
    <n v="0"/>
    <m/>
    <m/>
    <m/>
    <m/>
    <m/>
    <m/>
    <m/>
    <m/>
    <m/>
    <m/>
    <m/>
    <m/>
    <n v="1"/>
    <s v="AR CONDICIONADO"/>
    <x v="3"/>
    <s v="Corretivas"/>
    <n v="6.9869444444775581"/>
    <x v="1"/>
    <s v="NÃO EXP.MAE"/>
    <s v="NÃO"/>
    <n v="0"/>
    <n v="0"/>
    <n v="0"/>
    <x v="908"/>
    <d v="2026-06-07T12:13:11"/>
    <x v="3"/>
    <s v="202602910326"/>
    <s v="9000"/>
    <s v="HMC - Hora de Manutenção Corretiva"/>
    <s v="HMC - EXEC MANUT"/>
    <s v="Mãe"/>
    <x v="5"/>
    <s v="FALHA NO AR CONDICIONADO - COMPLETADO CARGA DE GÁS DO AR CONDICIONADO  -202602910326"/>
    <s v="AR CONDICIONADO"/>
    <s v="COMPRESSOR"/>
    <s v="GAS"/>
    <s v="FALTA"/>
    <s v="COMPLETAR"/>
    <s v="Mecânica"/>
    <s v="Ar Condicionado - Compressor"/>
    <s v="Gas"/>
  </r>
  <r>
    <n v="0"/>
    <m/>
    <m/>
    <m/>
    <m/>
    <m/>
    <m/>
    <m/>
    <m/>
    <m/>
    <m/>
    <m/>
    <m/>
    <n v="1"/>
    <s v="LOCOMOÇÃO"/>
    <x v="4"/>
    <s v="Man. Pneus"/>
    <n v="1.9880555556155741"/>
    <x v="1"/>
    <s v="NÃO EXP.MAE"/>
    <s v="NÃO"/>
    <n v="0"/>
    <n v="0"/>
    <n v="0"/>
    <x v="909"/>
    <d v="2026-06-13T14:52:55"/>
    <x v="3"/>
    <m/>
    <s v="7010"/>
    <s v="MPS - Hora Manutenção Preventiva Sistemática"/>
    <s v="MPS - EXEC BORRACHARIA"/>
    <s v="Mãe"/>
    <x v="5"/>
    <s v="MACHINE GEN Started a delay: MPS - Exec borracharia"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DIRECAO"/>
    <x v="3"/>
    <s v="Corretivas"/>
    <n v="3.06111111107748"/>
    <x v="1"/>
    <s v="NÃO EXP.MAE"/>
    <s v="NÃO"/>
    <n v="0"/>
    <n v="0"/>
    <n v="0"/>
    <x v="910"/>
    <d v="2026-06-15T07:49:48"/>
    <x v="3"/>
    <s v="202603056653"/>
    <s v="9000"/>
    <s v="HMC - Hora de Manutenção Corretiva"/>
    <s v="HMC - EXEC MANUT"/>
    <s v="Mãe"/>
    <x v="5"/>
    <s v="ALARME NIVEL 3 BAIXO NIVEL DE ÓLEO DA DIREÇÃO -REALIZADO APERTO NO FILTRO DA DIREÇAO E COMPLETADO 41 LITROS DE OEO DA DIREÇAO -202603056653"/>
    <s v="DIRECAO"/>
    <s v="LUBRIFICACAO"/>
    <s v="OLEO"/>
    <s v="BAIXO NIVEL"/>
    <s v="COMPLETAR"/>
    <s v="Mecânica"/>
    <s v="Direcao - Barra Direcao"/>
    <s v="Vedação;Fixação"/>
  </r>
  <r>
    <n v="0"/>
    <m/>
    <m/>
    <m/>
    <m/>
    <m/>
    <m/>
    <m/>
    <m/>
    <m/>
    <m/>
    <m/>
    <m/>
    <s v=""/>
    <s v=""/>
    <x v="2"/>
    <s v=""/>
    <s v=""/>
    <x v="2"/>
    <s v="NÃO EXP.MAE"/>
    <s v="SIM"/>
    <n v="9.3055555553291924E-2"/>
    <n v="0"/>
    <n v="0"/>
    <x v="911"/>
    <d v="2026-06-15T07:30:00"/>
    <x v="3"/>
    <n v="202603056653"/>
    <s v="9000"/>
    <s v="HMC - Hora de Manutenção Corretiva"/>
    <s v="HMC - AG LUBRIFICACAO"/>
    <s v="Filha"/>
    <x v="5"/>
    <s v="DESVIO AGUARDANDO COMBOIO &gt; 30MIN, COMBOIO ACIONADO AS 04:46"/>
    <s v="DIRECAO"/>
    <s v="LUBRIFICACAO"/>
    <s v="OLEO"/>
    <s v="BAIXO NIVEL"/>
    <s v="COMPLETAR"/>
    <m/>
    <m/>
    <m/>
  </r>
  <r>
    <n v="0"/>
    <m/>
    <m/>
    <m/>
    <m/>
    <m/>
    <m/>
    <m/>
    <m/>
    <m/>
    <m/>
    <m/>
    <m/>
    <n v="1"/>
    <s v="DIRECAO"/>
    <x v="1"/>
    <s v="Reparo Programado"/>
    <n v="2.5000000605359674E-3"/>
    <x v="1"/>
    <s v="NÃO EXP.MAE"/>
    <s v="NÃO"/>
    <n v="0"/>
    <n v="0"/>
    <n v="0"/>
    <x v="912"/>
    <d v="2026-06-16T19:06:53"/>
    <x v="3"/>
    <m/>
    <s v="8001"/>
    <s v="MPNS - Hora Manutenção Preventiva não Sistemática"/>
    <s v="MPNS - EXEC MECANICA"/>
    <s v="Mãe"/>
    <x v="5"/>
    <s v="COMPLETAR O OLEO DA DIREÇÃO"/>
    <s v="DIRECAO"/>
    <s v="LUBRIFICACAO"/>
    <s v="OLEO"/>
    <s v="BAIXO NIVEL"/>
    <s v="COMPLETAR"/>
    <m/>
    <m/>
    <m/>
  </r>
  <r>
    <n v="0"/>
    <m/>
    <m/>
    <m/>
    <m/>
    <m/>
    <m/>
    <m/>
    <m/>
    <m/>
    <m/>
    <m/>
    <m/>
    <n v="0"/>
    <s v="DIRECAO"/>
    <x v="1"/>
    <s v="Reparo Programado"/>
    <n v="0.71388888882938772"/>
    <x v="1"/>
    <s v="NÃO EXP.MAE"/>
    <s v="NÃO"/>
    <n v="0"/>
    <n v="0"/>
    <n v="0"/>
    <x v="913"/>
    <d v="2026-06-16T19:49:43"/>
    <x v="3"/>
    <m/>
    <s v="8001"/>
    <s v="MPNS - Hora Manutenção Preventiva não Sistemática"/>
    <s v="MPNS - EXEC MECANICA"/>
    <s v="Mãe"/>
    <x v="5"/>
    <s v="COMPLETAR NÍVEL DE ÓLEO DA DIREÇÃO"/>
    <s v="DIRECAO"/>
    <s v="LUBRIFICACAO"/>
    <s v="OLEO"/>
    <s v="BAIXO NIVEL"/>
    <s v="COMPLETAR"/>
    <m/>
    <m/>
    <m/>
  </r>
  <r>
    <n v="0"/>
    <m/>
    <m/>
    <m/>
    <m/>
    <m/>
    <m/>
    <m/>
    <m/>
    <m/>
    <m/>
    <m/>
    <m/>
    <n v="1"/>
    <s v="DIRECAO"/>
    <x v="3"/>
    <s v="Corretivas"/>
    <n v="0.55611111101461574"/>
    <x v="1"/>
    <s v="NÃO EXP.MAE"/>
    <s v="NÃO"/>
    <n v="0"/>
    <n v="0"/>
    <n v="0"/>
    <x v="914"/>
    <d v="2026-06-17T05:02:02"/>
    <x v="3"/>
    <s v="202603112545"/>
    <s v="9000"/>
    <s v="HMC - Hora de Manutenção Corretiva"/>
    <s v="HMC - EXEC MANUT"/>
    <s v="Mãe"/>
    <x v="5"/>
    <s v="BAIXO NÍVEL DE ÓLEO DA DIREÇÃO - COMPLETADO 30 L DE ÓLEO DA DIREÇÃO 202603112545"/>
    <s v="DIRECAO"/>
    <s v="LUBRIFICACAO"/>
    <s v="OLEO"/>
    <s v="BAIXO NIVEL"/>
    <s v="COMPLETAR"/>
    <s v="Mecânica"/>
    <s v="Direcao - Tanque Oleo"/>
    <s v="Oleo-Nivel Baixo"/>
  </r>
  <r>
    <n v="0"/>
    <m/>
    <m/>
    <m/>
    <m/>
    <m/>
    <m/>
    <m/>
    <m/>
    <m/>
    <m/>
    <m/>
    <m/>
    <n v="1"/>
    <s v="DIRECAO"/>
    <x v="3"/>
    <s v="Corretivas"/>
    <n v="1.4880555555573665"/>
    <x v="1"/>
    <s v="NÃO EXP.MAE"/>
    <s v="NÃO"/>
    <n v="0"/>
    <n v="0"/>
    <n v="0"/>
    <x v="915"/>
    <d v="2026-06-17T14:08:33"/>
    <x v="3"/>
    <s v="202603124235"/>
    <s v="9000"/>
    <s v="HMC - Hora de Manutenção Corretiva"/>
    <s v="HMC - EXEC MANUT"/>
    <s v="Mãe"/>
    <x v="5"/>
    <s v="202603124235 - BAIXO NÍVEL DE ÓLEO DA DIREÇÃO (VAZAMENTO DE ÓLEO) COMPLETADO 50 LITROS NIVEL DO OLEO DA DIREÇÃO"/>
    <s v="DIRECAO"/>
    <s v="LUBRIFICACAO"/>
    <s v="OLEO"/>
    <s v="BAIXO NIVEL"/>
    <s v="COMPLETAR"/>
    <s v="Mecânica"/>
    <s v="Direcao - Tanque Oleo"/>
    <s v="Oleo-Nivel Baixo"/>
  </r>
  <r>
    <n v="0"/>
    <m/>
    <m/>
    <m/>
    <m/>
    <m/>
    <m/>
    <m/>
    <m/>
    <m/>
    <m/>
    <m/>
    <m/>
    <n v="1"/>
    <s v="DIRECAO"/>
    <x v="3"/>
    <s v="Corretivas"/>
    <n v="5.4555555555853061"/>
    <x v="1"/>
    <s v="NÃO EXP.MAE"/>
    <s v="NÃO"/>
    <n v="0"/>
    <n v="0"/>
    <n v="0"/>
    <x v="916"/>
    <d v="2026-06-18T00:22:50"/>
    <x v="3"/>
    <s v="202603129377"/>
    <s v="9000"/>
    <s v="HMC - Hora de Manutenção Corretiva"/>
    <s v="HMC - EXEC MANUT"/>
    <s v="Mãe"/>
    <x v="5"/>
    <s v="BAIXO NÍVEL DE ÓLEO DA DIREÇÃO /VAZAMENTO HIDRAULICO  -202603129377   SUBSTITUIDO MANGUEIRA DIR LE MT:1150588"/>
    <s v="DIRECAO"/>
    <s v="LUBRIFICACAO"/>
    <s v="MANGUEIRA"/>
    <s v="AVARIA"/>
    <s v="SUBSTITUIR"/>
    <s v="Mecânica"/>
    <s v="Direcao - Unidade Hidraulica"/>
    <s v="Mangueira"/>
  </r>
  <r>
    <n v="0"/>
    <m/>
    <m/>
    <m/>
    <m/>
    <m/>
    <m/>
    <m/>
    <m/>
    <m/>
    <m/>
    <m/>
    <m/>
    <n v="1"/>
    <s v="REVISÃO PREVENTIVA"/>
    <x v="4"/>
    <s v="Preventivas"/>
    <n v="0.64722222212003544"/>
    <x v="0"/>
    <s v="EXP.MAE"/>
    <s v="NÃO"/>
    <n v="0"/>
    <n v="0"/>
    <n v="0"/>
    <x v="917"/>
    <d v="2026-06-20T08:41:42"/>
    <x v="3"/>
    <m/>
    <s v="7116"/>
    <s v="MPS - Hora Manutenção Preventiva Sistemática"/>
    <s v="MPS - AG LOCOMOCAO"/>
    <s v="Mãe"/>
    <x v="5"/>
    <s v="PM 250h + 3 BLs"/>
    <s v="PREVENTIVA"/>
    <s v="PITSTOP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4.6955555556924082"/>
    <x v="1"/>
    <s v="NÃO EXP.MAE"/>
    <s v="NÃO"/>
    <n v="0"/>
    <n v="0"/>
    <n v="0"/>
    <x v="918"/>
    <d v="2026-06-20T13:23:26"/>
    <x v="3"/>
    <m/>
    <s v="7000"/>
    <s v="MPS - Hora Manutenção Preventiva Sistemática"/>
    <s v="MPS - EXEC MANUT"/>
    <s v="Mãe"/>
    <x v="5"/>
    <s v="PM 250h + 3 BLs"/>
    <s v="PREVENTIVA"/>
    <s v="PITSTOP"/>
    <m/>
    <m/>
    <m/>
    <m/>
    <m/>
    <m/>
  </r>
  <r>
    <n v="0"/>
    <m/>
    <m/>
    <m/>
    <m/>
    <m/>
    <m/>
    <m/>
    <m/>
    <m/>
    <m/>
    <m/>
    <m/>
    <n v="1"/>
    <s v="COMUNICACAO"/>
    <x v="3"/>
    <s v="Acessórios"/>
    <n v="2.3275000001303852"/>
    <x v="0"/>
    <s v="EXP.MAE"/>
    <s v="NÃO"/>
    <n v="0"/>
    <n v="0"/>
    <n v="0"/>
    <x v="919"/>
    <d v="2026-06-21T05:29:24"/>
    <x v="3"/>
    <s v="202603180647"/>
    <s v="9032"/>
    <s v="HMC - Hora de Manutenção Corretiva"/>
    <s v="HMC - EXEC TERCEIROS TRABALHANDO"/>
    <s v="Mãe"/>
    <x v="5"/>
    <s v="FALHA NO GPS - REALIZAR TROCA DO CABO GPS - 202603180647"/>
    <s v="COMUNICACAO"/>
    <s v="GPS"/>
    <s v="CABO/FIACAO"/>
    <s v="AVARIA"/>
    <s v="SUBSTITUIR"/>
    <s v="Elétrica"/>
    <s v="Comunicacao - Despacho"/>
    <s v="Cabo-Isolacao"/>
  </r>
  <r>
    <n v="0"/>
    <m/>
    <m/>
    <m/>
    <m/>
    <m/>
    <m/>
    <m/>
    <m/>
    <m/>
    <m/>
    <m/>
    <m/>
    <n v="1"/>
    <s v="MOTOR DE COMBUSTÃO"/>
    <x v="3"/>
    <s v="Corretivas"/>
    <n v="11.355555555608589"/>
    <x v="1"/>
    <s v="NÃO EXP.MAE"/>
    <s v="NÃO"/>
    <n v="0"/>
    <n v="0"/>
    <n v="0"/>
    <x v="920"/>
    <d v="2026-06-22T02:45:58"/>
    <x v="3"/>
    <s v="202603188651"/>
    <s v="9000"/>
    <s v="HMC - Hora de Manutenção Corretiva"/>
    <s v="HMC - EXEC MANUT"/>
    <s v="Mãe"/>
    <x v="5"/>
    <s v="VAZAMENTO HIDRAÚLICO- 202603188651 - CORRIGIR VAZAMENTO DO  MANIFOLD DOS FILTRO DE  COMBUSTIVEL"/>
    <s v="MOTOR DE COMBUSTAO"/>
    <s v="COMBUSTIVEL"/>
    <s v="FILTRO SECUNDARIO"/>
    <s v="VAZAMENTO"/>
    <s v="CORRIGIR"/>
    <s v="Mecânica"/>
    <s v="Motor Combustao - Combustivel"/>
    <s v="Filtro Secundario"/>
  </r>
  <r>
    <n v="0"/>
    <m/>
    <m/>
    <m/>
    <m/>
    <m/>
    <m/>
    <m/>
    <m/>
    <m/>
    <m/>
    <m/>
    <m/>
    <n v="1"/>
    <s v="INSPEÇÃO SENSITIVA"/>
    <x v="4"/>
    <s v="Inspeção"/>
    <n v="1.5936111111659557"/>
    <x v="1"/>
    <s v="NÃO EXP.MAE"/>
    <s v="NÃO"/>
    <n v="0"/>
    <n v="0"/>
    <n v="0"/>
    <x v="921"/>
    <d v="2026-06-23T12:59:46"/>
    <x v="3"/>
    <m/>
    <s v="7005"/>
    <s v="MPS - Hora Manutenção Preventiva Sistemática"/>
    <s v="MPS-EXEC INSP MECANICA"/>
    <s v="Mãe"/>
    <x v="5"/>
    <m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LOCOMOÇÃO"/>
    <x v="1"/>
    <s v="Man. Pneus"/>
    <n v="1.2127777778659947"/>
    <x v="1"/>
    <s v="NÃO EXP.MAE"/>
    <s v="NÃO"/>
    <n v="0"/>
    <n v="0"/>
    <n v="0"/>
    <x v="922"/>
    <d v="2026-06-26T04:50:29"/>
    <x v="3"/>
    <m/>
    <s v="8010"/>
    <s v="MPNS - Hora Manutenção Preventiva não Sistemática"/>
    <s v="MPNS - EXEC BORRACHARIA"/>
    <s v="Mãe"/>
    <x v="5"/>
    <s v="MACHINE GEN Started a delay: MPNS - Exec borracharia"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SUSPENSÃO"/>
    <x v="3"/>
    <s v="Corretivas"/>
    <n v="7.0061111110844649"/>
    <x v="1"/>
    <s v="NÃO EXP.MAE"/>
    <s v="NÃO"/>
    <n v="0"/>
    <n v="0"/>
    <n v="0"/>
    <x v="923"/>
    <d v="2026-07-02T15:50:49"/>
    <x v="3"/>
    <s v="202603394086"/>
    <s v="9000"/>
    <s v="HMC - Hora de Manutenção Corretiva"/>
    <s v="HMC - EXEC MANUT"/>
    <s v="Mãe"/>
    <x v="6"/>
    <s v="FALHA NA BALANÇA- CALIBRADO A SUSPENSSÃO TRASEIRA - 202603394086"/>
    <s v="SUSPENSAO"/>
    <s v="BALANCA"/>
    <s v="BALANCA"/>
    <s v="DESCALIBRADO"/>
    <s v="CALIBRAR"/>
    <s v="Mecânica"/>
    <s v="Suspensao - Balanca"/>
    <s v="Balanca do Eixo"/>
  </r>
  <r>
    <n v="0"/>
    <m/>
    <m/>
    <m/>
    <m/>
    <m/>
    <m/>
    <m/>
    <m/>
    <m/>
    <m/>
    <m/>
    <m/>
    <n v="1"/>
    <s v="TREM DE FORÇA"/>
    <x v="3"/>
    <s v="Corretivas"/>
    <n v="1.8619444443611428"/>
    <x v="1"/>
    <s v="NÃO EXP.MAE"/>
    <s v="NÃO"/>
    <n v="0"/>
    <n v="0"/>
    <n v="0"/>
    <x v="924"/>
    <d v="2026-07-03T20:43:48"/>
    <x v="3"/>
    <s v="202603417992"/>
    <s v="9000"/>
    <s v="HMC - Hora de Manutenção Corretiva"/>
    <s v="HMC - EXEC MANUT"/>
    <s v="Mãe"/>
    <x v="6"/>
    <s v="BAIXO NIVEL DE OLEO DA TRANSMISSÃO - REALIZAR COMPLEMENTO DO OLEO DA TRANSMISSÃO - 202603417992"/>
    <s v="TREM DE FORCA"/>
    <s v="TRANSMISSAO"/>
    <s v="OLEO"/>
    <s v="BAIXO NIVEL"/>
    <s v="COMPLETAR"/>
    <s v="Mecânica"/>
    <s v="Transmis Forca - Tanque"/>
    <s v="Oleo-Nivel Baixo"/>
  </r>
  <r>
    <n v="0"/>
    <m/>
    <m/>
    <m/>
    <m/>
    <m/>
    <m/>
    <m/>
    <m/>
    <m/>
    <m/>
    <m/>
    <m/>
    <n v="1"/>
    <s v="ESTRUTURA"/>
    <x v="3"/>
    <s v="Corretivas"/>
    <n v="0.16000000003259629"/>
    <x v="1"/>
    <s v="NÃO EXP.MAE"/>
    <s v="NÃO"/>
    <n v="0"/>
    <n v="0"/>
    <n v="0"/>
    <x v="925"/>
    <d v="2026-07-05T15:58:01"/>
    <x v="3"/>
    <m/>
    <s v="9000"/>
    <s v="HMC - Hora de Manutenção Corretiva"/>
    <s v="HMC - EXEC MANUT"/>
    <s v="Mãe"/>
    <x v="6"/>
    <s v="202603417992 FALHA NO ACIONAMENTO DA PORTA DO LADO DIREITO- SUB SUITE ACIONAMENTO DO VIDRO PORTA LADO ESQUERDO."/>
    <s v="ESTRUTURA"/>
    <s v="CABINE"/>
    <s v="SWITCH DE ACIONAMENTO"/>
    <s v="FALHA"/>
    <s v="SUBSTITUIR"/>
    <m/>
    <m/>
    <m/>
  </r>
  <r>
    <n v="0"/>
    <m/>
    <m/>
    <m/>
    <m/>
    <m/>
    <m/>
    <m/>
    <m/>
    <m/>
    <m/>
    <m/>
    <m/>
    <n v="1"/>
    <s v="ELETRICO"/>
    <x v="3"/>
    <s v="Corretivas"/>
    <n v="4.8983333333744667"/>
    <x v="1"/>
    <s v="NÃO EXP.MAE"/>
    <s v="NÃO"/>
    <n v="0"/>
    <n v="0"/>
    <n v="0"/>
    <x v="926"/>
    <d v="2026-07-06T10:20:25"/>
    <x v="3"/>
    <s v="2263448939"/>
    <s v="9000"/>
    <s v="HMC - Hora de Manutenção Corretiva"/>
    <s v="HMC - EXEC MANUT"/>
    <s v="Mãe"/>
    <x v="6"/>
    <s v="202603448939 BAIXA VOLTAGEM DO SISTEMA  - FOI SUBSTITUIDO O ALTERNADOR"/>
    <s v="ELETRICO"/>
    <s v="MOTOR DE COMBUSTAO"/>
    <s v="ALTERNADOR"/>
    <s v="FALHA"/>
    <s v="SUBSTITUIR"/>
    <s v="Mecânica"/>
    <s v="Arrefecimento - Linha Painel Eletrico"/>
    <s v="Vedação;Fixação"/>
  </r>
  <r>
    <n v="0"/>
    <m/>
    <m/>
    <m/>
    <m/>
    <m/>
    <m/>
    <m/>
    <m/>
    <m/>
    <m/>
    <m/>
    <m/>
    <n v="1"/>
    <s v="INSPEÇÃO SENSITIVA"/>
    <x v="4"/>
    <s v="Inspeção"/>
    <n v="1.4963888889178634"/>
    <x v="1"/>
    <s v="NÃO EXP.MAE"/>
    <s v="NÃO"/>
    <n v="0"/>
    <n v="0"/>
    <n v="0"/>
    <x v="927"/>
    <d v="2026-07-08T17:27:36"/>
    <x v="3"/>
    <s v=""/>
    <s v="7005"/>
    <s v="MPS - Hora Manutenção Preventiva Sistemática"/>
    <s v="MPS-EXEC INSP MECANICA"/>
    <s v="Mãe"/>
    <x v="6"/>
    <s v="MACHINE GEN Atraso iniciado: MPNS - Exec mecanica"/>
    <s v="INSPEÇÃO"/>
    <s v="INSPEÇÃO"/>
    <s v="INSPEÇÃO"/>
    <s v="INSPEÇÃO"/>
    <s v="INSPEÇÃO"/>
    <s v=""/>
    <s v=""/>
    <s v=""/>
  </r>
  <r>
    <n v="0"/>
    <m/>
    <m/>
    <m/>
    <m/>
    <m/>
    <m/>
    <m/>
    <m/>
    <m/>
    <m/>
    <m/>
    <m/>
    <n v="1"/>
    <s v="LOCOMOÇÃO"/>
    <x v="1"/>
    <s v="Man. Pneus"/>
    <n v="1.028333333437331"/>
    <x v="1"/>
    <s v="NÃO EXP.MAE"/>
    <s v="NÃO"/>
    <n v="0"/>
    <n v="0"/>
    <n v="0"/>
    <x v="928"/>
    <d v="2026-07-08T21:45:01"/>
    <x v="3"/>
    <s v=""/>
    <s v="8010"/>
    <s v="MPNS - Hora Manutenção Preventiva não Sistemática"/>
    <s v="MPNS - EXEC BORRACHARIA"/>
    <s v="Mãe"/>
    <x v="6"/>
    <s v="BAIXA PRESSÃO DE AR PNEU TDE"/>
    <s v="LOCOMOCAO"/>
    <s v="RODA TDE"/>
    <s v="PNEU"/>
    <s v="PRESSAO"/>
    <s v="CALIBRAR"/>
    <s v=""/>
    <s v=""/>
    <s v=""/>
  </r>
  <r>
    <n v="0"/>
    <m/>
    <m/>
    <m/>
    <m/>
    <m/>
    <m/>
    <m/>
    <m/>
    <m/>
    <m/>
    <m/>
    <m/>
    <n v="1"/>
    <s v="TREM DE FORÇA"/>
    <x v="3"/>
    <s v="Corretivas"/>
    <n v="0.71611111122183502"/>
    <x v="1"/>
    <s v="NÃO EXP.MAE"/>
    <s v="NÃO"/>
    <n v="0"/>
    <n v="0"/>
    <n v="0"/>
    <x v="929"/>
    <d v="2026-07-09T22:58:31"/>
    <x v="3"/>
    <s v="2263531369"/>
    <s v="9000"/>
    <s v="HMC - Hora de Manutenção Corretiva"/>
    <s v="HMC - EXEC MANUT"/>
    <s v="Mãe"/>
    <x v="6"/>
    <s v="BAIXO NIVEL DO OLEO DA TRANSMISSÃO - REALIZADO COMPLEMENTO DO OLEO DA TRANSMISSÃO 40 LT - 202603531369"/>
    <s v="TREM DE FORCA"/>
    <s v="LUBRIFICACAO"/>
    <s v="OLEO"/>
    <s v="BAIXO NIVEL"/>
    <s v="COMPLETAR"/>
    <s v="Mecânica"/>
    <s v="Transmis Forca - Tanque"/>
    <s v="Oleo-Nivel Baixo"/>
  </r>
  <r>
    <n v="0"/>
    <m/>
    <m/>
    <m/>
    <m/>
    <m/>
    <m/>
    <m/>
    <m/>
    <m/>
    <m/>
    <m/>
    <m/>
    <n v="1"/>
    <s v="TREM DE FORÇA"/>
    <x v="3"/>
    <s v="Corretivas"/>
    <n v="0.70916666655102745"/>
    <x v="1"/>
    <s v="NÃO EXP.MAE"/>
    <s v="NÃO"/>
    <n v="0"/>
    <n v="0"/>
    <n v="0"/>
    <x v="930"/>
    <d v="2026-07-13T22:49:53"/>
    <x v="3"/>
    <s v="2263586213"/>
    <s v="9000"/>
    <s v="HMC - Hora de Manutenção Corretiva"/>
    <s v="HMC - EXEC MANUT"/>
    <s v="Mãe"/>
    <x v="6"/>
    <s v="BAIXO NÍVEL DO ÓLEO DA TRANSMISSÃO - COMPLETAR NÍVEL DO ÓLEO DA TRANSMISSÃO E VERIFICAR NÍVEIS - 202603586213"/>
    <s v="TREM DE FORCA"/>
    <s v="TRANSMISSAO"/>
    <s v="OLEO"/>
    <s v="BAIXO NIVEL"/>
    <s v="COMPLETAR"/>
    <s v="Mecânica"/>
    <s v="Transmis Forca - Tanque"/>
    <s v="Oleo-Nivel Baixo"/>
  </r>
  <r>
    <n v="0"/>
    <m/>
    <m/>
    <m/>
    <m/>
    <m/>
    <m/>
    <m/>
    <m/>
    <m/>
    <m/>
    <m/>
    <s v="NÃO"/>
    <n v="1"/>
    <s v="REVISÃO PREVENTIVA"/>
    <x v="4"/>
    <s v="Preventivas"/>
    <n v="1.371944444370456"/>
    <x v="1"/>
    <s v="NÃO EXP.MAE"/>
    <s v="NÃO"/>
    <n v="0"/>
    <n v="0"/>
    <n v="0"/>
    <x v="931"/>
    <d v="2026-07-14T09:35:51"/>
    <x v="3"/>
    <s v=""/>
    <s v="7116"/>
    <s v="MPS - Hora Manutenção Preventiva Sistemática"/>
    <s v="MPS - AG LOCOMOCAO"/>
    <s v="Mãe"/>
    <x v="6"/>
    <s v="PM 500h + 22BLs"/>
    <s v="PREVENTIVA"/>
    <s v="500 HORAS"/>
    <s v=""/>
    <s v=""/>
    <s v=""/>
    <s v=""/>
    <s v=""/>
    <s v=""/>
  </r>
  <r>
    <n v="0"/>
    <m/>
    <m/>
    <m/>
    <m/>
    <m/>
    <m/>
    <m/>
    <m/>
    <m/>
    <m/>
    <m/>
    <m/>
    <s v=""/>
    <s v=""/>
    <x v="2"/>
    <s v=""/>
    <s v=""/>
    <x v="2"/>
    <s v="NÃO EXP.MAE"/>
    <s v="SIM"/>
    <n v="1.5497685184527654E-2"/>
    <n v="0"/>
    <n v="0"/>
    <x v="932"/>
    <d v="2026-07-14T09:35:51"/>
    <x v="3"/>
    <m/>
    <n v="7116"/>
    <s v="MPS - Hora Manutenção Preventiva Sistemática"/>
    <s v="MPS - AG LOCOMOCAO"/>
    <s v="Filha"/>
    <x v="6"/>
    <s v="DESVIO AG LOCOMOCAO &gt; 1H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2.7358333333977498"/>
    <x v="1"/>
    <s v="NÃO EXP.MAE"/>
    <s v="NÃO"/>
    <n v="0"/>
    <n v="0"/>
    <n v="0"/>
    <x v="933"/>
    <d v="2026-07-14T12:20:00"/>
    <x v="3"/>
    <s v=""/>
    <s v="7000"/>
    <s v="MPS - Hora Manutenção Preventiva Sistemática"/>
    <s v="MPS - EXEC MANUT"/>
    <s v="Mãe"/>
    <x v="6"/>
    <s v="PM 500h + 22BLs"/>
    <s v="PREVENTIVA"/>
    <s v="500 HORAS"/>
    <s v=""/>
    <s v=""/>
    <s v=""/>
    <s v=""/>
    <s v=""/>
    <s v=""/>
  </r>
  <r>
    <n v="0"/>
    <m/>
    <m/>
    <m/>
    <m/>
    <m/>
    <m/>
    <m/>
    <m/>
    <m/>
    <m/>
    <m/>
    <m/>
    <n v="0"/>
    <s v="REVISÃO PREVENTIVA"/>
    <x v="4"/>
    <s v="Preventivas"/>
    <n v="4.1794444444240071"/>
    <x v="1"/>
    <s v="NÃO EXP.MAE"/>
    <s v="NÃO"/>
    <n v="0"/>
    <n v="0"/>
    <n v="0"/>
    <x v="934"/>
    <d v="2026-07-14T16:30:46"/>
    <x v="3"/>
    <s v=""/>
    <s v="7011"/>
    <s v="MPS - Hora Manutenção Preventiva Sistemática"/>
    <s v="MPS - EXEC LAVADOR"/>
    <s v="Mãe"/>
    <x v="6"/>
    <s v="PM 500h + 22BLs"/>
    <s v="PREVENTIVA"/>
    <s v="500 HORAS"/>
    <m/>
    <m/>
    <m/>
    <m/>
    <m/>
    <m/>
  </r>
  <r>
    <n v="0"/>
    <m/>
    <m/>
    <m/>
    <m/>
    <m/>
    <m/>
    <m/>
    <m/>
    <m/>
    <m/>
    <m/>
    <m/>
    <s v=""/>
    <s v=""/>
    <x v="2"/>
    <s v=""/>
    <s v=""/>
    <x v="2"/>
    <s v="NÃO EXP.MAE"/>
    <s v="NÃO"/>
    <n v="0"/>
    <n v="0"/>
    <n v="0"/>
    <x v="935"/>
    <d v="2026-07-14T16:30:46"/>
    <x v="3"/>
    <m/>
    <n v="7011"/>
    <s v="MPS - Hora Manutenção Preventiva Sistemática"/>
    <s v="MPS - EXEC LAVADOR"/>
    <s v="Filha"/>
    <x v="6"/>
    <s v="DESVIO EXEC LAVADOR &gt; 4H"/>
    <s v="PREVENTIVA"/>
    <s v="500 HORAS"/>
    <m/>
    <m/>
    <m/>
    <m/>
    <m/>
    <m/>
  </r>
  <r>
    <n v="0"/>
    <m/>
    <m/>
    <m/>
    <m/>
    <m/>
    <m/>
    <m/>
    <m/>
    <m/>
    <m/>
    <m/>
    <m/>
    <n v="0"/>
    <s v="REVISÃO PREVENTIVA"/>
    <x v="4"/>
    <s v="Preventivas"/>
    <n v="35.148333333316259"/>
    <x v="1"/>
    <s v="NÃO EXP.MAE"/>
    <s v="NÃO"/>
    <n v="0"/>
    <n v="0"/>
    <n v="0"/>
    <x v="936"/>
    <d v="2026-07-16T03:39:40"/>
    <x v="3"/>
    <s v=""/>
    <s v="7000"/>
    <s v="MPS - Hora Manutenção Preventiva Sistemática"/>
    <s v="MPS - EXEC MANUT"/>
    <s v="Mãe"/>
    <x v="6"/>
    <s v="PM 500h + 22BLs"/>
    <s v="PREVENTIVA"/>
    <s v="500 HORAS"/>
    <m/>
    <m/>
    <m/>
    <m/>
    <m/>
    <m/>
  </r>
  <r>
    <n v="0"/>
    <m/>
    <m/>
    <m/>
    <m/>
    <m/>
    <m/>
    <m/>
    <m/>
    <m/>
    <m/>
    <m/>
    <m/>
    <n v="1"/>
    <s v="LOCOMOÇÃO"/>
    <x v="3"/>
    <s v="Man. Pneus"/>
    <n v="1.785000000090804"/>
    <x v="1"/>
    <s v="NÃO EXP.MAE"/>
    <s v="NÃO"/>
    <n v="0"/>
    <n v="0"/>
    <n v="0"/>
    <x v="937"/>
    <d v="2026-07-16T08:48:57"/>
    <x v="3"/>
    <s v="2263648759"/>
    <s v="9010"/>
    <s v="HMC - Hora de Manutenção Corretiva"/>
    <s v="HMC - EXEC BORRACHARIA"/>
    <s v="Mãe"/>
    <x v="6"/>
    <s v="202603648759 BAIXA PRESSÃO NOS PNEUS DE E TDE -  REGULARIZADA PRESSÃO DO PNEU TRASEIRO,DIREITO EXTERNO."/>
    <s v="LOCOMOCAO"/>
    <s v="RODA TDE/DE"/>
    <s v="PNEU"/>
    <s v="BAIXA PRESSAO"/>
    <s v="CALIBRAR"/>
    <s v="Borracharia"/>
    <s v="Locomocao - Roda De"/>
    <s v="Pneu-Pressao"/>
  </r>
  <r>
    <n v="0"/>
    <m/>
    <m/>
    <m/>
    <m/>
    <m/>
    <m/>
    <m/>
    <m/>
    <m/>
    <m/>
    <m/>
    <m/>
    <n v="1"/>
    <s v="INSPEÇÃO SENSITIVA"/>
    <x v="4"/>
    <s v="Inspeção"/>
    <n v="1.2683333333116025"/>
    <x v="1"/>
    <s v="NÃO EXP.MAE"/>
    <s v="NÃO"/>
    <n v="0"/>
    <n v="0"/>
    <n v="0"/>
    <x v="938"/>
    <d v="2026-07-16T11:44:31"/>
    <x v="3"/>
    <s v=""/>
    <s v="7005"/>
    <s v="MPS - Hora Manutenção Preventiva Sistemática"/>
    <s v="MPS-EXEC INSP MECANICA"/>
    <s v="Mãe"/>
    <x v="6"/>
    <s v=""/>
    <s v="INSPEÇÃO"/>
    <s v="INSPEÇÃO"/>
    <s v="INSPEÇÃO"/>
    <s v="INSPEÇÃO"/>
    <s v="INSPEÇÃO"/>
    <s v=""/>
    <s v=""/>
    <s v=""/>
  </r>
  <r>
    <n v="0"/>
    <m/>
    <m/>
    <m/>
    <m/>
    <m/>
    <m/>
    <m/>
    <m/>
    <m/>
    <m/>
    <m/>
    <m/>
    <n v="1"/>
    <s v="MOTOR DE COMBUSTÃO"/>
    <x v="3"/>
    <s v="Corretivas"/>
    <n v="8.1102777777705342"/>
    <x v="1"/>
    <s v="NÃO EXP.MAE"/>
    <s v="NÃO"/>
    <n v="0"/>
    <n v="0"/>
    <n v="0"/>
    <x v="939"/>
    <d v="2026-07-18T10:35:31"/>
    <x v="3"/>
    <s v="226368661"/>
    <s v="9000"/>
    <s v="HMC - Hora de Manutenção Corretiva"/>
    <s v="HMC - EXEC MANUT"/>
    <s v="Mãe"/>
    <x v="6"/>
    <s v="202603680661 - VAZAMENTO DE ELC-  SUBS MANGOTE  DE RETORNO DO TROCADOR DE CALOR PARA BLOCO DO MOTOR, COMPLETADO 400 L DE LC."/>
    <s v="MOTOR DE COMBUSTAO"/>
    <s v="ARREFECIMENTO"/>
    <s v="MANGOTE"/>
    <s v="AVARIA"/>
    <s v="SUBSTITUIR"/>
    <s v="Mecânica"/>
    <s v="Motor Combustao - Arrefecimento"/>
    <s v="Trocador de calor"/>
  </r>
  <r>
    <n v="0"/>
    <m/>
    <m/>
    <m/>
    <m/>
    <m/>
    <m/>
    <m/>
    <m/>
    <m/>
    <m/>
    <m/>
    <m/>
    <n v="1"/>
    <s v="MOTOR DE COMBUSTÃO"/>
    <x v="1"/>
    <s v="Reparo Programado"/>
    <n v="1.6472222222364508"/>
    <x v="1"/>
    <s v="NÃO EXP.MAE"/>
    <s v="NÃO"/>
    <n v="0"/>
    <n v="0"/>
    <n v="0"/>
    <x v="940"/>
    <d v="2026-07-18T19:53:45"/>
    <x v="3"/>
    <s v=""/>
    <s v="8001"/>
    <s v="MPNS - Hora Manutenção Preventiva não Sistemática"/>
    <s v="MPNS - EXEC MECANICA"/>
    <s v="Mãe"/>
    <x v="6"/>
    <s v=""/>
    <s v="MOTOR DE COMBUSTAO"/>
    <s v=""/>
    <s v=""/>
    <s v=""/>
    <s v=""/>
    <s v=""/>
    <s v=""/>
    <s v=""/>
  </r>
  <r>
    <n v="0"/>
    <m/>
    <m/>
    <m/>
    <m/>
    <m/>
    <m/>
    <m/>
    <m/>
    <m/>
    <m/>
    <m/>
    <m/>
    <n v="1"/>
    <s v="ESTRUTURA"/>
    <x v="3"/>
    <s v="Corretivas"/>
    <n v="1.2133333333767951"/>
    <x v="1"/>
    <s v="NÃO EXP.MAE"/>
    <s v="NÃO"/>
    <n v="0"/>
    <n v="0"/>
    <n v="0"/>
    <x v="941"/>
    <d v="2026-07-19T01:33:03"/>
    <x v="3"/>
    <s v="226369195"/>
    <s v="9000"/>
    <s v="HMC - Hora de Manutenção Corretiva"/>
    <s v="HMC - EXEC MANUT"/>
    <s v="Mãe"/>
    <x v="6"/>
    <s v="202603691950- FALHA NA ESCADA- COMPLETADO NIVEIS DE OLEO DO RESERVATORIO DA ESCADA"/>
    <s v="ESTRUTURA"/>
    <s v="ESCADA"/>
    <s v="OLEO"/>
    <s v="BAIXO NIVEL"/>
    <s v="COMPLETAR"/>
    <s v="Mecânica"/>
    <s v="Estrutura - Cabine"/>
    <s v="Escada"/>
  </r>
  <r>
    <n v="0"/>
    <m/>
    <m/>
    <m/>
    <m/>
    <m/>
    <m/>
    <m/>
    <m/>
    <m/>
    <m/>
    <m/>
    <m/>
    <n v="1"/>
    <s v="INSPEÇÃO SENSITIVA"/>
    <x v="4"/>
    <s v="Inspeção"/>
    <n v="1.7244444443495013"/>
    <x v="1"/>
    <s v="NÃO EXP.MAE"/>
    <s v="NÃO"/>
    <n v="0"/>
    <n v="0"/>
    <n v="0"/>
    <x v="942"/>
    <d v="2026-07-21T12:00:02"/>
    <x v="3"/>
    <s v=""/>
    <s v="7000"/>
    <s v="MPS - Hora Manutenção Preventiva Sistemática"/>
    <s v="MPS - EXEC MANUT"/>
    <s v="Mãe"/>
    <x v="6"/>
    <s v="MACHINE GEN Started a delay: MPS - Exec mecanica"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ESTRUTURA"/>
    <x v="3"/>
    <s v="Corretivas"/>
    <n v="10.785000000090804"/>
    <x v="1"/>
    <s v="NÃO EXP.MAE"/>
    <s v="NÃO"/>
    <n v="0"/>
    <n v="0"/>
    <n v="0"/>
    <x v="943"/>
    <d v="2026-07-24T17:15:11"/>
    <x v="3"/>
    <s v=""/>
    <s v="9000"/>
    <s v="HMC - Hora de Manutenção Corretiva"/>
    <s v="HMC - EXEC MANUT"/>
    <s v="Mãe"/>
    <x v="6"/>
    <s v="FALHA NA ESCADA - SUBS MOTOR DA ESCADA RETRATIL"/>
    <s v="ESTRUTURA"/>
    <s v="ESCADA RETRATIL"/>
    <s v="MOTOR"/>
    <s v="FALHA"/>
    <s v="SUBSTITUIR"/>
    <s v="Mecânica"/>
    <s v="Estrutura - Cabine"/>
    <s v="Escada"/>
  </r>
  <r>
    <n v="0"/>
    <m/>
    <m/>
    <m/>
    <m/>
    <m/>
    <m/>
    <m/>
    <m/>
    <m/>
    <m/>
    <m/>
    <s v="NÃO"/>
    <n v="1"/>
    <s v="LOCOMOÇÃO"/>
    <x v="1"/>
    <s v="Man. Pneus"/>
    <n v="1.0400000000372529"/>
    <x v="1"/>
    <s v="NÃO EXP.MAE"/>
    <s v="NÃO"/>
    <n v="0"/>
    <n v="0"/>
    <n v="0"/>
    <x v="944"/>
    <d v="2026-07-31T08:31:33"/>
    <x v="3"/>
    <m/>
    <s v="8110"/>
    <s v="MPNS - Hora Manutenção Preventiva não Sistemática"/>
    <s v="MPNS - AG BORRACHARIA"/>
    <s v="Mãe"/>
    <x v="6"/>
    <s v="MACHINE GEN Atraso iniciado: MPS - Exec borracharia"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MOTOR DE COMBUSTÃO"/>
    <x v="3"/>
    <s v="Corretivas"/>
    <n v="12.330277777800802"/>
    <x v="1"/>
    <s v="NÃO EXP.MAE"/>
    <s v="NÃO"/>
    <n v="0"/>
    <n v="0"/>
    <n v="0"/>
    <x v="945"/>
    <d v="2026-08-04T12:57:17"/>
    <x v="3"/>
    <m/>
    <s v="9000"/>
    <s v="HMC - Hora de Manutenção Corretiva"/>
    <s v="HMC - EXEC MANUT"/>
    <s v="Mãe"/>
    <x v="7"/>
    <s v="202603971844  VAZAMENTO HIDRAULICO  - MANUTENÇÃO CHEGOU NA MAQUINA A MESMA OPERACIONAL, SEM NECESSIDADE DE ATUAÇÃO DA MANUTENÇÃO."/>
    <s v="MOTOR DE COMBUSTAO"/>
    <s v="MOTOR DE COMBUSTAO"/>
    <m/>
    <m/>
    <m/>
    <s v="Mecânica"/>
    <s v="Motor Combustao - Motor Combustao"/>
    <s v="Motor Combustao-Nao Encontrado"/>
  </r>
  <r>
    <n v="0"/>
    <m/>
    <m/>
    <m/>
    <m/>
    <m/>
    <m/>
    <m/>
    <m/>
    <m/>
    <m/>
    <m/>
    <m/>
    <n v="1"/>
    <s v="REVISÃO PREVENTIVA"/>
    <x v="4"/>
    <s v="Preventivas"/>
    <n v="0.17861111112870276"/>
    <x v="0"/>
    <s v="EXP.MAE"/>
    <s v="NÃO"/>
    <n v="0"/>
    <n v="0"/>
    <n v="0"/>
    <x v="946"/>
    <d v="2026-08-04T19:35:23"/>
    <x v="3"/>
    <m/>
    <s v="7116"/>
    <s v="MPS - Hora Manutenção Preventiva Sistemática"/>
    <s v="MPS - AG LOCOMOCAO"/>
    <s v="Mãe"/>
    <x v="7"/>
    <s v="PM 250h + 05 BLs"/>
    <s v="PREVENTIVA"/>
    <s v="PITSTOP"/>
    <s v=""/>
    <s v=""/>
    <s v=""/>
    <m/>
    <m/>
    <m/>
  </r>
  <r>
    <n v="0"/>
    <m/>
    <m/>
    <m/>
    <m/>
    <m/>
    <m/>
    <m/>
    <m/>
    <m/>
    <m/>
    <m/>
    <m/>
    <n v="0"/>
    <s v="REVISÃO PREVENTIVA"/>
    <x v="4"/>
    <s v="Preventivas"/>
    <n v="7.0499999999301508"/>
    <x v="1"/>
    <s v="NÃO EXP.MAE"/>
    <s v="NÃO"/>
    <n v="0"/>
    <n v="0"/>
    <n v="0"/>
    <x v="947"/>
    <d v="2026-08-05T02:38:23"/>
    <x v="3"/>
    <m/>
    <s v="7000"/>
    <s v="MPS - Hora Manutenção Preventiva Sistemática"/>
    <s v="MPS - EXEC MANUT"/>
    <s v="Mãe"/>
    <x v="7"/>
    <s v="PM 250h + 05 BLs"/>
    <s v="PREVENTIVA"/>
    <s v="PITSTOP"/>
    <s v=""/>
    <s v=""/>
    <s v=""/>
    <m/>
    <m/>
    <m/>
  </r>
  <r>
    <n v="0"/>
    <m/>
    <m/>
    <m/>
    <m/>
    <m/>
    <m/>
    <m/>
    <m/>
    <m/>
    <m/>
    <m/>
    <m/>
    <n v="1"/>
    <s v="LOCOMOÇÃO"/>
    <x v="3"/>
    <s v="Man. Pneus"/>
    <n v="0.60194444441003725"/>
    <x v="1"/>
    <s v="NÃO EXP.MAE"/>
    <s v="NÃO"/>
    <n v="0"/>
    <n v="0"/>
    <n v="0"/>
    <x v="948"/>
    <d v="2026-08-06T16:19:36"/>
    <x v="3"/>
    <s v="202604037273"/>
    <s v="9010"/>
    <s v="HMC - Hora de Manutenção Corretiva"/>
    <s v="HMC - EXEC BORRACHARIA"/>
    <s v="Mãe"/>
    <x v="7"/>
    <s v="BAIXA PRESSÃO PNEU TDI - CALIBRADO PNEU TDI - 202604037273"/>
    <s v="LOCOMOCAO"/>
    <s v="RODA TDI"/>
    <s v="PNEU"/>
    <s v="BAIXA PRESSAO"/>
    <s v="CALIBRAR"/>
    <s v="Borracharia"/>
    <s v="Locomocao - Roda Tdi"/>
    <s v="Pneu-Pressao"/>
  </r>
  <r>
    <n v="0"/>
    <m/>
    <m/>
    <m/>
    <m/>
    <m/>
    <m/>
    <m/>
    <m/>
    <m/>
    <m/>
    <m/>
    <m/>
    <n v="1"/>
    <s v="LOCOMOÇÃO"/>
    <x v="3"/>
    <s v="Man. Pneus"/>
    <n v="0.43444444437045604"/>
    <x v="1"/>
    <s v="NÃO EXP.MAE"/>
    <s v="NÃO"/>
    <n v="0"/>
    <n v="0"/>
    <n v="0"/>
    <x v="949"/>
    <d v="2026-08-08T22:03:44"/>
    <x v="3"/>
    <m/>
    <s v="9010"/>
    <s v="HMC - Hora de Manutenção Corretiva"/>
    <s v="HMC - EXEC BORRACHARIA"/>
    <s v="Mãe"/>
    <x v="7"/>
    <s v="PRESSÃO BAIXA DO PNEU TDE -CALIBRADO PNEU TDE"/>
    <s v="LOCOMOCAO"/>
    <s v="RODA TDE"/>
    <s v="PNEU"/>
    <s v="BAIXA PRESSAO"/>
    <s v="CALIBRAR"/>
    <s v="Borracharia"/>
    <s v="Locomocao - Roda Tde"/>
    <s v="Pneu"/>
  </r>
  <r>
    <n v="0"/>
    <m/>
    <m/>
    <m/>
    <m/>
    <m/>
    <m/>
    <m/>
    <m/>
    <m/>
    <m/>
    <m/>
    <m/>
    <n v="1"/>
    <s v="LOCOMOÇÃO"/>
    <x v="3"/>
    <s v="Man. Pneus"/>
    <n v="10.816111111140344"/>
    <x v="1"/>
    <s v="NÃO EXP.MAE"/>
    <s v="NÃO"/>
    <n v="0"/>
    <n v="0"/>
    <n v="0"/>
    <x v="950"/>
    <d v="2026-08-10T12:58:10"/>
    <x v="3"/>
    <s v="202604087383"/>
    <s v="9010"/>
    <s v="HMC - Hora de Manutenção Corretiva"/>
    <s v="HMC - EXEC BORRACHARIA"/>
    <s v="Mãe"/>
    <x v="7"/>
    <s v="202604087383 - PNEU FURADO TRASEIRO ESQUERDO EXTERNO -  SUBS PNEU TEE TRASEIRO DO LADO  ESQUERDO"/>
    <s v="LOCOMOCAO"/>
    <s v="RODA TE"/>
    <s v="PNEU"/>
    <s v="AVARIA"/>
    <s v="SUBSTITUIR"/>
    <s v="Borracharia"/>
    <s v="Locomocao - Roda Tee"/>
    <s v="Pneu"/>
  </r>
  <r>
    <n v="0"/>
    <m/>
    <m/>
    <m/>
    <m/>
    <m/>
    <m/>
    <m/>
    <m/>
    <m/>
    <m/>
    <m/>
    <m/>
    <n v="1"/>
    <s v="SISTEMA DE FREIO"/>
    <x v="3"/>
    <s v="Corretivas"/>
    <n v="5.4191666667466052"/>
    <x v="1"/>
    <s v="NÃO EXP.MAE"/>
    <s v="NÃO"/>
    <n v="0"/>
    <n v="0"/>
    <n v="0"/>
    <x v="951"/>
    <d v="2026-08-12T22:22:58"/>
    <x v="3"/>
    <s v="202604166804"/>
    <s v="9000"/>
    <s v="HMC - Hora de Manutenção Corretiva"/>
    <s v="HMC - EXEC MANUT"/>
    <s v="Mãe"/>
    <x v="7"/>
    <s v="202604166804- FALHA NO COMANDO ALTO DO COMANDO DE FREIO- COMPLETADO OLEO DA DIREÇÃO E DO DIFERENCIAL REALIZADO LIMPEZA NA VALVULA DO SOLENOIDE DESCOMPRESSOR DO BLOCO DO FREIO"/>
    <s v="FRENAGEM"/>
    <s v="FREIO AUTOMATICO"/>
    <s v="VALVULA SOLENOIDE"/>
    <s v="OBSTRUCAO"/>
    <s v="DESOBSTRUIR"/>
    <s v="Mecânica"/>
    <s v="Frenagem - Freio"/>
    <s v="Bomba"/>
  </r>
  <r>
    <n v="0"/>
    <m/>
    <m/>
    <m/>
    <m/>
    <m/>
    <m/>
    <m/>
    <m/>
    <m/>
    <m/>
    <m/>
    <m/>
    <n v="1"/>
    <s v="LOCOMOÇÃO"/>
    <x v="1"/>
    <s v="Man. Pneus"/>
    <n v="0.25500000006286427"/>
    <x v="0"/>
    <s v="EXP.MAE"/>
    <s v="NÃO"/>
    <n v="0"/>
    <n v="0"/>
    <n v="0"/>
    <x v="952"/>
    <d v="2026-08-13T04:28:31"/>
    <x v="3"/>
    <m/>
    <s v="8110"/>
    <s v="MPNS - Hora Manutenção Preventiva não Sistemática"/>
    <s v="MPNS - AG BORRACHARIA"/>
    <s v="Mãe"/>
    <x v="7"/>
    <m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0"/>
    <s v="LOCOMOÇÃO"/>
    <x v="1"/>
    <s v="Man. Pneus"/>
    <n v="0.44583333330228925"/>
    <x v="1"/>
    <s v="NÃO EXP.MAE"/>
    <s v="NÃO"/>
    <n v="0"/>
    <n v="0"/>
    <n v="0"/>
    <x v="953"/>
    <d v="2026-08-13T04:55:16"/>
    <x v="3"/>
    <m/>
    <s v="8010"/>
    <s v="MPNS - Hora Manutenção Preventiva não Sistemática"/>
    <s v="MPNS - EXEC BORRACHARIA"/>
    <s v="Mãe"/>
    <x v="7"/>
    <m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SISTEMA DE FREIO"/>
    <x v="3"/>
    <s v="Corretivas"/>
    <n v="47.65083333326038"/>
    <x v="1"/>
    <s v="NÃO EXP.MAE"/>
    <s v="NÃO"/>
    <n v="0"/>
    <n v="0"/>
    <n v="0"/>
    <x v="954"/>
    <d v="2026-08-15T05:05:46"/>
    <x v="3"/>
    <m/>
    <s v="9000"/>
    <s v="HMC - Hora de Manutenção Corretiva"/>
    <s v="HMC - EXEC MANUT"/>
    <s v="Mãe"/>
    <x v="7"/>
    <s v="BAIXA PRESSÃO DO ACUMULADOR SECUNDARIO DO SISTEMA DE FREIO"/>
    <s v="FRENAGEM"/>
    <s v="FREIO"/>
    <s v="ACUMULADOR"/>
    <s v="BAIXA PRESSÃO"/>
    <s v="REPARAR"/>
    <m/>
    <m/>
    <m/>
  </r>
  <r>
    <n v="0"/>
    <m/>
    <m/>
    <m/>
    <m/>
    <m/>
    <m/>
    <m/>
    <m/>
    <m/>
    <m/>
    <m/>
    <m/>
    <n v="1"/>
    <s v="TREM DE FORÇA"/>
    <x v="3"/>
    <s v="Corretivas"/>
    <n v="6.7336111111217178"/>
    <x v="1"/>
    <s v="NÃO EXP.MAE"/>
    <s v="NÃO"/>
    <n v="0"/>
    <n v="0"/>
    <n v="0"/>
    <x v="955"/>
    <d v="2026-08-17T00:53:16"/>
    <x v="3"/>
    <s v="202604284020"/>
    <s v="9000"/>
    <s v="HMC - Hora de Manutenção Corretiva"/>
    <s v="HMC - EXEC MANUT"/>
    <s v="Mãe"/>
    <x v="7"/>
    <s v="VAZAMENTO DE ÓLEO HD  202604284020  SUBSTITUÍDO  VEDAÇÃO DA BOMBA DO COMANDO FINAL  1150619"/>
    <s v="TREM DE FORCA"/>
    <s v="COMANDO FINAL"/>
    <s v="VEDACAO"/>
    <s v="AVARIA"/>
    <s v="SUBSTITUIR"/>
    <s v="Mecânica"/>
    <s v="Hidraulico Cavalo - Tanque Oleo"/>
    <s v="Vedacao"/>
  </r>
  <r>
    <n v="0"/>
    <m/>
    <m/>
    <m/>
    <m/>
    <m/>
    <m/>
    <m/>
    <m/>
    <m/>
    <m/>
    <m/>
    <m/>
    <n v="1"/>
    <s v="INSPEÇÃO SENSITIVA"/>
    <x v="4"/>
    <s v="Inspeção"/>
    <n v="0.82944444433087483"/>
    <x v="1"/>
    <s v="NÃO EXP.MAE"/>
    <s v="NÃO"/>
    <n v="0"/>
    <n v="0"/>
    <n v="0"/>
    <x v="956"/>
    <d v="2026-08-17T11:01:30"/>
    <x v="3"/>
    <m/>
    <s v="7005"/>
    <s v="MPS - Hora Manutenção Preventiva Sistemática"/>
    <s v="MPS-EXEC INSP MECANICA"/>
    <s v="Mãe"/>
    <x v="7"/>
    <m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LOCOMOÇÃO"/>
    <x v="1"/>
    <s v="Man. Pneus"/>
    <n v="0.40249999996740371"/>
    <x v="1"/>
    <s v="NÃO EXP.MAE"/>
    <s v="NÃO"/>
    <n v="0"/>
    <n v="0"/>
    <n v="0"/>
    <x v="957"/>
    <d v="2026-08-17T11:59:39"/>
    <x v="3"/>
    <m/>
    <s v="8010"/>
    <s v="MPNS - Hora Manutenção Preventiva não Sistemática"/>
    <s v="MPNS - EXEC BORRACHARIA"/>
    <s v="Mãe"/>
    <x v="7"/>
    <s v="BAIXA PRESSÃO NO PNEU TDE"/>
    <s v="LOCOMOCAO"/>
    <s v="RODA TDE"/>
    <s v="PNEU"/>
    <s v="BAIXA PRESSAO"/>
    <s v="CALIBRAR"/>
    <m/>
    <m/>
    <m/>
  </r>
  <r>
    <n v="0"/>
    <m/>
    <m/>
    <m/>
    <m/>
    <m/>
    <m/>
    <m/>
    <m/>
    <m/>
    <m/>
    <m/>
    <m/>
    <n v="1"/>
    <s v="ELETRICO"/>
    <x v="3"/>
    <s v="Corretivas"/>
    <n v="3.9258333334000781"/>
    <x v="1"/>
    <s v="NÃO EXP.MAE"/>
    <s v="NÃO"/>
    <n v="0"/>
    <n v="0"/>
    <n v="0"/>
    <x v="958"/>
    <d v="2026-08-17T22:15:03"/>
    <x v="3"/>
    <s v="202604308344"/>
    <s v="9000"/>
    <s v="HMC - Hora de Manutenção Corretiva"/>
    <s v="HMC - EXEC MANUT"/>
    <s v="Mãe"/>
    <x v="7"/>
    <s v="FALHA NA PARTIDA   202604308344 REALIZADO  DUBLAGEM NAS BÁTERIAS"/>
    <s v="ELETRICO"/>
    <s v="BATERIA"/>
    <s v="BATERIA"/>
    <s v="BAIXA TENSAO"/>
    <s v="DUBLAR"/>
    <s v="Elétrica"/>
    <s v="Eletrico - Bateria"/>
    <s v="Bateria"/>
  </r>
  <r>
    <n v="0"/>
    <m/>
    <m/>
    <m/>
    <m/>
    <m/>
    <m/>
    <m/>
    <m/>
    <m/>
    <m/>
    <m/>
    <m/>
    <n v="1"/>
    <s v="MOTOR DE COMBUSTÃO"/>
    <x v="3"/>
    <s v="Corretivas"/>
    <n v="2.2633333333069459"/>
    <x v="1"/>
    <s v="NÃO EXP.MAE"/>
    <s v="NÃO"/>
    <n v="0"/>
    <n v="0"/>
    <n v="0"/>
    <x v="959"/>
    <d v="2026-08-18T16:43:29"/>
    <x v="3"/>
    <m/>
    <s v="9000"/>
    <s v="HMC - Hora de Manutenção Corretiva"/>
    <s v="HMC - EXEC MANUT"/>
    <s v="Mãe"/>
    <x v="7"/>
    <s v="202604329054- VAZAMENTO DO LIQUIDO DE ARREFECEDOR/ DESLIGAMENTO INVOLNTARIO - MANUTENÇÃO CHEGOU NA MAQUINA A MESMA SE ENCONTRA  OPERACIONAL,SEM NECESSIDADE DA ATUAÇÃO DA MANUTENÇÃO."/>
    <s v="MOTOR DE COMBUSTAO"/>
    <s v="ARREFECIMENTO"/>
    <s v="LIQUIDO ARREFECIMENTO"/>
    <s v="NAO IDENTIFICADO "/>
    <s v=""/>
    <m/>
    <m/>
    <m/>
  </r>
  <r>
    <n v="0"/>
    <m/>
    <m/>
    <m/>
    <m/>
    <m/>
    <m/>
    <m/>
    <m/>
    <m/>
    <m/>
    <m/>
    <m/>
    <n v="1"/>
    <s v="ELETRICO"/>
    <x v="3"/>
    <s v="Corretivas"/>
    <n v="9.1063888889621012"/>
    <x v="1"/>
    <s v="NÃO EXP.MAE"/>
    <s v="NÃO"/>
    <n v="0"/>
    <n v="0"/>
    <n v="0"/>
    <x v="960"/>
    <d v="2026-08-19T03:00:57"/>
    <x v="3"/>
    <s v="202604331434"/>
    <s v="9000"/>
    <s v="HMC - Hora de Manutenção Corretiva"/>
    <s v="HMC - EXEC MANUT"/>
    <s v="Mãe"/>
    <x v="7"/>
    <s v="202604331434- ALARMANDO ALTA TEMPERATURA DO LIQUIDO ARREFECEDOR - SUBSTITUIDO FUSIVEL S27 VERIFICADO PARTE FISICA E COMPLETADO ELC"/>
    <s v="ELETRICO"/>
    <s v="ARREFECIMENTO"/>
    <s v="FUSIVEL"/>
    <s v="FALHA"/>
    <s v="SUBSTITUIR"/>
    <s v="Mecânica"/>
    <s v="Arrefecimento - Linha Painel Eletrico"/>
    <s v="Fixacão-Desgaste"/>
  </r>
  <r>
    <n v="0"/>
    <m/>
    <m/>
    <m/>
    <m/>
    <m/>
    <m/>
    <m/>
    <m/>
    <m/>
    <m/>
    <m/>
    <m/>
    <n v="1"/>
    <s v="ESTRUTURA"/>
    <x v="3"/>
    <s v="Corretivas"/>
    <n v="1.1705555555527098"/>
    <x v="1"/>
    <s v="NÃO EXP.MAE"/>
    <s v="NÃO"/>
    <n v="0"/>
    <n v="0"/>
    <n v="0"/>
    <x v="961"/>
    <d v="2026-08-23T16:04:56"/>
    <x v="3"/>
    <s v="202604423190"/>
    <s v="9000"/>
    <s v="HMC - Hora de Manutenção Corretiva"/>
    <s v="HMC - EXEC MANUT"/>
    <s v="Mãe"/>
    <x v="7"/>
    <s v="202604423190 QUEBRA SOL DANIFICADO -FIXADO QUEBRA SOL"/>
    <s v="ESTRUTURA"/>
    <s v="CABINE"/>
    <s v="QUEBRA-SOL"/>
    <s v="FIXACAO"/>
    <s v="FIXAR"/>
    <s v="Mecânica"/>
    <s v="Estrutura - Cabine"/>
    <s v="Quebra Sol"/>
  </r>
  <r>
    <n v="0"/>
    <m/>
    <m/>
    <m/>
    <m/>
    <m/>
    <m/>
    <m/>
    <m/>
    <m/>
    <m/>
    <m/>
    <m/>
    <n v="1"/>
    <s v="LOCOMOÇÃO"/>
    <x v="1"/>
    <s v="Man. Pneus"/>
    <n v="0.55277777777519077"/>
    <x v="1"/>
    <s v="NÃO EXP.MAE"/>
    <s v="NÃO"/>
    <n v="0"/>
    <n v="0"/>
    <n v="0"/>
    <x v="962"/>
    <d v="2026-08-24T02:43:46"/>
    <x v="3"/>
    <m/>
    <s v="8010"/>
    <s v="MPNS - Hora Manutenção Preventiva não Sistemática"/>
    <s v="MPNS - EXEC BORRACHARIA"/>
    <s v="Mãe"/>
    <x v="7"/>
    <m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LOCOMOÇÃO"/>
    <x v="3"/>
    <s v="Man. Pneus"/>
    <n v="0.68166666658362374"/>
    <x v="1"/>
    <s v="NÃO EXP.MAE"/>
    <s v="NÃO"/>
    <n v="0"/>
    <n v="0"/>
    <n v="0"/>
    <x v="963"/>
    <d v="2026-08-31T03:10:53"/>
    <x v="3"/>
    <m/>
    <s v="9010"/>
    <s v="HMC - Hora de Manutenção Corretiva"/>
    <s v="HMC - EXEC BORRACHARIA"/>
    <s v="Mãe"/>
    <x v="7"/>
    <s v="CALIBRAR PNEU TDE E TDI- REALIZADO CALIBRAÇÃO DO PNEU TDE TDI"/>
    <s v="LOCOMOCAO"/>
    <s v="RODA TDE/TDI"/>
    <s v="PNEU"/>
    <s v="BAIXA PRESSAO"/>
    <s v="CALIBRAR"/>
    <m/>
    <m/>
    <m/>
  </r>
  <r>
    <n v="0"/>
    <m/>
    <m/>
    <m/>
    <m/>
    <m/>
    <m/>
    <m/>
    <m/>
    <m/>
    <m/>
    <m/>
    <m/>
    <n v="1"/>
    <s v="DIRECAO"/>
    <x v="3"/>
    <s v="Corretivas"/>
    <n v="2.7816666666185483"/>
    <x v="1"/>
    <s v="NÃO EXP.MAE"/>
    <s v="NÃO"/>
    <n v="0"/>
    <n v="0"/>
    <n v="0"/>
    <x v="964"/>
    <d v="2026-08-31T22:23:37"/>
    <x v="3"/>
    <s v="202604573453"/>
    <s v="9000"/>
    <s v="HMC - Hora de Manutenção Corretiva"/>
    <s v="HMC - EXEC MANUT"/>
    <s v="Mãe"/>
    <x v="7"/>
    <s v="202604573453- BAIXO NIVEL DE ÓLEO DA DIREÇÃO - REALIZADO COMPLEMENTO DO OLEO DA DIREÇÃO"/>
    <s v="DIRECAO"/>
    <s v="LUBRIFICACAO"/>
    <s v="OLEO"/>
    <s v="BAIXO NIVEL"/>
    <s v="COMPLETAR"/>
    <s v="Mecânica"/>
    <s v="Direcao - Tanque Oleo"/>
    <s v="Oleo-Nivel"/>
  </r>
  <r>
    <n v="0"/>
    <m/>
    <m/>
    <m/>
    <m/>
    <m/>
    <m/>
    <m/>
    <m/>
    <m/>
    <m/>
    <m/>
    <m/>
    <n v="1"/>
    <s v="INSPEÇÃO SENSITIVA"/>
    <x v="4"/>
    <s v="Inspeção"/>
    <n v="1.2930555555503815"/>
    <x v="1"/>
    <s v="NÃO EXP.MAE"/>
    <s v="NÃO"/>
    <n v="0"/>
    <n v="0"/>
    <n v="0"/>
    <x v="965"/>
    <d v="2026-09-02T11:40:36"/>
    <x v="3"/>
    <m/>
    <s v="7005"/>
    <s v="MPS - Hora Manutenção Preventiva Sistemática"/>
    <s v="MPS-EXEC INSP MECANICA"/>
    <s v="Mãe"/>
    <x v="8"/>
    <m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REVISÃO PREVENTIVA"/>
    <x v="4"/>
    <s v="Preventivas"/>
    <n v="2.5741666666581295"/>
    <x v="1"/>
    <s v="NÃO EXP.MAE"/>
    <s v="NÃO"/>
    <n v="0"/>
    <n v="0"/>
    <n v="0"/>
    <x v="966"/>
    <d v="2026-09-04T15:28:11"/>
    <x v="3"/>
    <m/>
    <s v="7000"/>
    <s v="MPS - Hora Manutenção Preventiva Sistemática"/>
    <s v="MPS - EXEC MANUT"/>
    <s v="Mãe"/>
    <x v="8"/>
    <s v="PM 1000h + 24BLs"/>
    <s v="PREVENTIVA"/>
    <s v="1000 HORAS"/>
    <s v=""/>
    <s v=""/>
    <s v=""/>
    <m/>
    <m/>
    <m/>
  </r>
  <r>
    <n v="0"/>
    <m/>
    <m/>
    <m/>
    <m/>
    <m/>
    <m/>
    <m/>
    <m/>
    <m/>
    <m/>
    <m/>
    <m/>
    <n v="0"/>
    <s v="REVISÃO PREVENTIVA"/>
    <x v="4"/>
    <s v="Preventivas"/>
    <n v="5.6136111110681668"/>
    <x v="1"/>
    <s v="NÃO EXP.MAE"/>
    <s v="NÃO"/>
    <n v="0"/>
    <n v="0"/>
    <n v="0"/>
    <x v="967"/>
    <d v="2026-09-04T21:05:00"/>
    <x v="3"/>
    <m/>
    <s v="7011"/>
    <s v="MPS - Hora Manutenção Preventiva Sistemática"/>
    <s v="MPS - EXEC LAVADOR"/>
    <s v="Mãe"/>
    <x v="8"/>
    <s v="PM 1000h + 24BLs"/>
    <s v="PREVENTIVA"/>
    <s v="1000 HORAS"/>
    <s v=""/>
    <s v=""/>
    <s v=""/>
    <m/>
    <m/>
    <m/>
  </r>
  <r>
    <n v="0"/>
    <m/>
    <m/>
    <m/>
    <m/>
    <m/>
    <m/>
    <m/>
    <m/>
    <m/>
    <m/>
    <m/>
    <m/>
    <n v="0"/>
    <s v="REVISÃO PREVENTIVA"/>
    <x v="4"/>
    <s v="Preventivas"/>
    <n v="28.511111111263745"/>
    <x v="1"/>
    <s v="NÃO EXP.MAE"/>
    <s v="NÃO"/>
    <n v="0"/>
    <n v="0"/>
    <n v="0"/>
    <x v="968"/>
    <d v="2026-09-06T01:35:40"/>
    <x v="3"/>
    <m/>
    <s v="7000"/>
    <s v="MPS - Hora Manutenção Preventiva Sistemática"/>
    <s v="MPS - EXEC MANUT"/>
    <s v="Mãe"/>
    <x v="8"/>
    <s v="PM 1000h + 24BLs"/>
    <s v="PREVENTIVA"/>
    <s v="1000 HORAS"/>
    <s v=""/>
    <s v=""/>
    <s v=""/>
    <m/>
    <m/>
    <m/>
  </r>
  <r>
    <n v="0"/>
    <m/>
    <m/>
    <m/>
    <m/>
    <m/>
    <m/>
    <m/>
    <m/>
    <m/>
    <m/>
    <m/>
    <m/>
    <n v="1"/>
    <s v="ELETRICO"/>
    <x v="3"/>
    <s v="Corretivas"/>
    <n v="7.376944444491528"/>
    <x v="1"/>
    <s v="NÃO EXP.MAE"/>
    <s v="NÃO"/>
    <n v="0"/>
    <n v="0"/>
    <n v="0"/>
    <x v="969"/>
    <d v="2026-09-06T23:23:16"/>
    <x v="3"/>
    <s v="202604686283"/>
    <s v="9000"/>
    <s v="HMC - Hora de Manutenção Corretiva"/>
    <s v="HMC - EXEC MANUT"/>
    <s v="Mãe"/>
    <x v="8"/>
    <s v="202604686283 - BAIXO NÍVEL LÍQUIDO ARREFECEDOR- CORRIGIDO CORDOALHA DO FINAL DO SENSOR DO LIQUIDO ARREFECIMENTO DO MOTOR"/>
    <s v="ELETRICO"/>
    <s v="ARREFECIMENTO"/>
    <s v="SENSOR DE NIVEL"/>
    <s v="FALHA"/>
    <s v="CORRIGIR"/>
    <s v="Mecânica"/>
    <s v="Motor Combustao - Admissao"/>
    <s v="Mangueira"/>
  </r>
  <r>
    <n v="0"/>
    <m/>
    <m/>
    <m/>
    <m/>
    <m/>
    <m/>
    <m/>
    <m/>
    <m/>
    <m/>
    <m/>
    <m/>
    <n v="1"/>
    <s v="LOCOMOÇÃO"/>
    <x v="1"/>
    <s v="Man. Pneus"/>
    <n v="0.23111111117759719"/>
    <x v="1"/>
    <s v="NÃO EXP.MAE"/>
    <s v="NÃO"/>
    <n v="0"/>
    <n v="0"/>
    <n v="0"/>
    <x v="970"/>
    <d v="2026-09-07T01:10:47"/>
    <x v="3"/>
    <m/>
    <s v="8010"/>
    <s v="MPNS - Hora Manutenção Preventiva não Sistemática"/>
    <s v="MPNS - EXEC BORRACHARIA"/>
    <s v="Mãe"/>
    <x v="8"/>
    <s v="MACHINE GEN Atraso iniciado: DESLOC BAIA - MANUTENCAO"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0"/>
    <s v="LOCOMOÇÃO"/>
    <x v="1"/>
    <s v="Man. Pneus"/>
    <n v="0.75972222222480923"/>
    <x v="1"/>
    <s v="NÃO EXP.MAE"/>
    <s v="NÃO"/>
    <n v="0"/>
    <n v="0"/>
    <n v="0"/>
    <x v="971"/>
    <d v="2026-09-07T01:56:22"/>
    <x v="3"/>
    <m/>
    <s v="8010"/>
    <s v="MPNS - Hora Manutenção Preventiva não Sistemática"/>
    <s v="MPNS - EXEC BORRACHARIA"/>
    <s v="Mãe"/>
    <x v="8"/>
    <s v="BAIXA PRESSÃO DO PNEU TDI / TDE"/>
    <s v="LOCOMOCAO"/>
    <s v="RODA TDI/TDE"/>
    <s v="PNEU"/>
    <s v="BAIXA PRESSAO"/>
    <s v="CALIBRAR"/>
    <m/>
    <m/>
    <m/>
  </r>
  <r>
    <n v="0"/>
    <m/>
    <m/>
    <m/>
    <m/>
    <m/>
    <m/>
    <m/>
    <m/>
    <m/>
    <m/>
    <m/>
    <m/>
    <n v="1"/>
    <s v="DIRECAO"/>
    <x v="3"/>
    <s v="Corretivas"/>
    <n v="1.8611111111822538"/>
    <x v="1"/>
    <s v="NÃO EXP.MAE"/>
    <s v="NÃO"/>
    <n v="0"/>
    <n v="0"/>
    <n v="0"/>
    <x v="972"/>
    <d v="2026-09-07T04:22:59"/>
    <x v="3"/>
    <s v="202604693611"/>
    <s v="9000"/>
    <s v="HMC - Hora de Manutenção Corretiva"/>
    <s v="HMC - EXEC MANUT"/>
    <s v="Mãe"/>
    <x v="8"/>
    <s v="202604693611- BAIXO NIVEL DO OLEO DA DIREÇÃO- COMPLETADO NIVEL DE OLEO HIDRAULICO E VERIFICADO OS NIVEIS"/>
    <s v="DIRECAO"/>
    <s v="LUBRIFICACAO"/>
    <s v="OLEO"/>
    <s v="BAIXO NIVEL"/>
    <s v="COMPLETAR"/>
    <s v="Mecânica"/>
    <s v="Direcao - Tanque Oleo"/>
    <s v="Oleo-Nivel Baixo"/>
  </r>
  <r>
    <n v="0"/>
    <m/>
    <m/>
    <m/>
    <m/>
    <m/>
    <m/>
    <m/>
    <m/>
    <m/>
    <m/>
    <m/>
    <m/>
    <n v="1"/>
    <s v="LOCOMOÇÃO"/>
    <x v="1"/>
    <s v="Man. Pneus"/>
    <n v="3.2108333333744667"/>
    <x v="1"/>
    <s v="NÃO EXP.MAE"/>
    <s v="NÃO"/>
    <n v="0"/>
    <n v="0"/>
    <n v="0"/>
    <x v="973"/>
    <d v="2026-09-08T10:44:54"/>
    <x v="3"/>
    <m/>
    <s v="8010"/>
    <s v="MPNS - Hora Manutenção Preventiva não Sistemática"/>
    <s v="MPNS - EXEC BORRACHARIA"/>
    <s v="Mãe"/>
    <x v="8"/>
    <s v="BLOCO NO PNEU"/>
    <s v="LOCOMOCAO"/>
    <s v="RODA"/>
    <s v="PNEU"/>
    <s v="OBSTRUCAO"/>
    <s v="DESOBSTRUIR"/>
    <m/>
    <m/>
    <m/>
  </r>
  <r>
    <n v="0"/>
    <m/>
    <m/>
    <m/>
    <m/>
    <m/>
    <m/>
    <m/>
    <m/>
    <m/>
    <m/>
    <m/>
    <m/>
    <n v="1"/>
    <s v="LOCOMOÇÃO"/>
    <x v="1"/>
    <s v="Man. Pneus"/>
    <n v="3.5669444446102716"/>
    <x v="1"/>
    <s v="NÃO EXP.MAE"/>
    <s v="NÃO"/>
    <n v="0"/>
    <n v="0"/>
    <n v="0"/>
    <x v="974"/>
    <d v="2026-09-08T20:08:26"/>
    <x v="3"/>
    <m/>
    <s v="8010"/>
    <s v="MPNS - Hora Manutenção Preventiva não Sistemática"/>
    <s v="MPNS - EXEC BORRACHARIA"/>
    <s v="Mãe"/>
    <x v="8"/>
    <s v="BAIXA PRESSÃO DE AR NIVEL 3 DO  PNEU TDI"/>
    <s v="LOCOMOCAO"/>
    <s v="RODA TDI"/>
    <s v="PNEU"/>
    <s v="BAIXA PRESSAO"/>
    <s v="CALIBRAR"/>
    <m/>
    <m/>
    <m/>
  </r>
  <r>
    <n v="0"/>
    <m/>
    <m/>
    <m/>
    <m/>
    <m/>
    <m/>
    <m/>
    <m/>
    <m/>
    <m/>
    <m/>
    <m/>
    <n v="1"/>
    <s v="COMBATE INCENDIO"/>
    <x v="3"/>
    <s v="Acessórios"/>
    <n v="3.6725000000442378"/>
    <x v="0"/>
    <s v="EXP.MAE"/>
    <s v="NÃO"/>
    <n v="0"/>
    <n v="0"/>
    <n v="0"/>
    <x v="975"/>
    <d v="2026-09-10T22:40:06"/>
    <x v="3"/>
    <s v="202604773587"/>
    <s v="9032"/>
    <s v="HMC - Hora de Manutenção Corretiva"/>
    <s v="HMC - EXEC TERCEIROS TRABALHANDO"/>
    <s v="Mãe"/>
    <x v="8"/>
    <s v="FALHA NO SISTEMA AFEX- -EFETUADA LIMPEZA NOS CONECTORES DO PAINEL MAT 370 - 202604773587"/>
    <s v="SISTEMA AFEX"/>
    <s v="COMBATE INCENDIO"/>
    <s v="CONEXOES"/>
    <s v="SUJEIRA"/>
    <s v="LIMPAR"/>
    <s v="Elétrica"/>
    <s v="Combate Incendio - Acionamento Automatico"/>
    <s v="Sensor de Chama"/>
  </r>
  <r>
    <n v="0"/>
    <m/>
    <m/>
    <m/>
    <m/>
    <m/>
    <m/>
    <m/>
    <m/>
    <m/>
    <m/>
    <m/>
    <m/>
    <n v="1"/>
    <s v="LOCOMOÇÃO"/>
    <x v="1"/>
    <s v="Man. Pneus"/>
    <n v="0.48055555543396622"/>
    <x v="1"/>
    <s v="NÃO EXP.MAE"/>
    <s v="NÃO"/>
    <n v="0"/>
    <n v="0"/>
    <n v="0"/>
    <x v="976"/>
    <d v="2026-09-12T02:07:06"/>
    <x v="3"/>
    <m/>
    <s v="8010"/>
    <s v="MPNS - Hora Manutenção Preventiva não Sistemática"/>
    <s v="MPNS - EXEC BORRACHARIA"/>
    <s v="Mãe"/>
    <x v="8"/>
    <s v="CALIBRAR O PNEU TDI E TDE"/>
    <s v="LOCOMOCAO"/>
    <s v="RODA TDI / TDE"/>
    <s v="PNEU"/>
    <s v="DESCALIBRADO"/>
    <s v="CALIBRAR"/>
    <m/>
    <m/>
    <m/>
  </r>
  <r>
    <n v="0"/>
    <m/>
    <m/>
    <m/>
    <m/>
    <m/>
    <m/>
    <m/>
    <m/>
    <m/>
    <m/>
    <m/>
    <m/>
    <n v="1"/>
    <s v="ELETRICO"/>
    <x v="3"/>
    <s v="Corretivas"/>
    <n v="5.5152777777984738"/>
    <x v="1"/>
    <s v="NÃO EXP.MAE"/>
    <s v="NÃO"/>
    <n v="0"/>
    <n v="0"/>
    <n v="0"/>
    <x v="977"/>
    <d v="2026-09-15T11:55:00"/>
    <x v="3"/>
    <s v="202604842638"/>
    <s v="9000"/>
    <s v="HMC - Hora de Manutenção Corretiva"/>
    <s v="HMC - EXEC MANUT"/>
    <s v="Mãe"/>
    <x v="8"/>
    <s v="202604842638 - FALHA NA PARTIDA - SUBS DOIS MOTOR DE PARDIDA"/>
    <s v="ELETRICO"/>
    <s v="SISTEMA DE PARTIDA"/>
    <s v="MOTOR DE PARTIDA"/>
    <s v="FALHA"/>
    <s v="SUBSTITUIR"/>
    <s v="Elétrica"/>
    <s v="Eletrico - Motor Combustao"/>
    <s v="Motor de Partida Eletrico"/>
  </r>
  <r>
    <n v="0"/>
    <m/>
    <m/>
    <m/>
    <m/>
    <m/>
    <m/>
    <m/>
    <m/>
    <m/>
    <m/>
    <m/>
    <m/>
    <n v="1"/>
    <s v="ESTRUTURA"/>
    <x v="3"/>
    <s v="Corretivas"/>
    <n v="0.71194444445427507"/>
    <x v="1"/>
    <s v="NÃO EXP.MAE"/>
    <s v="NÃO"/>
    <n v="0"/>
    <n v="0"/>
    <n v="0"/>
    <x v="978"/>
    <d v="2026-09-15T19:44:53"/>
    <x v="3"/>
    <s v="202604853367"/>
    <s v="9000"/>
    <s v="HMC - Hora de Manutenção Corretiva"/>
    <s v="HMC - EXEC MANUT"/>
    <s v="Mãe"/>
    <x v="8"/>
    <s v="VEDAÇÃO DA PORTA SOLTA   202604853367   SUBSTITUIDO  VEDAÇÃO DA PORTA MT: 1150266"/>
    <s v="ESTRUTURA"/>
    <s v="CABINE"/>
    <s v="VEDACAO"/>
    <s v="AVARIA"/>
    <s v="SUBSTITUIR"/>
    <s v="Mecânica"/>
    <s v="Estrutura - Cabine"/>
    <s v="Porta-Vedacao"/>
  </r>
  <r>
    <n v="0"/>
    <m/>
    <m/>
    <m/>
    <m/>
    <m/>
    <m/>
    <m/>
    <m/>
    <m/>
    <m/>
    <m/>
    <m/>
    <n v="1"/>
    <s v="INSPEÇÃO SENSITIVA"/>
    <x v="4"/>
    <s v="Inspeção"/>
    <n v="1.214999999909196"/>
    <x v="1"/>
    <s v="NÃO EXP.MAE"/>
    <s v="NÃO"/>
    <n v="0"/>
    <n v="0"/>
    <n v="0"/>
    <x v="979"/>
    <d v="2026-09-17T12:10:45"/>
    <x v="3"/>
    <m/>
    <s v="7005"/>
    <s v="MPS - Hora Manutenção Preventiva Sistemática"/>
    <s v="MPS-EXEC INSP MECANICA"/>
    <s v="Mãe"/>
    <x v="8"/>
    <s v="MACHINE GEN Started a delay: MPS - Exec insp mecanica"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MOTOR DE COMBUSTÃO"/>
    <x v="3"/>
    <s v="Corretivas"/>
    <n v="0.51111111114732921"/>
    <x v="1"/>
    <s v="NÃO EXP.MAE"/>
    <s v="NÃO"/>
    <n v="0"/>
    <n v="0"/>
    <n v="0"/>
    <x v="980"/>
    <d v="2026-09-17T13:04:36"/>
    <x v="3"/>
    <s v="0"/>
    <s v="9000"/>
    <s v="HMC - Hora de Manutenção Corretiva"/>
    <s v="HMC - EXEC MANUT"/>
    <s v="Mãe"/>
    <x v="8"/>
    <s v="BAIXO RENDIMENTO - EQUIPAMENTO LIBERADO SEM ATUAÇÃO PELA MANUTENÇÃO EM ACORDO COM OPERAÇÃO"/>
    <s v="MOTOR DE COMBUSTAO"/>
    <s v="MOTOR DE COMBUSTAO"/>
    <s v="MOTOR DE COMBUSTAO"/>
    <s v="SEM ATUACAO"/>
    <m/>
    <s v="Mecânica"/>
    <s v="Motor Combustao - Admissao"/>
    <s v="Fixacão-Fixacao"/>
  </r>
  <r>
    <n v="0"/>
    <m/>
    <m/>
    <m/>
    <m/>
    <m/>
    <m/>
    <m/>
    <m/>
    <m/>
    <m/>
    <m/>
    <m/>
    <n v="1"/>
    <s v="LOCOMOÇÃO"/>
    <x v="1"/>
    <s v="Man. Pneus"/>
    <n v="0.74027777777519077"/>
    <x v="1"/>
    <s v="NÃO EXP.MAE"/>
    <s v="NÃO"/>
    <n v="0"/>
    <n v="0"/>
    <n v="0"/>
    <x v="981"/>
    <d v="2026-09-17T22:11:58"/>
    <x v="3"/>
    <m/>
    <s v="8010"/>
    <s v="MPNS - Hora Manutenção Preventiva não Sistemática"/>
    <s v="MPNS - EXEC BORRACHARIA"/>
    <s v="Mãe"/>
    <x v="8"/>
    <s v="MACHINE GEN Atraso iniciado: MPS - Exec borracharia"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DIRECAO"/>
    <x v="3"/>
    <s v="Corretivas"/>
    <n v="2.4319444445427507"/>
    <x v="1"/>
    <s v="NÃO EXP.MAE"/>
    <s v="NÃO"/>
    <n v="0"/>
    <n v="0"/>
    <n v="0"/>
    <x v="982"/>
    <d v="2026-09-18T22:17:39"/>
    <x v="3"/>
    <s v="202604929870"/>
    <s v="9000"/>
    <s v="HMC - Hora de Manutenção Corretiva"/>
    <s v="HMC - EXEC MANUT"/>
    <s v="Mãe"/>
    <x v="8"/>
    <s v="202604929870- BAIXO NIVEL DE OLEO DA DIREÇÃO - REALIZADO COMPLEMENTO DO OLEO DA DIREÇÃO E REALIZADO LIMPEZA NO CONECTOR DO SENSOR DE NIVEL DO OLEO DA DIREÇÃO"/>
    <s v="DIRECAO"/>
    <s v="LUBRIFICACAO"/>
    <s v="OLEO"/>
    <s v="BAIXO NIVEL"/>
    <s v="COMPLETAR"/>
    <s v="Mecânica"/>
    <s v="Direcao - Tanque Oleo"/>
    <s v="Oleo-Nivel"/>
  </r>
  <r>
    <n v="0"/>
    <m/>
    <m/>
    <m/>
    <m/>
    <m/>
    <m/>
    <m/>
    <m/>
    <m/>
    <m/>
    <m/>
    <m/>
    <n v="1"/>
    <s v="MOTOR DE COMBUSTÃO"/>
    <x v="3"/>
    <s v="Corretivas"/>
    <n v="2.9127777778194286"/>
    <x v="1"/>
    <s v="NÃO EXP.MAE"/>
    <s v="NÃO"/>
    <n v="0"/>
    <n v="0"/>
    <n v="0"/>
    <x v="983"/>
    <d v="2026-09-21T07:49:06"/>
    <x v="3"/>
    <m/>
    <s v="9000"/>
    <s v="HMC - Hora de Manutenção Corretiva"/>
    <s v="HMC - EXEC MANUT"/>
    <s v="Mãe"/>
    <x v="8"/>
    <s v="202604959968 - BAIXO RENDIMENTO - APERTADO MANGUEIRA DA BOMBA DE TRANSFERENCIA"/>
    <s v="MOTOR DE COMBUSTAO"/>
    <m/>
    <s v="MANGUEIRA"/>
    <s v="FIXACAO"/>
    <s v="FIXAR"/>
    <m/>
    <m/>
    <m/>
  </r>
  <r>
    <n v="0"/>
    <m/>
    <m/>
    <m/>
    <m/>
    <m/>
    <m/>
    <m/>
    <m/>
    <m/>
    <m/>
    <m/>
    <m/>
    <n v="1"/>
    <s v="LOCOMOÇÃO"/>
    <x v="1"/>
    <s v="Man. Pneus"/>
    <n v="0.48305555549450219"/>
    <x v="0"/>
    <s v="EXP.MAE"/>
    <s v="NÃO"/>
    <n v="0"/>
    <n v="0"/>
    <n v="0"/>
    <x v="984"/>
    <d v="2026-09-21T21:37:44"/>
    <x v="3"/>
    <m/>
    <s v="8116"/>
    <s v="MPNS - Hora Manutenção Preventiva não Sistemática"/>
    <s v="MPNS - AG LOCOMOCAO"/>
    <s v="Mãe"/>
    <x v="8"/>
    <m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0"/>
    <s v="LOCOMOÇÃO"/>
    <x v="1"/>
    <s v="Man. Pneus"/>
    <n v="0.49583333329064772"/>
    <x v="1"/>
    <s v="NÃO EXP.MAE"/>
    <s v="NÃO"/>
    <n v="0"/>
    <n v="0"/>
    <n v="0"/>
    <x v="985"/>
    <d v="2026-09-21T22:07:29"/>
    <x v="3"/>
    <m/>
    <s v="8010"/>
    <s v="MPNS - Hora Manutenção Preventiva não Sistemática"/>
    <s v="MPNS - EXEC BORRACHARIA"/>
    <s v="Mãe"/>
    <x v="8"/>
    <m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LOCOMOÇÃO"/>
    <x v="1"/>
    <s v="Man. Pneus"/>
    <n v="0.343611111107748"/>
    <x v="0"/>
    <s v="EXP.MAE"/>
    <s v="NÃO"/>
    <n v="0"/>
    <n v="0"/>
    <n v="0"/>
    <x v="986"/>
    <d v="2026-09-23T03:10:07"/>
    <x v="3"/>
    <m/>
    <s v="8116"/>
    <s v="MPNS - Hora Manutenção Preventiva não Sistemática"/>
    <s v="MPNS - AG LOCOMOCAO"/>
    <s v="Mãe"/>
    <x v="8"/>
    <s v="CORRIGIR VAZAMENTO DE AR NO PNEU TDE"/>
    <s v="LOCOMOCAO"/>
    <s v="RODA TDE"/>
    <s v="PNEU"/>
    <s v="VAZAMENTO"/>
    <s v="CORRIGIR"/>
    <m/>
    <m/>
    <m/>
  </r>
  <r>
    <n v="0"/>
    <m/>
    <m/>
    <m/>
    <m/>
    <m/>
    <m/>
    <m/>
    <m/>
    <m/>
    <m/>
    <m/>
    <m/>
    <n v="0"/>
    <s v="LOCOMOÇÃO"/>
    <x v="1"/>
    <s v="Man. Pneus"/>
    <n v="25.410555555601604"/>
    <x v="1"/>
    <s v="NÃO EXP.MAE"/>
    <s v="NÃO"/>
    <n v="0"/>
    <n v="0"/>
    <n v="0"/>
    <x v="987"/>
    <d v="2026-09-24T04:34:45"/>
    <x v="3"/>
    <m/>
    <s v="8010"/>
    <s v="MPNS - Hora Manutenção Preventiva não Sistemática"/>
    <s v="MPNS - EXEC BORRACHARIA"/>
    <s v="Mãe"/>
    <x v="8"/>
    <s v="CORRIGIR VAZAMENTO DE AR NO PNEU TDE"/>
    <s v="LOCOMOCAO"/>
    <s v="RODA TDE"/>
    <s v="PNEU"/>
    <s v="VAZAMENTO"/>
    <s v="CORRIGIR"/>
    <m/>
    <m/>
    <m/>
  </r>
  <r>
    <n v="0"/>
    <m/>
    <m/>
    <m/>
    <m/>
    <m/>
    <m/>
    <m/>
    <m/>
    <m/>
    <m/>
    <m/>
    <m/>
    <n v="1"/>
    <s v="LOCOMOÇÃO"/>
    <x v="3"/>
    <s v="Man. Pneus"/>
    <n v="8.2408333332859911"/>
    <x v="1"/>
    <s v="NÃO EXP.MAE"/>
    <s v="NÃO"/>
    <n v="0"/>
    <n v="0"/>
    <n v="0"/>
    <x v="988"/>
    <d v="2026-09-25T11:32:01"/>
    <x v="3"/>
    <s v="202605055321"/>
    <s v="9010"/>
    <s v="HMC - Hora de Manutenção Corretiva"/>
    <s v="HMC - EXEC BORRACHARIA"/>
    <s v="Mãe"/>
    <x v="8"/>
    <s v="202605055321 - BAIXA PRESSÃO DO PNEU TDE - SUBSTITUIDO PNEU TDE E CORRIGIDO VAZAMENTO DE AR."/>
    <s v="LOCOMOCAO"/>
    <s v="RODA TDE"/>
    <s v="PNEU"/>
    <s v="AVARIA"/>
    <s v="SUBSTITUIR"/>
    <s v="Borracharia"/>
    <s v="Locomocao - Roda Tde"/>
    <s v="Pneu"/>
  </r>
  <r>
    <n v="0"/>
    <m/>
    <m/>
    <m/>
    <m/>
    <m/>
    <m/>
    <m/>
    <m/>
    <m/>
    <m/>
    <m/>
    <m/>
    <n v="1"/>
    <s v="SISTEMA ALERTA DE PROXIMIDADE"/>
    <x v="3"/>
    <s v="Acessórios"/>
    <n v="1.4302777777193114"/>
    <x v="0"/>
    <s v="EXP.MAE"/>
    <s v="NÃO"/>
    <n v="0"/>
    <n v="0"/>
    <n v="0"/>
    <x v="989"/>
    <d v="2026-09-25T16:30:08"/>
    <x v="3"/>
    <s v="202605062033"/>
    <s v="9031"/>
    <s v="HMC - Hora de Manutenção Corretiva"/>
    <s v="HMC - EXEC SIST EMBARCADOS/AUTOMACAO"/>
    <s v="Mãe"/>
    <x v="8"/>
    <s v="202605062033 - FALHA HEXAGON - CORRIGIDO HEXAGON CABO FIXAÇÃO"/>
    <s v="SISTEMA ALERTA DE PROXIMIDADE"/>
    <s v="HEXAGON"/>
    <s v="CABO/FIACAO"/>
    <s v="FALHA"/>
    <s v="CORRIGIR"/>
    <s v="Automação"/>
    <s v="Alerta De Proximidade - Cabo Danificado"/>
    <s v="Gps - Falha Comunicação"/>
  </r>
  <r>
    <n v="0"/>
    <m/>
    <m/>
    <m/>
    <m/>
    <m/>
    <m/>
    <m/>
    <m/>
    <m/>
    <m/>
    <m/>
    <m/>
    <n v="1"/>
    <s v="SISTEMA ALERTA DE PROXIMIDADE"/>
    <x v="3"/>
    <s v="Acessórios"/>
    <n v="4.2594444444403052"/>
    <x v="0"/>
    <s v="EXP.MAE"/>
    <s v="NÃO"/>
    <n v="0"/>
    <n v="0"/>
    <n v="0"/>
    <x v="990"/>
    <d v="2026-09-25T21:24:15"/>
    <x v="3"/>
    <m/>
    <s v="9131"/>
    <s v="HMC - Hora de Manutenção Corretiva"/>
    <s v="HMC - SIST EMBARCADO/AUTOMACAO"/>
    <s v="Mãe"/>
    <x v="8"/>
    <s v="FALHA NO HEXAGON-SUBSTITUIDO CABO DO SENSOR DAS ANTENAS"/>
    <s v="SISTEMA ALERTA DE PROXIMIDADE"/>
    <s v="HEXAGON"/>
    <s v="CABO/FIACAO"/>
    <s v="FALHA"/>
    <s v="SUBSTITUIR"/>
    <s v="Automação"/>
    <s v="Alerta De Proximidade - Cabo Danificado"/>
    <s v="Gps - Falha Comunicação"/>
  </r>
  <r>
    <n v="0"/>
    <m/>
    <m/>
    <m/>
    <m/>
    <m/>
    <m/>
    <m/>
    <m/>
    <m/>
    <m/>
    <m/>
    <m/>
    <n v="1"/>
    <s v="SISTEMA ALERTA DE PROXIMIDADE"/>
    <x v="3"/>
    <s v="Acessórios"/>
    <n v="2.1616666667978279"/>
    <x v="0"/>
    <s v="EXP.MAE"/>
    <s v="NÃO"/>
    <n v="0"/>
    <n v="0"/>
    <n v="0"/>
    <x v="991"/>
    <d v="2026-09-26T07:57:08"/>
    <x v="3"/>
    <m/>
    <s v="9032"/>
    <s v="HMC - Hora de Manutenção Corretiva"/>
    <s v="HMC - EXEC TERCEIROS TRABALHANDO"/>
    <s v="Mãe"/>
    <x v="8"/>
    <s v="FALHA NO SENSOR DE APROXIMAÇÃO EXAGON - TROCADO ANTENA"/>
    <s v="SISTEMA ALERTA DE PROXIMIDADE"/>
    <s v="HEXAGON"/>
    <s v="SENSOR"/>
    <s v="FALHA"/>
    <s v="SUBSTITUIR"/>
    <s v="Automação"/>
    <s v="Alerta De Proximidade - Cabo Danificado"/>
    <s v="Gps - Falha Comunicação"/>
  </r>
  <r>
    <n v="0"/>
    <m/>
    <m/>
    <m/>
    <m/>
    <m/>
    <m/>
    <m/>
    <m/>
    <m/>
    <m/>
    <m/>
    <m/>
    <n v="1"/>
    <s v="LOCOMOÇÃO"/>
    <x v="1"/>
    <s v="Man. Pneus"/>
    <n v="1.0569444444263354"/>
    <x v="1"/>
    <s v="NÃO EXP.MAE"/>
    <s v="NÃO"/>
    <n v="0"/>
    <n v="0"/>
    <n v="0"/>
    <x v="992"/>
    <d v="2026-09-26T10:32:51"/>
    <x v="3"/>
    <m/>
    <s v="8010"/>
    <s v="MPNS - Hora Manutenção Preventiva não Sistemática"/>
    <s v="MPNS - EXEC BORRACHARIA"/>
    <s v="Mãe"/>
    <x v="8"/>
    <s v="CONFERIR TORQUE NO PNEU"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LOCOMOÇÃO"/>
    <x v="1"/>
    <s v="Man. Pneus"/>
    <n v="0.48000000009778887"/>
    <x v="1"/>
    <s v="NÃO EXP.MAE"/>
    <s v="NÃO"/>
    <n v="0"/>
    <n v="0"/>
    <n v="0"/>
    <x v="993"/>
    <d v="2026-09-27T15:03:44"/>
    <x v="3"/>
    <m/>
    <s v="8010"/>
    <s v="MPNS - Hora Manutenção Preventiva não Sistemática"/>
    <s v="MPNS - EXEC BORRACHARIA"/>
    <s v="Mãe"/>
    <x v="8"/>
    <m/>
    <s v="LOCOMOCAO"/>
    <s v="LOCOMOCAO"/>
    <s v="LOCOMOCAO"/>
    <s v="LOCOMOCAO"/>
    <s v="LOCOMOCAO"/>
    <m/>
    <m/>
    <m/>
  </r>
  <r>
    <n v="0"/>
    <m/>
    <m/>
    <m/>
    <m/>
    <m/>
    <m/>
    <m/>
    <m/>
    <m/>
    <m/>
    <m/>
    <m/>
    <n v="1"/>
    <s v="REVISÃO PREVENTIVA"/>
    <x v="4"/>
    <s v="Preventivas"/>
    <n v="3.0005555556854233"/>
    <x v="1"/>
    <s v="NÃO EXP.MAE"/>
    <s v="NÃO"/>
    <n v="0"/>
    <n v="0"/>
    <n v="0"/>
    <x v="994"/>
    <d v="2026-09-28T14:28:01"/>
    <x v="3"/>
    <m/>
    <s v="7000"/>
    <s v="MPS - Hora Manutenção Preventiva Sistemática"/>
    <s v="MPS - EXEC MANUT"/>
    <s v="Mãe"/>
    <x v="8"/>
    <s v="PM 250hs + 6BLs"/>
    <s v="PREVENTIVA"/>
    <s v="PITSTOP"/>
    <s v=""/>
    <s v=""/>
    <s v=""/>
    <m/>
    <m/>
    <m/>
  </r>
  <r>
    <n v="0"/>
    <m/>
    <m/>
    <m/>
    <m/>
    <m/>
    <m/>
    <m/>
    <m/>
    <m/>
    <m/>
    <m/>
    <m/>
    <n v="1"/>
    <s v="INSPEÇÃO SENSITIVA"/>
    <x v="4"/>
    <s v="Inspeção"/>
    <n v="1.5911111111054197"/>
    <x v="1"/>
    <s v="NÃO EXP.MAE"/>
    <s v="NÃO"/>
    <n v="0"/>
    <n v="0"/>
    <n v="0"/>
    <x v="995"/>
    <d v="2026-10-02T11:55:54"/>
    <x v="3"/>
    <m/>
    <s v="7005"/>
    <s v="MPS - Hora Manutenção Preventiva Sistemática"/>
    <s v="MPS-EXEC INSP MECANICA"/>
    <s v="Mãe"/>
    <x v="9"/>
    <m/>
    <s v="INSPEÇÃO"/>
    <s v="INSPEÇÃO"/>
    <s v="INSPEÇÃO"/>
    <s v="INSPEÇÃO"/>
    <s v="INSPEÇÃO"/>
    <m/>
    <m/>
    <m/>
  </r>
  <r>
    <n v="0"/>
    <m/>
    <m/>
    <m/>
    <m/>
    <m/>
    <m/>
    <m/>
    <m/>
    <m/>
    <m/>
    <m/>
    <m/>
    <n v="1"/>
    <s v="DIRECAO"/>
    <x v="3"/>
    <s v="Corretivas"/>
    <n v="1.7788888889481314"/>
    <x v="1"/>
    <s v="NÃO EXP.MAE"/>
    <s v="NÃO"/>
    <n v="0"/>
    <n v="0"/>
    <n v="0"/>
    <x v="996"/>
    <d v="2026-10-03T07:44:24"/>
    <x v="3"/>
    <s v="202605198372"/>
    <s v="9000"/>
    <s v="HMC - Hora de Manutenção Corretiva"/>
    <s v="HMC - EXEC MANUT"/>
    <s v="Mãe"/>
    <x v="9"/>
    <s v="202605198372 BAIXO NIVEL DE ÓLEO DA DIREÇÃO  EQUIPE CHEGOU NO EQUIPAMENTO E O SENSOR E NIVEL ESTÃO NORMAL , SEM NECESSIDADE DE ATUAÇÃO"/>
    <s v="DIRECAO"/>
    <s v="LUBRIFICACAO"/>
    <s v="OLEO"/>
    <s v="SEM ATUACAO"/>
    <s v=""/>
    <s v="Mecânica"/>
    <s v="Direcao - Tanque Oleo"/>
    <s v="Oleo-Nivel Baixo"/>
  </r>
  <r>
    <n v="0"/>
    <m/>
    <m/>
    <m/>
    <m/>
    <m/>
    <m/>
    <m/>
    <m/>
    <m/>
    <m/>
    <m/>
    <m/>
    <n v="1"/>
    <s v="LOCOMOÇÃO"/>
    <x v="3"/>
    <s v="Man. Pneus"/>
    <n v="3.0936111111659557"/>
    <x v="1"/>
    <s v="NÃO EXP.MAE"/>
    <s v="NÃO"/>
    <n v="0"/>
    <n v="0"/>
    <n v="0"/>
    <x v="997"/>
    <d v="2026-10-03T23:52:01"/>
    <x v="3"/>
    <s v="202605203219"/>
    <s v="9010"/>
    <s v="HMC - Hora de Manutenção Corretiva"/>
    <s v="HMC - EXEC BORRACHARIA"/>
    <s v="Mãe"/>
    <x v="9"/>
    <s v="BAIXA PRESSÃO DO PNEU TDI  202605203219  CALIBRADO  O PNEU TRASEIRO TEE TDI  81036838"/>
    <s v="LOCOMOCAO"/>
    <s v="RODA TDI/TEE"/>
    <s v="PNEU"/>
    <s v="BAIXA PRESSAO"/>
    <s v="CALIBRAR"/>
    <s v="Borracharia"/>
    <s v="Locomocao - Roda Tdi"/>
    <s v="Pneu-Pressao"/>
  </r>
  <r>
    <n v="0"/>
    <m/>
    <m/>
    <m/>
    <m/>
    <m/>
    <m/>
    <m/>
    <m/>
    <m/>
    <m/>
    <m/>
    <m/>
    <n v="1"/>
    <s v="DIRECAO"/>
    <x v="3"/>
    <s v="Corretivas"/>
    <n v="3.8858333334792405"/>
    <x v="1"/>
    <s v="NÃO EXP.MAE"/>
    <s v="NÃO"/>
    <n v="0"/>
    <n v="0"/>
    <n v="0"/>
    <x v="998"/>
    <d v="2026-10-04T09:47:10"/>
    <x v="3"/>
    <s v="202605210440"/>
    <s v="9000"/>
    <s v="HMC - Hora de Manutenção Corretiva"/>
    <s v="HMC - EXEC MANUT"/>
    <s v="Mãe"/>
    <x v="9"/>
    <s v="202605210440 BAIXO NIVEL DO OLEO DA DIREÇÃO - SUBS PINO DO SENSOR DE NIVEL DO OLEO HIDRAULICO"/>
    <s v="DIRECAO"/>
    <s v="ELETRICO"/>
    <s v="SENSOR"/>
    <s v="FALHA"/>
    <s v="CORRIGIR"/>
    <s v="Mecânica"/>
    <s v="Direcao - Tanque Oleo"/>
    <s v="Oleo-Nivel Baixo"/>
  </r>
  <r>
    <n v="0"/>
    <m/>
    <m/>
    <m/>
    <m/>
    <m/>
    <m/>
    <m/>
    <m/>
    <m/>
    <m/>
    <m/>
    <m/>
    <n v="1"/>
    <s v="DIRECAO"/>
    <x v="3"/>
    <s v="Corretivas"/>
    <n v="14.542500000097789"/>
    <x v="1"/>
    <s v="NÃO EXP.MAE"/>
    <s v="NÃO"/>
    <n v="0"/>
    <n v="0"/>
    <n v="0"/>
    <x v="999"/>
    <d v="2026-10-05T03:16:41"/>
    <x v="3"/>
    <m/>
    <s v="9000"/>
    <s v="HMC - Hora de Manutenção Corretiva"/>
    <s v="HMC - EXEC MANUT"/>
    <s v="Mãe"/>
    <x v="9"/>
    <s v="BAIXO NIVEL DE ÓLEO DA DIREÇÃO  -  202605214879   COMPLETADO 3O LITROS DE OLEO DA DIREÇÃO"/>
    <s v="DIRECAO"/>
    <s v="LUBRIFICACAO"/>
    <s v="OLEO"/>
    <s v="BAIXO NIVEL"/>
    <s v="COMPLETAR"/>
    <m/>
    <m/>
    <m/>
  </r>
  <r>
    <n v="0"/>
    <m/>
    <m/>
    <m/>
    <m/>
    <m/>
    <m/>
    <m/>
    <m/>
    <m/>
    <m/>
    <m/>
    <m/>
    <n v="1"/>
    <s v="DIRECAO"/>
    <x v="3"/>
    <s v="Corretivas"/>
    <n v="8.7088888889411464"/>
    <x v="1"/>
    <s v="NÃO EXP.MAE"/>
    <s v="NÃO"/>
    <n v="0"/>
    <n v="0"/>
    <n v="0"/>
    <x v="1000"/>
    <d v="2026-10-06T00:04:30"/>
    <x v="3"/>
    <s v="202605232825"/>
    <s v="9000"/>
    <s v="HMC - Hora de Manutenção Corretiva"/>
    <s v="HMC - EXEC MANUT"/>
    <s v="Mãe"/>
    <x v="9"/>
    <s v="202605232825- BAIXO NÍVEL DE ÓLEO DA DIREÇÃO- REALIZADO CURTO NO SENSOR DE NIVEL DE OLEO HIDRAULICO NA ALIMENTAÇÃO 8 VOLTS DO CAMINHÃO"/>
    <s v="DIRECAO"/>
    <s v="ELETRICO"/>
    <s v="SENSOR"/>
    <s v="CURTO-CIRCUITO"/>
    <s v="CORRIGIR"/>
    <s v="Mecânica"/>
    <s v="Direcao - Hidraulico"/>
    <s v="Filtro de Ole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A5604F-688E-4B8A-98EE-55078B5A8706}" name="Tabela dinâmica5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4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x="2"/>
        <item h="1" x="1"/>
        <item x="0"/>
        <item h="1" m="1" x="4"/>
        <item h="1" m="1" x="3"/>
        <item t="default"/>
      </items>
    </pivotField>
    <pivotField showAll="0"/>
    <pivotField showAll="0"/>
    <pivotField numFmtId="165" showAll="0"/>
    <pivotField numFmtId="165" showAll="0"/>
    <pivotField numFmtId="165" showAll="0"/>
    <pivotField numFmtId="164" showAll="0">
      <items count="1026">
        <item x="0"/>
        <item x="706"/>
        <item x="707"/>
        <item x="263"/>
        <item x="264"/>
        <item x="1"/>
        <item x="708"/>
        <item x="2"/>
        <item x="3"/>
        <item x="265"/>
        <item x="266"/>
        <item x="267"/>
        <item x="268"/>
        <item x="709"/>
        <item x="710"/>
        <item x="269"/>
        <item x="4"/>
        <item x="5"/>
        <item x="270"/>
        <item x="6"/>
        <item x="711"/>
        <item x="712"/>
        <item x="7"/>
        <item x="713"/>
        <item x="271"/>
        <item x="272"/>
        <item x="8"/>
        <item x="9"/>
        <item x="10"/>
        <item x="273"/>
        <item x="451"/>
        <item x="11"/>
        <item x="12"/>
        <item x="714"/>
        <item x="715"/>
        <item x="452"/>
        <item x="453"/>
        <item x="454"/>
        <item x="455"/>
        <item x="716"/>
        <item x="456"/>
        <item x="274"/>
        <item x="457"/>
        <item x="458"/>
        <item x="13"/>
        <item x="14"/>
        <item x="459"/>
        <item x="275"/>
        <item x="460"/>
        <item x="461"/>
        <item x="462"/>
        <item x="463"/>
        <item x="15"/>
        <item x="717"/>
        <item x="718"/>
        <item x="719"/>
        <item x="720"/>
        <item x="16"/>
        <item x="17"/>
        <item x="276"/>
        <item x="464"/>
        <item x="465"/>
        <item x="18"/>
        <item x="19"/>
        <item x="721"/>
        <item x="20"/>
        <item x="21"/>
        <item x="277"/>
        <item x="22"/>
        <item x="278"/>
        <item x="23"/>
        <item x="24"/>
        <item x="25"/>
        <item x="722"/>
        <item x="723"/>
        <item x="26"/>
        <item x="27"/>
        <item x="28"/>
        <item x="29"/>
        <item x="30"/>
        <item x="31"/>
        <item x="724"/>
        <item x="725"/>
        <item x="726"/>
        <item x="279"/>
        <item x="727"/>
        <item x="728"/>
        <item x="466"/>
        <item x="467"/>
        <item x="280"/>
        <item x="281"/>
        <item x="282"/>
        <item x="283"/>
        <item x="284"/>
        <item x="285"/>
        <item x="729"/>
        <item x="730"/>
        <item x="731"/>
        <item x="286"/>
        <item x="287"/>
        <item x="288"/>
        <item x="468"/>
        <item x="469"/>
        <item x="470"/>
        <item x="289"/>
        <item x="471"/>
        <item x="732"/>
        <item x="733"/>
        <item x="734"/>
        <item x="472"/>
        <item x="473"/>
        <item x="474"/>
        <item x="475"/>
        <item x="290"/>
        <item x="476"/>
        <item x="291"/>
        <item x="735"/>
        <item x="32"/>
        <item x="477"/>
        <item x="736"/>
        <item x="737"/>
        <item x="292"/>
        <item x="293"/>
        <item x="738"/>
        <item x="739"/>
        <item x="740"/>
        <item x="741"/>
        <item x="742"/>
        <item x="743"/>
        <item x="744"/>
        <item x="294"/>
        <item x="33"/>
        <item x="34"/>
        <item m="1" x="1021"/>
        <item x="295"/>
        <item m="1" x="1022"/>
        <item m="1" x="1023"/>
        <item x="296"/>
        <item x="36"/>
        <item x="745"/>
        <item x="478"/>
        <item x="479"/>
        <item x="746"/>
        <item x="747"/>
        <item x="748"/>
        <item x="37"/>
        <item x="749"/>
        <item x="750"/>
        <item x="751"/>
        <item x="752"/>
        <item x="753"/>
        <item x="297"/>
        <item x="754"/>
        <item x="755"/>
        <item x="756"/>
        <item x="480"/>
        <item x="298"/>
        <item x="299"/>
        <item x="757"/>
        <item x="758"/>
        <item x="481"/>
        <item x="482"/>
        <item x="483"/>
        <item x="759"/>
        <item x="760"/>
        <item x="484"/>
        <item x="485"/>
        <item x="38"/>
        <item x="39"/>
        <item x="40"/>
        <item x="761"/>
        <item x="762"/>
        <item x="41"/>
        <item x="300"/>
        <item x="763"/>
        <item x="764"/>
        <item x="486"/>
        <item x="487"/>
        <item x="301"/>
        <item x="765"/>
        <item x="488"/>
        <item x="489"/>
        <item x="766"/>
        <item x="767"/>
        <item x="302"/>
        <item x="303"/>
        <item x="304"/>
        <item x="305"/>
        <item x="768"/>
        <item x="769"/>
        <item x="306"/>
        <item x="770"/>
        <item x="771"/>
        <item x="772"/>
        <item x="773"/>
        <item x="774"/>
        <item x="307"/>
        <item x="308"/>
        <item x="309"/>
        <item x="42"/>
        <item x="310"/>
        <item x="311"/>
        <item x="490"/>
        <item x="491"/>
        <item x="775"/>
        <item x="776"/>
        <item x="777"/>
        <item x="43"/>
        <item x="492"/>
        <item x="493"/>
        <item x="494"/>
        <item x="495"/>
        <item x="312"/>
        <item x="496"/>
        <item x="497"/>
        <item x="778"/>
        <item x="779"/>
        <item x="313"/>
        <item x="314"/>
        <item x="498"/>
        <item x="499"/>
        <item x="44"/>
        <item x="780"/>
        <item x="500"/>
        <item x="501"/>
        <item x="315"/>
        <item x="502"/>
        <item x="45"/>
        <item x="503"/>
        <item x="46"/>
        <item x="47"/>
        <item x="48"/>
        <item x="49"/>
        <item x="50"/>
        <item x="51"/>
        <item x="52"/>
        <item x="504"/>
        <item x="505"/>
        <item x="506"/>
        <item x="316"/>
        <item x="53"/>
        <item x="54"/>
        <item x="317"/>
        <item x="55"/>
        <item x="56"/>
        <item x="507"/>
        <item x="781"/>
        <item x="782"/>
        <item x="318"/>
        <item x="319"/>
        <item x="320"/>
        <item x="321"/>
        <item x="783"/>
        <item x="322"/>
        <item x="323"/>
        <item x="324"/>
        <item x="57"/>
        <item x="508"/>
        <item x="509"/>
        <item x="510"/>
        <item x="511"/>
        <item x="784"/>
        <item x="512"/>
        <item x="785"/>
        <item x="58"/>
        <item x="59"/>
        <item x="513"/>
        <item x="325"/>
        <item x="514"/>
        <item x="786"/>
        <item x="787"/>
        <item x="326"/>
        <item x="60"/>
        <item x="61"/>
        <item x="62"/>
        <item x="788"/>
        <item x="789"/>
        <item x="63"/>
        <item x="515"/>
        <item x="516"/>
        <item x="517"/>
        <item x="327"/>
        <item x="518"/>
        <item x="519"/>
        <item x="520"/>
        <item x="790"/>
        <item x="521"/>
        <item x="522"/>
        <item x="64"/>
        <item x="65"/>
        <item x="66"/>
        <item x="791"/>
        <item x="792"/>
        <item x="67"/>
        <item x="793"/>
        <item x="68"/>
        <item x="69"/>
        <item x="328"/>
        <item x="523"/>
        <item x="524"/>
        <item x="70"/>
        <item x="329"/>
        <item x="330"/>
        <item x="794"/>
        <item x="331"/>
        <item x="71"/>
        <item x="72"/>
        <item x="73"/>
        <item x="74"/>
        <item x="332"/>
        <item x="333"/>
        <item x="334"/>
        <item x="335"/>
        <item x="336"/>
        <item x="337"/>
        <item x="338"/>
        <item x="795"/>
        <item x="339"/>
        <item x="525"/>
        <item x="75"/>
        <item x="526"/>
        <item x="527"/>
        <item x="340"/>
        <item x="528"/>
        <item x="341"/>
        <item x="342"/>
        <item x="343"/>
        <item x="344"/>
        <item x="76"/>
        <item x="345"/>
        <item x="529"/>
        <item x="346"/>
        <item x="347"/>
        <item x="796"/>
        <item x="348"/>
        <item x="349"/>
        <item x="797"/>
        <item x="798"/>
        <item x="77"/>
        <item x="799"/>
        <item x="800"/>
        <item x="350"/>
        <item x="801"/>
        <item x="802"/>
        <item x="78"/>
        <item x="530"/>
        <item x="531"/>
        <item x="532"/>
        <item x="533"/>
        <item x="803"/>
        <item x="534"/>
        <item x="804"/>
        <item x="805"/>
        <item x="535"/>
        <item x="806"/>
        <item x="351"/>
        <item x="807"/>
        <item x="79"/>
        <item x="808"/>
        <item x="809"/>
        <item x="536"/>
        <item x="810"/>
        <item x="811"/>
        <item x="352"/>
        <item x="353"/>
        <item x="354"/>
        <item x="355"/>
        <item x="356"/>
        <item x="80"/>
        <item x="357"/>
        <item x="812"/>
        <item x="813"/>
        <item x="537"/>
        <item x="358"/>
        <item x="359"/>
        <item x="81"/>
        <item x="538"/>
        <item x="82"/>
        <item x="814"/>
        <item x="360"/>
        <item x="361"/>
        <item x="362"/>
        <item x="363"/>
        <item x="364"/>
        <item x="365"/>
        <item x="366"/>
        <item x="815"/>
        <item x="83"/>
        <item x="539"/>
        <item x="816"/>
        <item x="84"/>
        <item x="817"/>
        <item x="818"/>
        <item x="819"/>
        <item x="820"/>
        <item x="821"/>
        <item x="85"/>
        <item x="86"/>
        <item x="87"/>
        <item x="88"/>
        <item x="89"/>
        <item x="90"/>
        <item x="822"/>
        <item x="540"/>
        <item x="367"/>
        <item x="541"/>
        <item x="542"/>
        <item x="91"/>
        <item x="823"/>
        <item x="824"/>
        <item x="92"/>
        <item x="93"/>
        <item x="94"/>
        <item x="95"/>
        <item x="96"/>
        <item x="543"/>
        <item x="544"/>
        <item x="545"/>
        <item x="546"/>
        <item x="547"/>
        <item x="97"/>
        <item x="548"/>
        <item x="825"/>
        <item x="826"/>
        <item x="98"/>
        <item x="827"/>
        <item x="99"/>
        <item x="100"/>
        <item x="101"/>
        <item x="102"/>
        <item x="103"/>
        <item x="549"/>
        <item x="828"/>
        <item x="829"/>
        <item x="830"/>
        <item x="831"/>
        <item x="832"/>
        <item x="833"/>
        <item x="550"/>
        <item x="834"/>
        <item x="551"/>
        <item x="552"/>
        <item x="835"/>
        <item x="553"/>
        <item x="836"/>
        <item x="837"/>
        <item x="554"/>
        <item x="555"/>
        <item x="556"/>
        <item x="557"/>
        <item x="838"/>
        <item x="839"/>
        <item x="840"/>
        <item x="841"/>
        <item x="842"/>
        <item x="558"/>
        <item x="104"/>
        <item x="105"/>
        <item x="843"/>
        <item x="844"/>
        <item x="106"/>
        <item x="107"/>
        <item x="845"/>
        <item x="559"/>
        <item x="846"/>
        <item x="847"/>
        <item x="560"/>
        <item x="108"/>
        <item x="109"/>
        <item x="110"/>
        <item x="111"/>
        <item x="112"/>
        <item x="113"/>
        <item x="561"/>
        <item x="114"/>
        <item x="848"/>
        <item x="115"/>
        <item x="849"/>
        <item x="116"/>
        <item x="117"/>
        <item x="118"/>
        <item x="562"/>
        <item x="119"/>
        <item x="850"/>
        <item x="563"/>
        <item x="120"/>
        <item x="121"/>
        <item x="122"/>
        <item x="851"/>
        <item x="123"/>
        <item x="124"/>
        <item x="368"/>
        <item x="125"/>
        <item x="126"/>
        <item x="564"/>
        <item x="127"/>
        <item x="128"/>
        <item x="852"/>
        <item x="853"/>
        <item x="854"/>
        <item x="855"/>
        <item x="856"/>
        <item x="129"/>
        <item x="130"/>
        <item x="131"/>
        <item x="132"/>
        <item x="565"/>
        <item x="133"/>
        <item x="566"/>
        <item x="567"/>
        <item x="857"/>
        <item x="858"/>
        <item x="859"/>
        <item x="568"/>
        <item x="569"/>
        <item x="570"/>
        <item x="571"/>
        <item x="572"/>
        <item x="369"/>
        <item x="573"/>
        <item x="574"/>
        <item x="370"/>
        <item x="134"/>
        <item x="135"/>
        <item x="136"/>
        <item x="137"/>
        <item x="138"/>
        <item x="575"/>
        <item x="139"/>
        <item x="140"/>
        <item x="141"/>
        <item x="142"/>
        <item x="860"/>
        <item x="576"/>
        <item x="861"/>
        <item x="862"/>
        <item x="863"/>
        <item x="864"/>
        <item x="143"/>
        <item x="865"/>
        <item x="144"/>
        <item x="577"/>
        <item x="866"/>
        <item x="867"/>
        <item x="145"/>
        <item x="146"/>
        <item x="868"/>
        <item x="578"/>
        <item x="579"/>
        <item x="147"/>
        <item x="148"/>
        <item x="869"/>
        <item x="870"/>
        <item x="580"/>
        <item x="871"/>
        <item x="581"/>
        <item x="872"/>
        <item x="582"/>
        <item x="583"/>
        <item x="149"/>
        <item x="873"/>
        <item x="874"/>
        <item x="875"/>
        <item x="150"/>
        <item x="876"/>
        <item x="584"/>
        <item x="371"/>
        <item x="372"/>
        <item x="877"/>
        <item x="878"/>
        <item x="879"/>
        <item x="880"/>
        <item x="585"/>
        <item x="151"/>
        <item x="586"/>
        <item x="373"/>
        <item x="374"/>
        <item x="881"/>
        <item x="152"/>
        <item x="587"/>
        <item x="153"/>
        <item x="882"/>
        <item x="883"/>
        <item x="588"/>
        <item x="375"/>
        <item x="884"/>
        <item x="376"/>
        <item x="589"/>
        <item x="590"/>
        <item x="591"/>
        <item x="592"/>
        <item x="593"/>
        <item x="885"/>
        <item x="377"/>
        <item x="886"/>
        <item x="378"/>
        <item x="154"/>
        <item x="594"/>
        <item x="595"/>
        <item x="379"/>
        <item x="155"/>
        <item x="887"/>
        <item x="888"/>
        <item x="156"/>
        <item x="889"/>
        <item x="596"/>
        <item x="597"/>
        <item x="157"/>
        <item x="890"/>
        <item x="891"/>
        <item x="598"/>
        <item x="892"/>
        <item x="893"/>
        <item x="158"/>
        <item x="599"/>
        <item x="600"/>
        <item x="380"/>
        <item x="601"/>
        <item x="602"/>
        <item x="894"/>
        <item x="895"/>
        <item x="896"/>
        <item x="381"/>
        <item x="382"/>
        <item x="897"/>
        <item x="159"/>
        <item x="160"/>
        <item x="898"/>
        <item x="161"/>
        <item x="899"/>
        <item x="603"/>
        <item x="604"/>
        <item x="605"/>
        <item x="606"/>
        <item x="383"/>
        <item x="607"/>
        <item x="608"/>
        <item x="900"/>
        <item x="901"/>
        <item x="902"/>
        <item x="903"/>
        <item x="904"/>
        <item x="162"/>
        <item x="163"/>
        <item x="164"/>
        <item x="165"/>
        <item x="166"/>
        <item x="905"/>
        <item x="384"/>
        <item x="906"/>
        <item x="167"/>
        <item x="385"/>
        <item x="386"/>
        <item x="907"/>
        <item x="609"/>
        <item x="610"/>
        <item x="168"/>
        <item x="611"/>
        <item x="387"/>
        <item x="908"/>
        <item x="612"/>
        <item x="388"/>
        <item x="389"/>
        <item x="613"/>
        <item x="614"/>
        <item x="169"/>
        <item x="170"/>
        <item x="615"/>
        <item x="390"/>
        <item x="616"/>
        <item x="391"/>
        <item x="392"/>
        <item x="393"/>
        <item x="617"/>
        <item x="171"/>
        <item x="394"/>
        <item x="172"/>
        <item x="618"/>
        <item x="619"/>
        <item x="395"/>
        <item x="620"/>
        <item x="621"/>
        <item x="909"/>
        <item x="173"/>
        <item x="174"/>
        <item x="396"/>
        <item x="397"/>
        <item x="398"/>
        <item x="399"/>
        <item x="910"/>
        <item x="911"/>
        <item x="622"/>
        <item x="400"/>
        <item x="401"/>
        <item x="402"/>
        <item x="403"/>
        <item x="404"/>
        <item x="405"/>
        <item x="406"/>
        <item x="623"/>
        <item x="624"/>
        <item x="912"/>
        <item x="913"/>
        <item x="175"/>
        <item x="914"/>
        <item x="915"/>
        <item x="916"/>
        <item x="176"/>
        <item x="177"/>
        <item x="625"/>
        <item x="407"/>
        <item x="178"/>
        <item x="179"/>
        <item x="180"/>
        <item x="408"/>
        <item x="409"/>
        <item x="626"/>
        <item x="627"/>
        <item x="917"/>
        <item x="918"/>
        <item x="410"/>
        <item x="411"/>
        <item x="181"/>
        <item x="182"/>
        <item x="412"/>
        <item x="919"/>
        <item x="920"/>
        <item x="413"/>
        <item x="183"/>
        <item x="628"/>
        <item x="184"/>
        <item x="414"/>
        <item x="415"/>
        <item x="921"/>
        <item x="416"/>
        <item x="417"/>
        <item x="922"/>
        <item x="185"/>
        <item x="418"/>
        <item x="419"/>
        <item x="186"/>
        <item x="420"/>
        <item x="421"/>
        <item x="629"/>
        <item x="630"/>
        <item x="422"/>
        <item x="423"/>
        <item x="424"/>
        <item x="187"/>
        <item x="425"/>
        <item x="427"/>
        <item x="923"/>
        <item x="924"/>
        <item x="428"/>
        <item x="188"/>
        <item x="631"/>
        <item x="632"/>
        <item x="189"/>
        <item x="633"/>
        <item x="925"/>
        <item x="190"/>
        <item x="429"/>
        <item x="926"/>
        <item x="192"/>
        <item x="193"/>
        <item x="634"/>
        <item x="195"/>
        <item x="196"/>
        <item x="927"/>
        <item m="1" x="1014"/>
        <item x="928"/>
        <item m="1" x="1015"/>
        <item x="198"/>
        <item x="929"/>
        <item x="635"/>
        <item x="636"/>
        <item x="199"/>
        <item x="200"/>
        <item x="637"/>
        <item x="639"/>
        <item x="640"/>
        <item x="641"/>
        <item x="201"/>
        <item x="643"/>
        <item x="930"/>
        <item x="931"/>
        <item x="933"/>
        <item x="202"/>
        <item x="644"/>
        <item x="203"/>
        <item x="937"/>
        <item x="938"/>
        <item x="646"/>
        <item x="204"/>
        <item x="647"/>
        <item x="205"/>
        <item x="939"/>
        <item m="1" x="1011"/>
        <item x="940"/>
        <item x="941"/>
        <item x="206"/>
        <item x="648"/>
        <item x="207"/>
        <item m="1" x="1024"/>
        <item x="942"/>
        <item m="1" x="1012"/>
        <item x="934"/>
        <item x="936"/>
        <item x="649"/>
        <item x="650"/>
        <item x="651"/>
        <item x="652"/>
        <item x="208"/>
        <item x="35"/>
        <item m="1" x="1020"/>
        <item x="209"/>
        <item x="943"/>
        <item x="210"/>
        <item x="211"/>
        <item x="659"/>
        <item x="212"/>
        <item x="660"/>
        <item x="213"/>
        <item x="214"/>
        <item x="215"/>
        <item x="216"/>
        <item x="217"/>
        <item x="218"/>
        <item x="662"/>
        <item x="944"/>
        <item m="1" x="1013"/>
        <item m="1" x="1016"/>
        <item x="432"/>
        <item x="220"/>
        <item x="433"/>
        <item x="664"/>
        <item x="665"/>
        <item x="666"/>
        <item x="667"/>
        <item x="221"/>
        <item x="222"/>
        <item x="945"/>
        <item x="946"/>
        <item x="947"/>
        <item x="223"/>
        <item x="668"/>
        <item x="224"/>
        <item x="669"/>
        <item x="948"/>
        <item x="670"/>
        <item x="225"/>
        <item x="226"/>
        <item x="949"/>
        <item x="671"/>
        <item x="950"/>
        <item x="227"/>
        <item x="228"/>
        <item x="951"/>
        <item m="1" x="1019"/>
        <item x="952"/>
        <item x="953"/>
        <item x="954"/>
        <item x="672"/>
        <item x="229"/>
        <item x="673"/>
        <item x="955"/>
        <item x="230"/>
        <item x="956"/>
        <item x="957"/>
        <item x="958"/>
        <item x="674"/>
        <item x="959"/>
        <item x="960"/>
        <item m="1" x="1018"/>
        <item m="1" x="1017"/>
        <item x="231"/>
        <item x="232"/>
        <item x="233"/>
        <item x="234"/>
        <item x="235"/>
        <item x="961"/>
        <item x="962"/>
        <item x="675"/>
        <item x="236"/>
        <item x="237"/>
        <item x="676"/>
        <item x="677"/>
        <item x="678"/>
        <item x="679"/>
        <item x="963"/>
        <item x="964"/>
        <item x="434"/>
        <item x="435"/>
        <item m="1" x="1005"/>
        <item m="1" x="1006"/>
        <item x="680"/>
        <item x="681"/>
        <item x="238"/>
        <item x="239"/>
        <item x="240"/>
        <item x="965"/>
        <item x="682"/>
        <item x="966"/>
        <item x="967"/>
        <item x="968"/>
        <item x="241"/>
        <item x="436"/>
        <item x="683"/>
        <item m="1" x="1007"/>
        <item x="242"/>
        <item x="684"/>
        <item x="969"/>
        <item x="970"/>
        <item x="971"/>
        <item x="972"/>
        <item x="437"/>
        <item x="243"/>
        <item x="685"/>
        <item x="973"/>
        <item x="438"/>
        <item x="439"/>
        <item x="974"/>
        <item x="686"/>
        <item x="687"/>
        <item x="191"/>
        <item x="219"/>
        <item x="430"/>
        <item x="431"/>
        <item x="645"/>
        <item x="653"/>
        <item x="654"/>
        <item x="655"/>
        <item x="656"/>
        <item x="657"/>
        <item x="658"/>
        <item x="661"/>
        <item x="663"/>
        <item x="426"/>
        <item x="194"/>
        <item x="197"/>
        <item x="638"/>
        <item x="642"/>
        <item x="932"/>
        <item x="935"/>
        <item m="1" x="1008"/>
        <item x="244"/>
        <item x="975"/>
        <item x="688"/>
        <item x="245"/>
        <item x="689"/>
        <item x="976"/>
        <item x="690"/>
        <item x="246"/>
        <item m="1" x="1009"/>
        <item x="247"/>
        <item x="691"/>
        <item x="248"/>
        <item m="1" x="1010"/>
        <item x="692"/>
        <item x="249"/>
        <item x="693"/>
        <item x="977"/>
        <item x="694"/>
        <item x="250"/>
        <item x="440"/>
        <item x="978"/>
        <item x="979"/>
        <item x="980"/>
        <item x="981"/>
        <item x="441"/>
        <item x="982"/>
        <item x="442"/>
        <item x="695"/>
        <item m="1" x="1002"/>
        <item x="251"/>
        <item x="252"/>
        <item x="253"/>
        <item x="983"/>
        <item x="696"/>
        <item x="984"/>
        <item x="985"/>
        <item x="697"/>
        <item x="986"/>
        <item x="987"/>
        <item x="698"/>
        <item m="1" x="1001"/>
        <item m="1" x="1004"/>
        <item x="988"/>
        <item x="699"/>
        <item x="989"/>
        <item x="990"/>
        <item m="1" x="1003"/>
        <item x="991"/>
        <item x="700"/>
        <item x="992"/>
        <item x="443"/>
        <item x="993"/>
        <item x="444"/>
        <item x="445"/>
        <item x="254"/>
        <item x="994"/>
        <item x="446"/>
        <item x="447"/>
        <item x="701"/>
        <item x="702"/>
        <item x="255"/>
        <item x="256"/>
        <item x="448"/>
        <item x="995"/>
        <item x="996"/>
        <item x="997"/>
        <item x="449"/>
        <item x="703"/>
        <item x="998"/>
        <item x="999"/>
        <item x="257"/>
        <item x="450"/>
        <item x="258"/>
        <item x="259"/>
        <item x="260"/>
        <item x="261"/>
        <item x="1000"/>
        <item x="704"/>
        <item x="262"/>
        <item x="705"/>
        <item t="default"/>
      </items>
    </pivotField>
    <pivotField numFmtId="164" showAll="0"/>
    <pivotField axis="axisRow" showAll="0">
      <items count="29">
        <item x="0"/>
        <item x="1"/>
        <item x="2"/>
        <item x="3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6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oma de Expurgo Total" fld="43" baseField="0" baseItem="0" numFmtId="2"/>
  </dataFields>
  <formats count="1">
    <format dxfId="16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543F1-2352-4073-9011-2AB0CCE38E9A}" name="Tabela dinâmica5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8:B53" firstHeaderRow="1" firstDataRow="1" firstDataCol="1" rowPageCount="2" colPageCount="1"/>
  <pivotFields count="4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Page" multipleItemSelectionAllowed="1" showAll="0">
      <items count="8">
        <item x="0"/>
        <item x="3"/>
        <item x="1"/>
        <item x="4"/>
        <item h="1" m="1" x="5"/>
        <item h="1" m="1" x="6"/>
        <item x="2"/>
        <item t="default"/>
      </items>
    </pivotField>
    <pivotField showAll="0"/>
    <pivotField dataField="1" numFmtId="2" showAll="0"/>
    <pivotField showAll="0"/>
    <pivotField showAll="0"/>
    <pivotField showAll="0"/>
    <pivotField numFmtId="165" showAll="0"/>
    <pivotField numFmtId="165" showAll="0"/>
    <pivotField numFmtId="165" showAll="0"/>
    <pivotField numFmtId="168" subtotalTop="0" showAll="0">
      <items count="1026">
        <item x="0"/>
        <item x="706"/>
        <item x="707"/>
        <item x="263"/>
        <item x="264"/>
        <item x="1"/>
        <item x="708"/>
        <item x="2"/>
        <item x="3"/>
        <item x="265"/>
        <item x="266"/>
        <item x="267"/>
        <item x="268"/>
        <item x="709"/>
        <item x="710"/>
        <item x="269"/>
        <item x="4"/>
        <item x="5"/>
        <item x="270"/>
        <item x="6"/>
        <item x="711"/>
        <item x="712"/>
        <item x="7"/>
        <item x="713"/>
        <item x="271"/>
        <item x="272"/>
        <item x="8"/>
        <item x="9"/>
        <item x="10"/>
        <item x="273"/>
        <item x="451"/>
        <item x="11"/>
        <item x="12"/>
        <item x="714"/>
        <item x="715"/>
        <item x="452"/>
        <item x="453"/>
        <item x="454"/>
        <item x="455"/>
        <item x="716"/>
        <item x="456"/>
        <item x="274"/>
        <item x="457"/>
        <item x="458"/>
        <item x="13"/>
        <item x="14"/>
        <item x="459"/>
        <item x="275"/>
        <item x="460"/>
        <item x="461"/>
        <item x="462"/>
        <item x="463"/>
        <item x="15"/>
        <item x="717"/>
        <item x="718"/>
        <item x="719"/>
        <item x="720"/>
        <item x="16"/>
        <item x="17"/>
        <item x="276"/>
        <item x="464"/>
        <item x="465"/>
        <item x="18"/>
        <item x="19"/>
        <item x="721"/>
        <item x="20"/>
        <item x="21"/>
        <item x="277"/>
        <item x="22"/>
        <item x="278"/>
        <item x="23"/>
        <item x="24"/>
        <item x="25"/>
        <item x="722"/>
        <item x="723"/>
        <item x="26"/>
        <item x="27"/>
        <item x="28"/>
        <item x="29"/>
        <item x="30"/>
        <item x="31"/>
        <item x="724"/>
        <item x="725"/>
        <item x="726"/>
        <item x="279"/>
        <item x="727"/>
        <item x="728"/>
        <item x="466"/>
        <item x="467"/>
        <item x="280"/>
        <item x="281"/>
        <item x="282"/>
        <item x="283"/>
        <item x="284"/>
        <item x="285"/>
        <item x="729"/>
        <item x="730"/>
        <item x="731"/>
        <item x="286"/>
        <item x="287"/>
        <item x="288"/>
        <item x="468"/>
        <item x="469"/>
        <item x="470"/>
        <item x="289"/>
        <item x="471"/>
        <item x="732"/>
        <item x="733"/>
        <item x="734"/>
        <item x="472"/>
        <item x="473"/>
        <item x="474"/>
        <item x="475"/>
        <item x="290"/>
        <item x="476"/>
        <item x="291"/>
        <item x="735"/>
        <item x="32"/>
        <item x="477"/>
        <item x="736"/>
        <item x="737"/>
        <item x="292"/>
        <item x="293"/>
        <item x="738"/>
        <item x="739"/>
        <item x="740"/>
        <item x="741"/>
        <item x="742"/>
        <item x="743"/>
        <item x="744"/>
        <item x="294"/>
        <item x="33"/>
        <item x="34"/>
        <item m="1" x="1021"/>
        <item x="295"/>
        <item m="1" x="1022"/>
        <item m="1" x="1023"/>
        <item x="296"/>
        <item x="36"/>
        <item x="745"/>
        <item x="478"/>
        <item x="479"/>
        <item x="746"/>
        <item x="747"/>
        <item x="748"/>
        <item x="37"/>
        <item x="749"/>
        <item x="750"/>
        <item x="751"/>
        <item x="752"/>
        <item x="753"/>
        <item x="297"/>
        <item x="754"/>
        <item x="755"/>
        <item x="756"/>
        <item x="480"/>
        <item x="298"/>
        <item x="299"/>
        <item x="757"/>
        <item x="758"/>
        <item x="481"/>
        <item x="482"/>
        <item x="483"/>
        <item x="759"/>
        <item x="760"/>
        <item x="484"/>
        <item x="485"/>
        <item x="38"/>
        <item x="39"/>
        <item x="40"/>
        <item x="761"/>
        <item x="762"/>
        <item x="41"/>
        <item x="300"/>
        <item x="763"/>
        <item x="764"/>
        <item x="486"/>
        <item x="487"/>
        <item x="301"/>
        <item x="765"/>
        <item x="488"/>
        <item x="489"/>
        <item x="766"/>
        <item x="767"/>
        <item x="302"/>
        <item x="303"/>
        <item x="304"/>
        <item x="305"/>
        <item x="768"/>
        <item x="769"/>
        <item x="306"/>
        <item x="770"/>
        <item x="771"/>
        <item x="772"/>
        <item x="773"/>
        <item x="774"/>
        <item x="307"/>
        <item x="308"/>
        <item x="309"/>
        <item x="42"/>
        <item x="310"/>
        <item x="311"/>
        <item x="490"/>
        <item x="491"/>
        <item x="775"/>
        <item x="776"/>
        <item x="777"/>
        <item x="43"/>
        <item x="492"/>
        <item x="493"/>
        <item x="494"/>
        <item x="495"/>
        <item x="312"/>
        <item x="496"/>
        <item x="497"/>
        <item x="778"/>
        <item x="779"/>
        <item x="313"/>
        <item x="314"/>
        <item x="498"/>
        <item x="499"/>
        <item x="44"/>
        <item x="780"/>
        <item x="500"/>
        <item x="501"/>
        <item x="315"/>
        <item x="502"/>
        <item x="45"/>
        <item x="503"/>
        <item x="46"/>
        <item x="47"/>
        <item x="48"/>
        <item x="49"/>
        <item x="50"/>
        <item x="51"/>
        <item x="52"/>
        <item x="504"/>
        <item x="505"/>
        <item x="506"/>
        <item x="316"/>
        <item x="53"/>
        <item x="54"/>
        <item x="317"/>
        <item x="55"/>
        <item x="56"/>
        <item x="507"/>
        <item x="781"/>
        <item x="782"/>
        <item x="318"/>
        <item x="319"/>
        <item x="320"/>
        <item x="321"/>
        <item x="783"/>
        <item x="322"/>
        <item x="323"/>
        <item x="324"/>
        <item x="57"/>
        <item x="508"/>
        <item x="509"/>
        <item x="510"/>
        <item x="511"/>
        <item x="784"/>
        <item x="512"/>
        <item x="785"/>
        <item x="58"/>
        <item x="59"/>
        <item x="513"/>
        <item x="325"/>
        <item x="514"/>
        <item x="786"/>
        <item x="787"/>
        <item x="326"/>
        <item x="60"/>
        <item x="61"/>
        <item x="62"/>
        <item x="788"/>
        <item x="789"/>
        <item x="63"/>
        <item x="515"/>
        <item x="516"/>
        <item x="517"/>
        <item x="327"/>
        <item x="518"/>
        <item x="519"/>
        <item x="520"/>
        <item x="790"/>
        <item x="521"/>
        <item x="522"/>
        <item x="64"/>
        <item x="65"/>
        <item x="66"/>
        <item x="791"/>
        <item x="792"/>
        <item x="67"/>
        <item x="793"/>
        <item x="68"/>
        <item x="69"/>
        <item x="328"/>
        <item x="523"/>
        <item x="524"/>
        <item x="70"/>
        <item x="329"/>
        <item x="330"/>
        <item x="794"/>
        <item x="331"/>
        <item x="71"/>
        <item x="72"/>
        <item x="73"/>
        <item x="74"/>
        <item x="332"/>
        <item x="333"/>
        <item x="334"/>
        <item x="335"/>
        <item x="336"/>
        <item x="337"/>
        <item x="338"/>
        <item x="795"/>
        <item x="339"/>
        <item x="525"/>
        <item x="75"/>
        <item x="526"/>
        <item x="527"/>
        <item x="340"/>
        <item x="528"/>
        <item x="341"/>
        <item x="342"/>
        <item x="343"/>
        <item x="344"/>
        <item x="76"/>
        <item x="345"/>
        <item x="529"/>
        <item x="346"/>
        <item x="347"/>
        <item x="796"/>
        <item x="348"/>
        <item x="349"/>
        <item x="797"/>
        <item x="798"/>
        <item x="77"/>
        <item x="799"/>
        <item x="800"/>
        <item x="350"/>
        <item x="801"/>
        <item x="802"/>
        <item x="78"/>
        <item x="530"/>
        <item x="531"/>
        <item x="532"/>
        <item x="533"/>
        <item x="803"/>
        <item x="534"/>
        <item x="804"/>
        <item x="805"/>
        <item x="535"/>
        <item x="806"/>
        <item x="351"/>
        <item x="807"/>
        <item x="79"/>
        <item x="808"/>
        <item x="809"/>
        <item x="536"/>
        <item x="810"/>
        <item x="811"/>
        <item x="352"/>
        <item x="353"/>
        <item x="354"/>
        <item x="355"/>
        <item x="356"/>
        <item x="80"/>
        <item x="357"/>
        <item x="812"/>
        <item x="813"/>
        <item x="537"/>
        <item x="358"/>
        <item x="359"/>
        <item x="81"/>
        <item x="538"/>
        <item x="82"/>
        <item x="814"/>
        <item x="360"/>
        <item x="361"/>
        <item x="362"/>
        <item x="363"/>
        <item x="364"/>
        <item x="365"/>
        <item x="366"/>
        <item x="815"/>
        <item x="83"/>
        <item x="539"/>
        <item x="816"/>
        <item x="84"/>
        <item x="817"/>
        <item x="818"/>
        <item x="819"/>
        <item x="820"/>
        <item x="821"/>
        <item x="85"/>
        <item x="86"/>
        <item x="87"/>
        <item x="88"/>
        <item x="89"/>
        <item x="90"/>
        <item x="822"/>
        <item x="540"/>
        <item x="367"/>
        <item x="541"/>
        <item x="542"/>
        <item x="91"/>
        <item x="823"/>
        <item x="824"/>
        <item x="92"/>
        <item x="93"/>
        <item x="94"/>
        <item x="95"/>
        <item x="96"/>
        <item x="543"/>
        <item x="544"/>
        <item x="545"/>
        <item x="546"/>
        <item x="547"/>
        <item x="97"/>
        <item x="548"/>
        <item x="825"/>
        <item x="826"/>
        <item x="98"/>
        <item x="827"/>
        <item x="99"/>
        <item x="100"/>
        <item x="101"/>
        <item x="102"/>
        <item x="103"/>
        <item x="549"/>
        <item x="828"/>
        <item x="829"/>
        <item x="830"/>
        <item x="831"/>
        <item x="832"/>
        <item x="833"/>
        <item x="550"/>
        <item x="834"/>
        <item x="551"/>
        <item x="552"/>
        <item x="835"/>
        <item x="553"/>
        <item x="836"/>
        <item x="837"/>
        <item x="554"/>
        <item x="555"/>
        <item x="556"/>
        <item x="557"/>
        <item x="838"/>
        <item x="839"/>
        <item x="840"/>
        <item x="841"/>
        <item x="842"/>
        <item x="558"/>
        <item x="104"/>
        <item x="105"/>
        <item x="843"/>
        <item x="844"/>
        <item x="106"/>
        <item x="107"/>
        <item x="845"/>
        <item x="559"/>
        <item x="846"/>
        <item x="847"/>
        <item x="560"/>
        <item x="108"/>
        <item x="109"/>
        <item x="110"/>
        <item x="111"/>
        <item x="112"/>
        <item x="113"/>
        <item x="561"/>
        <item x="114"/>
        <item x="848"/>
        <item x="115"/>
        <item x="849"/>
        <item x="116"/>
        <item x="117"/>
        <item x="118"/>
        <item x="562"/>
        <item x="119"/>
        <item x="850"/>
        <item x="563"/>
        <item x="120"/>
        <item x="121"/>
        <item x="122"/>
        <item x="851"/>
        <item x="123"/>
        <item x="124"/>
        <item x="368"/>
        <item x="125"/>
        <item x="126"/>
        <item x="564"/>
        <item x="127"/>
        <item x="128"/>
        <item x="852"/>
        <item x="853"/>
        <item x="854"/>
        <item x="855"/>
        <item x="856"/>
        <item x="129"/>
        <item x="130"/>
        <item x="131"/>
        <item x="132"/>
        <item x="565"/>
        <item x="133"/>
        <item x="566"/>
        <item x="567"/>
        <item x="857"/>
        <item x="858"/>
        <item x="859"/>
        <item x="568"/>
        <item x="569"/>
        <item x="570"/>
        <item x="571"/>
        <item x="572"/>
        <item x="369"/>
        <item x="573"/>
        <item x="574"/>
        <item x="370"/>
        <item x="134"/>
        <item x="135"/>
        <item x="136"/>
        <item x="137"/>
        <item x="138"/>
        <item x="575"/>
        <item x="139"/>
        <item x="140"/>
        <item x="141"/>
        <item x="142"/>
        <item x="860"/>
        <item x="576"/>
        <item x="861"/>
        <item x="862"/>
        <item x="863"/>
        <item x="864"/>
        <item x="143"/>
        <item x="865"/>
        <item x="144"/>
        <item x="577"/>
        <item x="866"/>
        <item x="867"/>
        <item x="145"/>
        <item x="146"/>
        <item x="868"/>
        <item x="578"/>
        <item x="579"/>
        <item x="147"/>
        <item x="148"/>
        <item x="869"/>
        <item x="870"/>
        <item x="580"/>
        <item x="871"/>
        <item x="581"/>
        <item x="872"/>
        <item x="582"/>
        <item x="583"/>
        <item x="149"/>
        <item x="873"/>
        <item x="874"/>
        <item x="875"/>
        <item x="150"/>
        <item x="876"/>
        <item x="584"/>
        <item x="371"/>
        <item x="372"/>
        <item x="877"/>
        <item x="878"/>
        <item x="879"/>
        <item x="880"/>
        <item x="585"/>
        <item x="151"/>
        <item x="586"/>
        <item x="373"/>
        <item x="374"/>
        <item x="881"/>
        <item x="152"/>
        <item x="587"/>
        <item x="153"/>
        <item x="882"/>
        <item x="883"/>
        <item x="588"/>
        <item x="375"/>
        <item x="884"/>
        <item x="376"/>
        <item x="589"/>
        <item x="590"/>
        <item x="591"/>
        <item x="592"/>
        <item x="593"/>
        <item x="885"/>
        <item x="377"/>
        <item x="886"/>
        <item x="378"/>
        <item x="154"/>
        <item x="594"/>
        <item x="595"/>
        <item x="379"/>
        <item x="155"/>
        <item x="887"/>
        <item x="888"/>
        <item x="156"/>
        <item x="889"/>
        <item x="596"/>
        <item x="597"/>
        <item x="157"/>
        <item x="890"/>
        <item x="891"/>
        <item x="598"/>
        <item x="892"/>
        <item x="893"/>
        <item x="158"/>
        <item x="599"/>
        <item x="600"/>
        <item x="380"/>
        <item x="601"/>
        <item x="602"/>
        <item x="894"/>
        <item x="895"/>
        <item x="896"/>
        <item x="381"/>
        <item x="382"/>
        <item x="897"/>
        <item x="159"/>
        <item x="160"/>
        <item x="898"/>
        <item x="161"/>
        <item x="899"/>
        <item x="603"/>
        <item x="604"/>
        <item x="605"/>
        <item x="606"/>
        <item x="383"/>
        <item x="607"/>
        <item x="608"/>
        <item x="900"/>
        <item x="901"/>
        <item x="902"/>
        <item x="903"/>
        <item x="904"/>
        <item x="162"/>
        <item x="163"/>
        <item x="164"/>
        <item x="165"/>
        <item x="166"/>
        <item x="905"/>
        <item x="384"/>
        <item x="906"/>
        <item x="167"/>
        <item x="385"/>
        <item x="386"/>
        <item x="907"/>
        <item x="609"/>
        <item x="610"/>
        <item x="168"/>
        <item x="611"/>
        <item x="387"/>
        <item x="908"/>
        <item x="612"/>
        <item x="388"/>
        <item x="389"/>
        <item x="613"/>
        <item x="614"/>
        <item x="169"/>
        <item x="170"/>
        <item x="615"/>
        <item x="390"/>
        <item x="616"/>
        <item x="391"/>
        <item x="392"/>
        <item x="393"/>
        <item x="617"/>
        <item x="171"/>
        <item x="394"/>
        <item x="172"/>
        <item x="618"/>
        <item x="619"/>
        <item x="395"/>
        <item x="620"/>
        <item x="621"/>
        <item x="909"/>
        <item x="173"/>
        <item x="174"/>
        <item x="396"/>
        <item x="397"/>
        <item x="398"/>
        <item x="399"/>
        <item x="910"/>
        <item x="911"/>
        <item x="622"/>
        <item x="400"/>
        <item x="401"/>
        <item x="402"/>
        <item x="403"/>
        <item x="404"/>
        <item x="405"/>
        <item x="406"/>
        <item x="623"/>
        <item x="624"/>
        <item x="912"/>
        <item x="913"/>
        <item x="175"/>
        <item x="914"/>
        <item x="915"/>
        <item x="916"/>
        <item x="176"/>
        <item x="177"/>
        <item x="625"/>
        <item x="407"/>
        <item x="178"/>
        <item x="179"/>
        <item x="180"/>
        <item x="408"/>
        <item x="409"/>
        <item x="626"/>
        <item x="627"/>
        <item x="917"/>
        <item x="918"/>
        <item x="410"/>
        <item x="411"/>
        <item x="181"/>
        <item x="182"/>
        <item x="412"/>
        <item x="919"/>
        <item x="920"/>
        <item x="413"/>
        <item x="183"/>
        <item x="628"/>
        <item x="184"/>
        <item x="414"/>
        <item x="415"/>
        <item x="921"/>
        <item x="416"/>
        <item x="417"/>
        <item x="922"/>
        <item x="185"/>
        <item x="418"/>
        <item x="419"/>
        <item x="186"/>
        <item x="420"/>
        <item x="421"/>
        <item x="629"/>
        <item x="630"/>
        <item x="422"/>
        <item x="423"/>
        <item x="424"/>
        <item x="187"/>
        <item x="425"/>
        <item x="427"/>
        <item x="923"/>
        <item x="924"/>
        <item x="428"/>
        <item x="188"/>
        <item x="631"/>
        <item x="632"/>
        <item x="189"/>
        <item x="633"/>
        <item x="925"/>
        <item x="190"/>
        <item x="429"/>
        <item x="926"/>
        <item x="192"/>
        <item x="193"/>
        <item x="634"/>
        <item x="195"/>
        <item x="196"/>
        <item x="927"/>
        <item m="1" x="1014"/>
        <item x="928"/>
        <item m="1" x="1015"/>
        <item x="198"/>
        <item x="929"/>
        <item x="635"/>
        <item x="636"/>
        <item x="199"/>
        <item x="200"/>
        <item x="637"/>
        <item x="639"/>
        <item x="640"/>
        <item x="641"/>
        <item x="201"/>
        <item x="643"/>
        <item x="930"/>
        <item x="931"/>
        <item x="933"/>
        <item x="202"/>
        <item x="644"/>
        <item x="203"/>
        <item x="937"/>
        <item x="938"/>
        <item x="646"/>
        <item x="204"/>
        <item x="647"/>
        <item x="205"/>
        <item x="939"/>
        <item m="1" x="1011"/>
        <item x="940"/>
        <item x="941"/>
        <item x="206"/>
        <item x="648"/>
        <item x="207"/>
        <item m="1" x="1024"/>
        <item x="942"/>
        <item m="1" x="1012"/>
        <item x="934"/>
        <item x="936"/>
        <item x="649"/>
        <item x="650"/>
        <item x="651"/>
        <item x="652"/>
        <item x="208"/>
        <item x="35"/>
        <item m="1" x="1020"/>
        <item x="209"/>
        <item x="943"/>
        <item x="210"/>
        <item x="211"/>
        <item x="659"/>
        <item x="212"/>
        <item x="660"/>
        <item x="213"/>
        <item x="214"/>
        <item x="215"/>
        <item x="216"/>
        <item x="217"/>
        <item x="218"/>
        <item x="662"/>
        <item x="944"/>
        <item m="1" x="1013"/>
        <item m="1" x="1016"/>
        <item x="432"/>
        <item x="220"/>
        <item x="433"/>
        <item x="664"/>
        <item x="665"/>
        <item x="666"/>
        <item x="667"/>
        <item x="221"/>
        <item x="222"/>
        <item x="945"/>
        <item x="946"/>
        <item x="947"/>
        <item x="223"/>
        <item x="668"/>
        <item x="224"/>
        <item x="669"/>
        <item x="948"/>
        <item x="670"/>
        <item x="225"/>
        <item x="226"/>
        <item x="949"/>
        <item x="671"/>
        <item x="950"/>
        <item x="227"/>
        <item x="228"/>
        <item x="951"/>
        <item m="1" x="1019"/>
        <item x="952"/>
        <item x="953"/>
        <item x="954"/>
        <item x="672"/>
        <item x="229"/>
        <item x="673"/>
        <item x="955"/>
        <item x="230"/>
        <item x="956"/>
        <item x="957"/>
        <item x="958"/>
        <item x="674"/>
        <item x="959"/>
        <item x="960"/>
        <item m="1" x="1018"/>
        <item m="1" x="1017"/>
        <item x="231"/>
        <item x="232"/>
        <item x="233"/>
        <item x="234"/>
        <item x="235"/>
        <item x="961"/>
        <item x="962"/>
        <item x="675"/>
        <item x="236"/>
        <item x="237"/>
        <item x="676"/>
        <item x="677"/>
        <item x="678"/>
        <item x="679"/>
        <item x="963"/>
        <item x="964"/>
        <item x="434"/>
        <item x="435"/>
        <item m="1" x="1005"/>
        <item m="1" x="1006"/>
        <item x="680"/>
        <item x="681"/>
        <item x="238"/>
        <item x="239"/>
        <item x="240"/>
        <item x="965"/>
        <item x="682"/>
        <item x="966"/>
        <item x="967"/>
        <item x="968"/>
        <item x="241"/>
        <item x="436"/>
        <item x="683"/>
        <item m="1" x="1007"/>
        <item x="242"/>
        <item x="684"/>
        <item x="969"/>
        <item x="970"/>
        <item x="971"/>
        <item x="972"/>
        <item x="437"/>
        <item x="243"/>
        <item x="685"/>
        <item x="973"/>
        <item x="438"/>
        <item x="439"/>
        <item x="974"/>
        <item x="686"/>
        <item x="687"/>
        <item x="191"/>
        <item x="219"/>
        <item x="430"/>
        <item x="431"/>
        <item x="645"/>
        <item x="653"/>
        <item x="654"/>
        <item x="655"/>
        <item x="656"/>
        <item x="657"/>
        <item x="658"/>
        <item x="661"/>
        <item x="663"/>
        <item x="426"/>
        <item x="194"/>
        <item x="197"/>
        <item x="638"/>
        <item x="642"/>
        <item x="932"/>
        <item x="935"/>
        <item m="1" x="1008"/>
        <item x="244"/>
        <item x="975"/>
        <item x="688"/>
        <item x="245"/>
        <item x="689"/>
        <item x="976"/>
        <item x="690"/>
        <item x="246"/>
        <item m="1" x="1009"/>
        <item x="247"/>
        <item x="691"/>
        <item x="248"/>
        <item m="1" x="1010"/>
        <item x="692"/>
        <item x="249"/>
        <item x="693"/>
        <item x="977"/>
        <item x="694"/>
        <item x="250"/>
        <item x="440"/>
        <item x="978"/>
        <item x="979"/>
        <item x="980"/>
        <item x="981"/>
        <item x="441"/>
        <item x="982"/>
        <item x="442"/>
        <item x="695"/>
        <item m="1" x="1002"/>
        <item x="251"/>
        <item x="252"/>
        <item x="253"/>
        <item x="983"/>
        <item x="696"/>
        <item x="984"/>
        <item x="985"/>
        <item x="697"/>
        <item x="986"/>
        <item x="987"/>
        <item x="698"/>
        <item m="1" x="1001"/>
        <item m="1" x="1004"/>
        <item x="988"/>
        <item x="699"/>
        <item x="989"/>
        <item x="990"/>
        <item m="1" x="1003"/>
        <item x="991"/>
        <item x="700"/>
        <item x="992"/>
        <item x="443"/>
        <item x="993"/>
        <item x="444"/>
        <item x="445"/>
        <item x="254"/>
        <item x="994"/>
        <item x="446"/>
        <item x="447"/>
        <item x="701"/>
        <item x="702"/>
        <item x="255"/>
        <item x="256"/>
        <item x="448"/>
        <item x="995"/>
        <item x="996"/>
        <item x="997"/>
        <item x="449"/>
        <item x="703"/>
        <item x="998"/>
        <item x="999"/>
        <item x="257"/>
        <item x="450"/>
        <item x="258"/>
        <item x="259"/>
        <item x="260"/>
        <item x="261"/>
        <item x="1000"/>
        <item x="704"/>
        <item x="262"/>
        <item x="705"/>
        <item t="default"/>
      </items>
    </pivotField>
    <pivotField numFmtId="164" showAll="0"/>
    <pivotField axis="axisRow" showAll="0" sortType="ascending">
      <items count="29">
        <item sd="0" x="0"/>
        <item sd="0" x="1"/>
        <item sd="0" x="2"/>
        <item sd="0" x="3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sd="0" m="1" x="4"/>
        <item t="default"/>
      </items>
    </pivotField>
    <pivotField showAll="0"/>
    <pivotField showAll="0"/>
    <pivotField showAll="0"/>
    <pivotField showAll="0"/>
    <pivotField showAll="0"/>
    <pivotField numFmtId="2"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axis="axisRow" showAll="0">
      <items count="369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h="1" sd="0" x="40"/>
        <item h="1" sd="0" x="41"/>
        <item h="1" sd="0" x="42"/>
        <item h="1" sd="0" x="43"/>
        <item h="1" sd="0" x="44"/>
        <item h="1" sd="0" x="45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h="1" sd="0" x="56"/>
        <item h="1" sd="0" x="57"/>
        <item h="1" sd="0" x="58"/>
        <item h="1" sd="0" x="59"/>
        <item h="1" sd="0" x="60"/>
        <item h="1" sd="0" x="61"/>
        <item h="1"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h="1" sd="0" x="86"/>
        <item h="1" sd="0" x="87"/>
        <item h="1" sd="0" x="88"/>
        <item h="1" sd="0" x="89"/>
        <item h="1" sd="0" x="90"/>
        <item h="1" sd="0" x="91"/>
        <item h="1" sd="0" x="92"/>
        <item h="1" sd="0" x="93"/>
        <item h="1" sd="0" x="94"/>
        <item h="1" sd="0" x="95"/>
        <item h="1" sd="0" x="96"/>
        <item h="1" sd="0" x="97"/>
        <item h="1" sd="0" x="98"/>
        <item h="1" sd="0" x="99"/>
        <item h="1" sd="0" x="100"/>
        <item h="1" sd="0" x="101"/>
        <item h="1" sd="0" x="102"/>
        <item h="1" sd="0" x="103"/>
        <item h="1" sd="0" x="104"/>
        <item h="1" sd="0" x="105"/>
        <item h="1" sd="0" x="106"/>
        <item h="1" sd="0" x="107"/>
        <item h="1" sd="0" x="108"/>
        <item h="1" sd="0" x="109"/>
        <item h="1" sd="0" x="110"/>
        <item h="1" sd="0" x="111"/>
        <item h="1" sd="0" x="112"/>
        <item h="1" sd="0" x="113"/>
        <item h="1" sd="0" x="114"/>
        <item h="1" sd="0" x="115"/>
        <item h="1" sd="0" x="116"/>
        <item h="1" sd="0" x="117"/>
        <item h="1" sd="0" x="118"/>
        <item h="1" sd="0" x="119"/>
        <item h="1" sd="0" x="120"/>
        <item h="1" sd="0" x="121"/>
        <item h="1" sd="0" x="122"/>
        <item h="1" sd="0" x="123"/>
        <item h="1" sd="0" x="124"/>
        <item h="1" sd="0" x="125"/>
        <item h="1" sd="0" x="126"/>
        <item h="1" sd="0" x="127"/>
        <item h="1" sd="0" x="128"/>
        <item h="1" sd="0" x="129"/>
        <item h="1" sd="0" x="130"/>
        <item h="1" sd="0" x="131"/>
        <item h="1" sd="0" x="132"/>
        <item h="1" sd="0" x="133"/>
        <item h="1" sd="0" x="134"/>
        <item h="1" sd="0" x="135"/>
        <item h="1" sd="0" x="136"/>
        <item h="1" sd="0" x="137"/>
        <item h="1" sd="0" x="138"/>
        <item h="1" sd="0" x="139"/>
        <item h="1" sd="0" x="140"/>
        <item h="1" sd="0" x="141"/>
        <item h="1" sd="0" x="142"/>
        <item h="1" sd="0" x="143"/>
        <item h="1" sd="0" x="144"/>
        <item h="1" sd="0" x="145"/>
        <item h="1" sd="0" x="146"/>
        <item h="1" sd="0" x="147"/>
        <item h="1" sd="0" x="148"/>
        <item h="1" sd="0" x="149"/>
        <item h="1" sd="0" x="150"/>
        <item h="1" sd="0" x="151"/>
        <item h="1" sd="0" x="152"/>
        <item h="1" sd="0" x="153"/>
        <item h="1" sd="0" x="154"/>
        <item h="1" sd="0" x="155"/>
        <item h="1" sd="0" x="156"/>
        <item h="1" sd="0" x="157"/>
        <item h="1" sd="0" x="158"/>
        <item h="1" sd="0" x="159"/>
        <item h="1" sd="0" x="160"/>
        <item h="1" sd="0" x="161"/>
        <item h="1" sd="0" x="162"/>
        <item h="1" sd="0" x="163"/>
        <item h="1" sd="0" x="164"/>
        <item h="1" sd="0" x="165"/>
        <item h="1" sd="0" x="166"/>
        <item h="1" sd="0" x="167"/>
        <item h="1" sd="0" x="168"/>
        <item h="1" sd="0" x="169"/>
        <item h="1" sd="0" x="170"/>
        <item h="1" sd="0" x="171"/>
        <item h="1" sd="0" x="172"/>
        <item h="1" sd="0" x="173"/>
        <item h="1" sd="0" x="174"/>
        <item h="1" sd="0" x="175"/>
        <item h="1" sd="0" x="176"/>
        <item h="1" sd="0" x="177"/>
        <item h="1" sd="0" x="178"/>
        <item h="1" sd="0" x="179"/>
        <item h="1" sd="0" x="180"/>
        <item h="1" sd="0" x="181"/>
        <item h="1" sd="0" x="182"/>
        <item h="1" sd="0" x="183"/>
        <item h="1" sd="0" x="184"/>
        <item h="1" sd="0" x="185"/>
        <item h="1" sd="0" x="186"/>
        <item h="1" sd="0" x="187"/>
        <item h="1" sd="0" x="188"/>
        <item h="1" sd="0" x="189"/>
        <item h="1" sd="0" x="190"/>
        <item h="1" sd="0" x="191"/>
        <item h="1" sd="0" x="192"/>
        <item h="1" sd="0" x="193"/>
        <item h="1" sd="0" x="194"/>
        <item h="1" sd="0" x="195"/>
        <item h="1" sd="0" x="196"/>
        <item h="1" sd="0" x="197"/>
        <item h="1" sd="0" x="198"/>
        <item h="1" sd="0" x="199"/>
        <item h="1" sd="0" x="200"/>
        <item h="1" sd="0" x="201"/>
        <item h="1" sd="0" x="202"/>
        <item h="1" sd="0" x="203"/>
        <item h="1" sd="0" x="204"/>
        <item h="1" sd="0" x="205"/>
        <item h="1" sd="0" x="206"/>
        <item h="1" sd="0" x="207"/>
        <item h="1" sd="0" x="208"/>
        <item h="1" sd="0" x="209"/>
        <item h="1" sd="0" x="210"/>
        <item h="1" sd="0" x="211"/>
        <item h="1" sd="0" x="212"/>
        <item h="1" sd="0" x="213"/>
        <item h="1" sd="0" x="214"/>
        <item h="1" sd="0" x="215"/>
        <item h="1" sd="0" x="216"/>
        <item h="1" sd="0" x="217"/>
        <item h="1" sd="0" x="218"/>
        <item h="1" sd="0" x="219"/>
        <item h="1" sd="0" x="220"/>
        <item h="1" sd="0" x="221"/>
        <item h="1" sd="0" x="222"/>
        <item h="1" sd="0" x="223"/>
        <item h="1" sd="0" x="224"/>
        <item h="1" sd="0" x="225"/>
        <item h="1" sd="0" x="226"/>
        <item h="1" sd="0" x="227"/>
        <item h="1" sd="0" x="228"/>
        <item h="1" sd="0" x="229"/>
        <item h="1" sd="0" x="230"/>
        <item h="1" sd="0" x="231"/>
        <item h="1" sd="0" x="232"/>
        <item h="1" sd="0" x="233"/>
        <item h="1" sd="0" x="234"/>
        <item h="1" sd="0" x="235"/>
        <item h="1" sd="0" x="236"/>
        <item h="1" sd="0" x="237"/>
        <item h="1" sd="0" x="238"/>
        <item h="1" sd="0" x="239"/>
        <item h="1" sd="0" x="240"/>
        <item h="1" sd="0" x="241"/>
        <item h="1" sd="0" x="242"/>
        <item h="1" sd="0" x="243"/>
        <item h="1" sd="0" x="244"/>
        <item h="1" sd="0" x="245"/>
        <item h="1" sd="0" x="246"/>
        <item h="1" sd="0" x="247"/>
        <item h="1" sd="0" x="248"/>
        <item h="1" sd="0" x="249"/>
        <item h="1" sd="0" x="250"/>
        <item h="1" sd="0" x="251"/>
        <item h="1" sd="0" x="252"/>
        <item h="1" sd="0" x="253"/>
        <item h="1" sd="0" x="254"/>
        <item h="1" sd="0" x="255"/>
        <item h="1" sd="0" x="256"/>
        <item h="1" sd="0" x="257"/>
        <item h="1" sd="0" x="258"/>
        <item h="1" sd="0" x="259"/>
        <item h="1" sd="0" x="260"/>
        <item h="1" sd="0" x="261"/>
        <item h="1" sd="0" x="262"/>
        <item h="1" sd="0" x="263"/>
        <item h="1" sd="0" x="264"/>
        <item h="1" sd="0" x="265"/>
        <item h="1" sd="0" x="266"/>
        <item h="1" sd="0" x="267"/>
        <item h="1" sd="0" x="268"/>
        <item h="1" sd="0" x="269"/>
        <item h="1" sd="0" x="270"/>
        <item h="1" sd="0" x="271"/>
        <item h="1" sd="0" x="272"/>
        <item h="1" sd="0" x="273"/>
        <item h="1"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h="1" sd="0" x="306"/>
        <item h="1" sd="0" x="307"/>
        <item h="1" sd="0" x="308"/>
        <item h="1" sd="0" x="309"/>
        <item h="1" sd="0" x="310"/>
        <item h="1" sd="0" x="311"/>
        <item h="1" sd="0" x="312"/>
        <item h="1" sd="0" x="313"/>
        <item h="1" sd="0" x="314"/>
        <item h="1" sd="0" x="315"/>
        <item h="1" sd="0" x="316"/>
        <item h="1" sd="0" x="317"/>
        <item h="1" sd="0" x="318"/>
        <item h="1" sd="0" x="319"/>
        <item h="1" sd="0" x="320"/>
        <item h="1" sd="0" x="321"/>
        <item h="1" sd="0" x="322"/>
        <item h="1" sd="0" x="323"/>
        <item h="1" sd="0" x="324"/>
        <item h="1" sd="0" x="325"/>
        <item h="1" sd="0" x="326"/>
        <item h="1" sd="0" x="327"/>
        <item h="1" sd="0" x="328"/>
        <item h="1" sd="0" x="329"/>
        <item h="1" sd="0" x="330"/>
        <item h="1" sd="0" x="331"/>
        <item h="1" sd="0" x="332"/>
        <item h="1" sd="0" x="333"/>
        <item h="1" sd="0" x="334"/>
        <item h="1" sd="0" x="335"/>
        <item h="1" sd="0" x="336"/>
        <item h="1" sd="0" x="337"/>
        <item h="1" sd="0" x="338"/>
        <item h="1" sd="0" x="339"/>
        <item h="1" sd="0" x="340"/>
        <item h="1" sd="0" x="341"/>
        <item h="1" sd="0" x="342"/>
        <item h="1" sd="0" x="343"/>
        <item h="1" sd="0" x="344"/>
        <item h="1" sd="0" x="345"/>
        <item h="1" sd="0" x="346"/>
        <item h="1" sd="0" x="347"/>
        <item h="1" sd="0" x="348"/>
        <item h="1" sd="0" x="349"/>
        <item h="1" sd="0" x="350"/>
        <item h="1" sd="0" x="351"/>
        <item h="1" sd="0" x="352"/>
        <item h="1" sd="0" x="353"/>
        <item h="1" sd="0" x="354"/>
        <item h="1" sd="0" x="355"/>
        <item h="1" sd="0" x="356"/>
        <item h="1" sd="0" x="357"/>
        <item h="1" sd="0" x="358"/>
        <item h="1" sd="0" x="359"/>
        <item h="1" sd="0" x="360"/>
        <item h="1" sd="0" x="361"/>
        <item h="1" sd="0" x="362"/>
        <item h="1" sd="0" x="363"/>
        <item h="1" sd="0" x="364"/>
        <item h="1" sd="0" x="365"/>
        <item h="1" sd="0" x="366"/>
        <item h="1" x="367"/>
        <item t="default"/>
      </items>
    </pivotField>
    <pivotField axis="axisPage" multipleItemSelectionAllowed="1" showAll="0">
      <items count="15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sd="0" x="10"/>
        <item h="1" sd="0" x="11"/>
        <item h="1" sd="0" x="12"/>
        <item h="1" sd="0" x="13"/>
        <item t="default"/>
      </items>
    </pivotField>
  </pivotFields>
  <rowFields count="2">
    <field x="26"/>
    <field x="4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15" hier="-1"/>
    <pageField fld="45" hier="-1"/>
  </pageFields>
  <dataFields count="1">
    <dataField name="Soma de Duração Ocorrencia" fld="17" baseField="0" baseItem="0" numFmtId="169"/>
  </dataFields>
  <formats count="7">
    <format dxfId="7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7">
      <pivotArea field="26" type="button" dataOnly="0" labelOnly="1" outline="0" axis="axisRow" fieldPosition="0"/>
    </format>
    <format dxfId="7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5">
      <pivotArea field="26" type="button" dataOnly="0" labelOnly="1" outline="0" axis="axisRow" fieldPosition="0"/>
    </format>
    <format dxfId="7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55A6F-3B71-4DFD-9CC4-5D061067E05B}" name="Tabela dinâmica4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6:B31" firstHeaderRow="1" firstDataRow="1" firstDataCol="1" rowPageCount="2" colPageCount="1"/>
  <pivotFields count="4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Page" multipleItemSelectionAllowed="1" showAll="0">
      <items count="8">
        <item x="0"/>
        <item x="3"/>
        <item x="1"/>
        <item x="4"/>
        <item h="1" m="1" x="5"/>
        <item h="1" m="1" x="6"/>
        <item x="2"/>
        <item t="default"/>
      </items>
    </pivotField>
    <pivotField showAll="0"/>
    <pivotField dataField="1" numFmtId="2" showAll="0"/>
    <pivotField showAll="0"/>
    <pivotField showAll="0"/>
    <pivotField showAll="0"/>
    <pivotField numFmtId="165" showAll="0"/>
    <pivotField numFmtId="165" showAll="0"/>
    <pivotField numFmtId="165" showAll="0"/>
    <pivotField numFmtId="168" subtotalTop="0" showAll="0">
      <items count="1026">
        <item x="0"/>
        <item x="706"/>
        <item x="707"/>
        <item x="263"/>
        <item x="264"/>
        <item x="1"/>
        <item x="708"/>
        <item x="2"/>
        <item x="3"/>
        <item x="265"/>
        <item x="266"/>
        <item x="267"/>
        <item x="268"/>
        <item x="709"/>
        <item x="710"/>
        <item x="269"/>
        <item x="4"/>
        <item x="5"/>
        <item x="270"/>
        <item x="6"/>
        <item x="711"/>
        <item x="712"/>
        <item x="7"/>
        <item x="713"/>
        <item x="271"/>
        <item x="272"/>
        <item x="8"/>
        <item x="9"/>
        <item x="10"/>
        <item x="273"/>
        <item x="451"/>
        <item x="11"/>
        <item x="12"/>
        <item x="714"/>
        <item x="715"/>
        <item x="452"/>
        <item x="453"/>
        <item x="454"/>
        <item x="455"/>
        <item x="716"/>
        <item x="456"/>
        <item x="274"/>
        <item x="457"/>
        <item x="458"/>
        <item x="13"/>
        <item x="14"/>
        <item x="459"/>
        <item x="275"/>
        <item x="460"/>
        <item x="461"/>
        <item x="462"/>
        <item x="463"/>
        <item x="15"/>
        <item x="717"/>
        <item x="718"/>
        <item x="719"/>
        <item x="720"/>
        <item x="16"/>
        <item x="17"/>
        <item x="276"/>
        <item x="464"/>
        <item x="465"/>
        <item x="18"/>
        <item x="19"/>
        <item x="721"/>
        <item x="20"/>
        <item x="21"/>
        <item x="277"/>
        <item x="22"/>
        <item x="278"/>
        <item x="23"/>
        <item x="24"/>
        <item x="25"/>
        <item x="722"/>
        <item x="723"/>
        <item x="26"/>
        <item x="27"/>
        <item x="28"/>
        <item x="29"/>
        <item x="30"/>
        <item x="31"/>
        <item x="724"/>
        <item x="725"/>
        <item x="726"/>
        <item x="279"/>
        <item x="727"/>
        <item x="728"/>
        <item x="466"/>
        <item x="467"/>
        <item x="280"/>
        <item x="281"/>
        <item x="282"/>
        <item x="283"/>
        <item x="284"/>
        <item x="285"/>
        <item x="729"/>
        <item x="730"/>
        <item x="731"/>
        <item x="286"/>
        <item x="287"/>
        <item x="288"/>
        <item x="468"/>
        <item x="469"/>
        <item x="470"/>
        <item x="289"/>
        <item x="471"/>
        <item x="732"/>
        <item x="733"/>
        <item x="734"/>
        <item x="472"/>
        <item x="473"/>
        <item x="474"/>
        <item x="475"/>
        <item x="290"/>
        <item x="476"/>
        <item x="291"/>
        <item x="735"/>
        <item x="32"/>
        <item x="477"/>
        <item x="736"/>
        <item x="737"/>
        <item x="292"/>
        <item x="293"/>
        <item x="738"/>
        <item x="739"/>
        <item x="740"/>
        <item x="741"/>
        <item x="742"/>
        <item x="743"/>
        <item x="744"/>
        <item x="294"/>
        <item x="33"/>
        <item x="34"/>
        <item m="1" x="1021"/>
        <item x="295"/>
        <item m="1" x="1022"/>
        <item m="1" x="1023"/>
        <item x="296"/>
        <item x="36"/>
        <item x="745"/>
        <item x="478"/>
        <item x="479"/>
        <item x="746"/>
        <item x="747"/>
        <item x="748"/>
        <item x="37"/>
        <item x="749"/>
        <item x="750"/>
        <item x="751"/>
        <item x="752"/>
        <item x="753"/>
        <item x="297"/>
        <item x="754"/>
        <item x="755"/>
        <item x="756"/>
        <item x="480"/>
        <item x="298"/>
        <item x="299"/>
        <item x="757"/>
        <item x="758"/>
        <item x="481"/>
        <item x="482"/>
        <item x="483"/>
        <item x="759"/>
        <item x="760"/>
        <item x="484"/>
        <item x="485"/>
        <item x="38"/>
        <item x="39"/>
        <item x="40"/>
        <item x="761"/>
        <item x="762"/>
        <item x="41"/>
        <item x="300"/>
        <item x="763"/>
        <item x="764"/>
        <item x="486"/>
        <item x="487"/>
        <item x="301"/>
        <item x="765"/>
        <item x="488"/>
        <item x="489"/>
        <item x="766"/>
        <item x="767"/>
        <item x="302"/>
        <item x="303"/>
        <item x="304"/>
        <item x="305"/>
        <item x="768"/>
        <item x="769"/>
        <item x="306"/>
        <item x="770"/>
        <item x="771"/>
        <item x="772"/>
        <item x="773"/>
        <item x="774"/>
        <item x="307"/>
        <item x="308"/>
        <item x="309"/>
        <item x="42"/>
        <item x="310"/>
        <item x="311"/>
        <item x="490"/>
        <item x="491"/>
        <item x="775"/>
        <item x="776"/>
        <item x="777"/>
        <item x="43"/>
        <item x="492"/>
        <item x="493"/>
        <item x="494"/>
        <item x="495"/>
        <item x="312"/>
        <item x="496"/>
        <item x="497"/>
        <item x="778"/>
        <item x="779"/>
        <item x="313"/>
        <item x="314"/>
        <item x="498"/>
        <item x="499"/>
        <item x="44"/>
        <item x="780"/>
        <item x="500"/>
        <item x="501"/>
        <item x="315"/>
        <item x="502"/>
        <item x="45"/>
        <item x="503"/>
        <item x="46"/>
        <item x="47"/>
        <item x="48"/>
        <item x="49"/>
        <item x="50"/>
        <item x="51"/>
        <item x="52"/>
        <item x="504"/>
        <item x="505"/>
        <item x="506"/>
        <item x="316"/>
        <item x="53"/>
        <item x="54"/>
        <item x="317"/>
        <item x="55"/>
        <item x="56"/>
        <item x="507"/>
        <item x="781"/>
        <item x="782"/>
        <item x="318"/>
        <item x="319"/>
        <item x="320"/>
        <item x="321"/>
        <item x="783"/>
        <item x="322"/>
        <item x="323"/>
        <item x="324"/>
        <item x="57"/>
        <item x="508"/>
        <item x="509"/>
        <item x="510"/>
        <item x="511"/>
        <item x="784"/>
        <item x="512"/>
        <item x="785"/>
        <item x="58"/>
        <item x="59"/>
        <item x="513"/>
        <item x="325"/>
        <item x="514"/>
        <item x="786"/>
        <item x="787"/>
        <item x="326"/>
        <item x="60"/>
        <item x="61"/>
        <item x="62"/>
        <item x="788"/>
        <item x="789"/>
        <item x="63"/>
        <item x="515"/>
        <item x="516"/>
        <item x="517"/>
        <item x="327"/>
        <item x="518"/>
        <item x="519"/>
        <item x="520"/>
        <item x="790"/>
        <item x="521"/>
        <item x="522"/>
        <item x="64"/>
        <item x="65"/>
        <item x="66"/>
        <item x="791"/>
        <item x="792"/>
        <item x="67"/>
        <item x="793"/>
        <item x="68"/>
        <item x="69"/>
        <item x="328"/>
        <item x="523"/>
        <item x="524"/>
        <item x="70"/>
        <item x="329"/>
        <item x="330"/>
        <item x="794"/>
        <item x="331"/>
        <item x="71"/>
        <item x="72"/>
        <item x="73"/>
        <item x="74"/>
        <item x="332"/>
        <item x="333"/>
        <item x="334"/>
        <item x="335"/>
        <item x="336"/>
        <item x="337"/>
        <item x="338"/>
        <item x="795"/>
        <item x="339"/>
        <item x="525"/>
        <item x="75"/>
        <item x="526"/>
        <item x="527"/>
        <item x="340"/>
        <item x="528"/>
        <item x="341"/>
        <item x="342"/>
        <item x="343"/>
        <item x="344"/>
        <item x="76"/>
        <item x="345"/>
        <item x="529"/>
        <item x="346"/>
        <item x="347"/>
        <item x="796"/>
        <item x="348"/>
        <item x="349"/>
        <item x="797"/>
        <item x="798"/>
        <item x="77"/>
        <item x="799"/>
        <item x="800"/>
        <item x="350"/>
        <item x="801"/>
        <item x="802"/>
        <item x="78"/>
        <item x="530"/>
        <item x="531"/>
        <item x="532"/>
        <item x="533"/>
        <item x="803"/>
        <item x="534"/>
        <item x="804"/>
        <item x="805"/>
        <item x="535"/>
        <item x="806"/>
        <item x="351"/>
        <item x="807"/>
        <item x="79"/>
        <item x="808"/>
        <item x="809"/>
        <item x="536"/>
        <item x="810"/>
        <item x="811"/>
        <item x="352"/>
        <item x="353"/>
        <item x="354"/>
        <item x="355"/>
        <item x="356"/>
        <item x="80"/>
        <item x="357"/>
        <item x="812"/>
        <item x="813"/>
        <item x="537"/>
        <item x="358"/>
        <item x="359"/>
        <item x="81"/>
        <item x="538"/>
        <item x="82"/>
        <item x="814"/>
        <item x="360"/>
        <item x="361"/>
        <item x="362"/>
        <item x="363"/>
        <item x="364"/>
        <item x="365"/>
        <item x="366"/>
        <item x="815"/>
        <item x="83"/>
        <item x="539"/>
        <item x="816"/>
        <item x="84"/>
        <item x="817"/>
        <item x="818"/>
        <item x="819"/>
        <item x="820"/>
        <item x="821"/>
        <item x="85"/>
        <item x="86"/>
        <item x="87"/>
        <item x="88"/>
        <item x="89"/>
        <item x="90"/>
        <item x="822"/>
        <item x="540"/>
        <item x="367"/>
        <item x="541"/>
        <item x="542"/>
        <item x="91"/>
        <item x="823"/>
        <item x="824"/>
        <item x="92"/>
        <item x="93"/>
        <item x="94"/>
        <item x="95"/>
        <item x="96"/>
        <item x="543"/>
        <item x="544"/>
        <item x="545"/>
        <item x="546"/>
        <item x="547"/>
        <item x="97"/>
        <item x="548"/>
        <item x="825"/>
        <item x="826"/>
        <item x="98"/>
        <item x="827"/>
        <item x="99"/>
        <item x="100"/>
        <item x="101"/>
        <item x="102"/>
        <item x="103"/>
        <item x="549"/>
        <item x="828"/>
        <item x="829"/>
        <item x="830"/>
        <item x="831"/>
        <item x="832"/>
        <item x="833"/>
        <item x="550"/>
        <item x="834"/>
        <item x="551"/>
        <item x="552"/>
        <item x="835"/>
        <item x="553"/>
        <item x="836"/>
        <item x="837"/>
        <item x="554"/>
        <item x="555"/>
        <item x="556"/>
        <item x="557"/>
        <item x="838"/>
        <item x="839"/>
        <item x="840"/>
        <item x="841"/>
        <item x="842"/>
        <item x="558"/>
        <item x="104"/>
        <item x="105"/>
        <item x="843"/>
        <item x="844"/>
        <item x="106"/>
        <item x="107"/>
        <item x="845"/>
        <item x="559"/>
        <item x="846"/>
        <item x="847"/>
        <item x="560"/>
        <item x="108"/>
        <item x="109"/>
        <item x="110"/>
        <item x="111"/>
        <item x="112"/>
        <item x="113"/>
        <item x="561"/>
        <item x="114"/>
        <item x="848"/>
        <item x="115"/>
        <item x="849"/>
        <item x="116"/>
        <item x="117"/>
        <item x="118"/>
        <item x="562"/>
        <item x="119"/>
        <item x="850"/>
        <item x="563"/>
        <item x="120"/>
        <item x="121"/>
        <item x="122"/>
        <item x="851"/>
        <item x="123"/>
        <item x="124"/>
        <item x="368"/>
        <item x="125"/>
        <item x="126"/>
        <item x="564"/>
        <item x="127"/>
        <item x="128"/>
        <item x="852"/>
        <item x="853"/>
        <item x="854"/>
        <item x="855"/>
        <item x="856"/>
        <item x="129"/>
        <item x="130"/>
        <item x="131"/>
        <item x="132"/>
        <item x="565"/>
        <item x="133"/>
        <item x="566"/>
        <item x="567"/>
        <item x="857"/>
        <item x="858"/>
        <item x="859"/>
        <item x="568"/>
        <item x="569"/>
        <item x="570"/>
        <item x="571"/>
        <item x="572"/>
        <item x="369"/>
        <item x="573"/>
        <item x="574"/>
        <item x="370"/>
        <item x="134"/>
        <item x="135"/>
        <item x="136"/>
        <item x="137"/>
        <item x="138"/>
        <item x="575"/>
        <item x="139"/>
        <item x="140"/>
        <item x="141"/>
        <item x="142"/>
        <item x="860"/>
        <item x="576"/>
        <item x="861"/>
        <item x="862"/>
        <item x="863"/>
        <item x="864"/>
        <item x="143"/>
        <item x="865"/>
        <item x="144"/>
        <item x="577"/>
        <item x="866"/>
        <item x="867"/>
        <item x="145"/>
        <item x="146"/>
        <item x="868"/>
        <item x="578"/>
        <item x="579"/>
        <item x="147"/>
        <item x="148"/>
        <item x="869"/>
        <item x="870"/>
        <item x="580"/>
        <item x="871"/>
        <item x="581"/>
        <item x="872"/>
        <item x="582"/>
        <item x="583"/>
        <item x="149"/>
        <item x="873"/>
        <item x="874"/>
        <item x="875"/>
        <item x="150"/>
        <item x="876"/>
        <item x="584"/>
        <item x="371"/>
        <item x="372"/>
        <item x="877"/>
        <item x="878"/>
        <item x="879"/>
        <item x="880"/>
        <item x="585"/>
        <item x="151"/>
        <item x="586"/>
        <item x="373"/>
        <item x="374"/>
        <item x="881"/>
        <item x="152"/>
        <item x="587"/>
        <item x="153"/>
        <item x="882"/>
        <item x="883"/>
        <item x="588"/>
        <item x="375"/>
        <item x="884"/>
        <item x="376"/>
        <item x="589"/>
        <item x="590"/>
        <item x="591"/>
        <item x="592"/>
        <item x="593"/>
        <item x="885"/>
        <item x="377"/>
        <item x="886"/>
        <item x="378"/>
        <item x="154"/>
        <item x="594"/>
        <item x="595"/>
        <item x="379"/>
        <item x="155"/>
        <item x="887"/>
        <item x="888"/>
        <item x="156"/>
        <item x="889"/>
        <item x="596"/>
        <item x="597"/>
        <item x="157"/>
        <item x="890"/>
        <item x="891"/>
        <item x="598"/>
        <item x="892"/>
        <item x="893"/>
        <item x="158"/>
        <item x="599"/>
        <item x="600"/>
        <item x="380"/>
        <item x="601"/>
        <item x="602"/>
        <item x="894"/>
        <item x="895"/>
        <item x="896"/>
        <item x="381"/>
        <item x="382"/>
        <item x="897"/>
        <item x="159"/>
        <item x="160"/>
        <item x="898"/>
        <item x="161"/>
        <item x="899"/>
        <item x="603"/>
        <item x="604"/>
        <item x="605"/>
        <item x="606"/>
        <item x="383"/>
        <item x="607"/>
        <item x="608"/>
        <item x="900"/>
        <item x="901"/>
        <item x="902"/>
        <item x="903"/>
        <item x="904"/>
        <item x="162"/>
        <item x="163"/>
        <item x="164"/>
        <item x="165"/>
        <item x="166"/>
        <item x="905"/>
        <item x="384"/>
        <item x="906"/>
        <item x="167"/>
        <item x="385"/>
        <item x="386"/>
        <item x="907"/>
        <item x="609"/>
        <item x="610"/>
        <item x="168"/>
        <item x="611"/>
        <item x="387"/>
        <item x="908"/>
        <item x="612"/>
        <item x="388"/>
        <item x="389"/>
        <item x="613"/>
        <item x="614"/>
        <item x="169"/>
        <item x="170"/>
        <item x="615"/>
        <item x="390"/>
        <item x="616"/>
        <item x="391"/>
        <item x="392"/>
        <item x="393"/>
        <item x="617"/>
        <item x="171"/>
        <item x="394"/>
        <item x="172"/>
        <item x="618"/>
        <item x="619"/>
        <item x="395"/>
        <item x="620"/>
        <item x="621"/>
        <item x="909"/>
        <item x="173"/>
        <item x="174"/>
        <item x="396"/>
        <item x="397"/>
        <item x="398"/>
        <item x="399"/>
        <item x="910"/>
        <item x="911"/>
        <item x="622"/>
        <item x="400"/>
        <item x="401"/>
        <item x="402"/>
        <item x="403"/>
        <item x="404"/>
        <item x="405"/>
        <item x="406"/>
        <item x="623"/>
        <item x="624"/>
        <item x="912"/>
        <item x="913"/>
        <item x="175"/>
        <item x="914"/>
        <item x="915"/>
        <item x="916"/>
        <item x="176"/>
        <item x="177"/>
        <item x="625"/>
        <item x="407"/>
        <item x="178"/>
        <item x="179"/>
        <item x="180"/>
        <item x="408"/>
        <item x="409"/>
        <item x="626"/>
        <item x="627"/>
        <item x="917"/>
        <item x="918"/>
        <item x="410"/>
        <item x="411"/>
        <item x="181"/>
        <item x="182"/>
        <item x="412"/>
        <item x="919"/>
        <item x="920"/>
        <item x="413"/>
        <item x="183"/>
        <item x="628"/>
        <item x="184"/>
        <item x="414"/>
        <item x="415"/>
        <item x="921"/>
        <item x="416"/>
        <item x="417"/>
        <item x="922"/>
        <item x="185"/>
        <item x="418"/>
        <item x="419"/>
        <item x="186"/>
        <item x="420"/>
        <item x="421"/>
        <item x="629"/>
        <item x="630"/>
        <item x="422"/>
        <item x="423"/>
        <item x="424"/>
        <item x="187"/>
        <item x="425"/>
        <item x="427"/>
        <item x="923"/>
        <item x="924"/>
        <item x="428"/>
        <item x="188"/>
        <item x="631"/>
        <item x="632"/>
        <item x="189"/>
        <item x="633"/>
        <item x="925"/>
        <item x="190"/>
        <item x="429"/>
        <item x="926"/>
        <item x="192"/>
        <item x="193"/>
        <item x="634"/>
        <item x="195"/>
        <item x="196"/>
        <item x="927"/>
        <item m="1" x="1014"/>
        <item x="928"/>
        <item m="1" x="1015"/>
        <item x="198"/>
        <item x="929"/>
        <item x="635"/>
        <item x="636"/>
        <item x="199"/>
        <item x="200"/>
        <item x="637"/>
        <item x="639"/>
        <item x="640"/>
        <item x="641"/>
        <item x="201"/>
        <item x="643"/>
        <item x="930"/>
        <item x="931"/>
        <item x="933"/>
        <item x="202"/>
        <item x="644"/>
        <item x="203"/>
        <item x="937"/>
        <item x="938"/>
        <item x="646"/>
        <item x="204"/>
        <item x="647"/>
        <item x="205"/>
        <item x="939"/>
        <item m="1" x="1011"/>
        <item x="940"/>
        <item x="941"/>
        <item x="206"/>
        <item x="648"/>
        <item x="207"/>
        <item m="1" x="1024"/>
        <item x="942"/>
        <item m="1" x="1012"/>
        <item x="934"/>
        <item x="936"/>
        <item x="649"/>
        <item x="650"/>
        <item x="651"/>
        <item x="652"/>
        <item x="208"/>
        <item x="35"/>
        <item m="1" x="1020"/>
        <item x="209"/>
        <item x="943"/>
        <item x="210"/>
        <item x="211"/>
        <item x="659"/>
        <item x="212"/>
        <item x="660"/>
        <item x="213"/>
        <item x="214"/>
        <item x="215"/>
        <item x="216"/>
        <item x="217"/>
        <item x="218"/>
        <item x="662"/>
        <item x="944"/>
        <item m="1" x="1013"/>
        <item m="1" x="1016"/>
        <item x="432"/>
        <item x="220"/>
        <item x="433"/>
        <item x="664"/>
        <item x="665"/>
        <item x="666"/>
        <item x="667"/>
        <item x="221"/>
        <item x="222"/>
        <item x="945"/>
        <item x="946"/>
        <item x="947"/>
        <item x="223"/>
        <item x="668"/>
        <item x="224"/>
        <item x="669"/>
        <item x="948"/>
        <item x="670"/>
        <item x="225"/>
        <item x="226"/>
        <item x="949"/>
        <item x="671"/>
        <item x="950"/>
        <item x="227"/>
        <item x="228"/>
        <item x="951"/>
        <item m="1" x="1019"/>
        <item x="952"/>
        <item x="953"/>
        <item x="954"/>
        <item x="672"/>
        <item x="229"/>
        <item x="673"/>
        <item x="955"/>
        <item x="230"/>
        <item x="956"/>
        <item x="957"/>
        <item x="958"/>
        <item x="674"/>
        <item x="959"/>
        <item x="960"/>
        <item m="1" x="1018"/>
        <item m="1" x="1017"/>
        <item x="231"/>
        <item x="232"/>
        <item x="233"/>
        <item x="234"/>
        <item x="235"/>
        <item x="961"/>
        <item x="962"/>
        <item x="675"/>
        <item x="236"/>
        <item x="237"/>
        <item x="676"/>
        <item x="677"/>
        <item x="678"/>
        <item x="679"/>
        <item x="963"/>
        <item x="964"/>
        <item x="434"/>
        <item x="435"/>
        <item m="1" x="1005"/>
        <item m="1" x="1006"/>
        <item x="680"/>
        <item x="681"/>
        <item x="238"/>
        <item x="239"/>
        <item x="240"/>
        <item x="965"/>
        <item x="682"/>
        <item x="966"/>
        <item x="967"/>
        <item x="968"/>
        <item x="241"/>
        <item x="436"/>
        <item x="683"/>
        <item m="1" x="1007"/>
        <item x="242"/>
        <item x="684"/>
        <item x="969"/>
        <item x="970"/>
        <item x="971"/>
        <item x="972"/>
        <item x="437"/>
        <item x="243"/>
        <item x="685"/>
        <item x="973"/>
        <item x="438"/>
        <item x="439"/>
        <item x="974"/>
        <item x="686"/>
        <item x="687"/>
        <item x="191"/>
        <item x="219"/>
        <item x="430"/>
        <item x="431"/>
        <item x="645"/>
        <item x="653"/>
        <item x="654"/>
        <item x="655"/>
        <item x="656"/>
        <item x="657"/>
        <item x="658"/>
        <item x="661"/>
        <item x="663"/>
        <item x="426"/>
        <item x="194"/>
        <item x="197"/>
        <item x="638"/>
        <item x="642"/>
        <item x="932"/>
        <item x="935"/>
        <item m="1" x="1008"/>
        <item x="244"/>
        <item x="975"/>
        <item x="688"/>
        <item x="245"/>
        <item x="689"/>
        <item x="976"/>
        <item x="690"/>
        <item x="246"/>
        <item m="1" x="1009"/>
        <item x="247"/>
        <item x="691"/>
        <item x="248"/>
        <item m="1" x="1010"/>
        <item x="692"/>
        <item x="249"/>
        <item x="693"/>
        <item x="977"/>
        <item x="694"/>
        <item x="250"/>
        <item x="440"/>
        <item x="978"/>
        <item x="979"/>
        <item x="980"/>
        <item x="981"/>
        <item x="441"/>
        <item x="982"/>
        <item x="442"/>
        <item x="695"/>
        <item m="1" x="1002"/>
        <item x="251"/>
        <item x="252"/>
        <item x="253"/>
        <item x="983"/>
        <item x="696"/>
        <item x="984"/>
        <item x="985"/>
        <item x="697"/>
        <item x="986"/>
        <item x="987"/>
        <item x="698"/>
        <item m="1" x="1001"/>
        <item m="1" x="1004"/>
        <item x="988"/>
        <item x="699"/>
        <item x="989"/>
        <item x="990"/>
        <item m="1" x="1003"/>
        <item x="991"/>
        <item x="700"/>
        <item x="992"/>
        <item x="443"/>
        <item x="993"/>
        <item x="444"/>
        <item x="445"/>
        <item x="254"/>
        <item x="994"/>
        <item x="446"/>
        <item x="447"/>
        <item x="701"/>
        <item x="702"/>
        <item x="255"/>
        <item x="256"/>
        <item x="448"/>
        <item x="995"/>
        <item x="996"/>
        <item x="997"/>
        <item x="449"/>
        <item x="703"/>
        <item x="998"/>
        <item x="999"/>
        <item x="257"/>
        <item x="450"/>
        <item x="258"/>
        <item x="259"/>
        <item x="260"/>
        <item x="261"/>
        <item x="1000"/>
        <item x="704"/>
        <item x="262"/>
        <item x="705"/>
        <item t="default"/>
      </items>
    </pivotField>
    <pivotField numFmtId="164" showAll="0"/>
    <pivotField axis="axisRow" showAll="0" sortType="ascending">
      <items count="29">
        <item sd="0" x="0"/>
        <item sd="0" x="1"/>
        <item sd="0" x="2"/>
        <item sd="0" x="3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sd="0" m="1" x="4"/>
        <item t="default"/>
      </items>
    </pivotField>
    <pivotField showAll="0"/>
    <pivotField showAll="0"/>
    <pivotField showAll="0"/>
    <pivotField showAll="0"/>
    <pivotField showAll="0"/>
    <pivotField numFmtId="2"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Page" multipleItemSelectionAllowed="1" showAll="0">
      <items count="15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2">
    <field x="26"/>
    <field x="4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15" hier="-1"/>
    <pageField fld="45" hier="-1"/>
  </pageFields>
  <dataFields count="1">
    <dataField name="Soma de Duração Ocorrencia" fld="17" baseField="0" baseItem="0" numFmtId="169"/>
  </dataFields>
  <formats count="7">
    <format dxfId="8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4">
      <pivotArea field="26" type="button" dataOnly="0" labelOnly="1" outline="0" axis="axisRow" fieldPosition="0"/>
    </format>
    <format dxfId="8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2">
      <pivotArea field="26" type="button" dataOnly="0" labelOnly="1" outline="0" axis="axisRow" fieldPosition="0"/>
    </format>
    <format dxfId="8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7D3AE-D17F-4C2D-978A-9AC553F34570}" name="Tabela dinâmica6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B9" firstHeaderRow="1" firstDataRow="1" firstDataCol="1" rowPageCount="2" colPageCount="1"/>
  <pivotFields count="4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Page" multipleItemSelectionAllowed="1" showAll="0">
      <items count="8">
        <item x="0"/>
        <item x="3"/>
        <item x="1"/>
        <item x="4"/>
        <item h="1" m="1" x="5"/>
        <item h="1" m="1" x="6"/>
        <item x="2"/>
        <item t="default"/>
      </items>
    </pivotField>
    <pivotField showAll="0"/>
    <pivotField dataField="1" numFmtId="2" showAll="0"/>
    <pivotField showAll="0"/>
    <pivotField showAll="0"/>
    <pivotField showAll="0"/>
    <pivotField numFmtId="165" showAll="0"/>
    <pivotField numFmtId="165" showAll="0"/>
    <pivotField numFmtId="165" showAll="0"/>
    <pivotField numFmtId="168" subtotalTop="0" showAll="0">
      <items count="1026">
        <item x="0"/>
        <item x="706"/>
        <item x="707"/>
        <item x="263"/>
        <item x="264"/>
        <item x="1"/>
        <item x="708"/>
        <item x="2"/>
        <item x="3"/>
        <item x="265"/>
        <item x="266"/>
        <item x="267"/>
        <item x="268"/>
        <item x="709"/>
        <item x="710"/>
        <item x="269"/>
        <item x="4"/>
        <item x="5"/>
        <item x="270"/>
        <item x="6"/>
        <item x="711"/>
        <item x="712"/>
        <item x="7"/>
        <item x="713"/>
        <item x="271"/>
        <item x="272"/>
        <item x="8"/>
        <item x="9"/>
        <item x="10"/>
        <item x="273"/>
        <item x="451"/>
        <item x="11"/>
        <item x="12"/>
        <item x="714"/>
        <item x="715"/>
        <item x="452"/>
        <item x="453"/>
        <item x="454"/>
        <item x="455"/>
        <item x="716"/>
        <item x="456"/>
        <item x="274"/>
        <item x="457"/>
        <item x="458"/>
        <item x="13"/>
        <item x="14"/>
        <item x="459"/>
        <item x="275"/>
        <item x="460"/>
        <item x="461"/>
        <item x="462"/>
        <item x="463"/>
        <item x="15"/>
        <item x="717"/>
        <item x="718"/>
        <item x="719"/>
        <item x="720"/>
        <item x="16"/>
        <item x="17"/>
        <item x="276"/>
        <item x="464"/>
        <item x="465"/>
        <item x="18"/>
        <item x="19"/>
        <item x="721"/>
        <item x="20"/>
        <item x="21"/>
        <item x="277"/>
        <item x="22"/>
        <item x="278"/>
        <item x="23"/>
        <item x="24"/>
        <item x="25"/>
        <item x="722"/>
        <item x="723"/>
        <item x="26"/>
        <item x="27"/>
        <item x="28"/>
        <item x="29"/>
        <item x="30"/>
        <item x="31"/>
        <item x="724"/>
        <item x="725"/>
        <item x="726"/>
        <item x="279"/>
        <item x="727"/>
        <item x="728"/>
        <item x="466"/>
        <item x="467"/>
        <item x="280"/>
        <item x="281"/>
        <item x="282"/>
        <item x="283"/>
        <item x="284"/>
        <item x="285"/>
        <item x="729"/>
        <item x="730"/>
        <item x="731"/>
        <item x="286"/>
        <item x="287"/>
        <item x="288"/>
        <item x="468"/>
        <item x="469"/>
        <item x="470"/>
        <item x="289"/>
        <item x="471"/>
        <item x="732"/>
        <item x="733"/>
        <item x="734"/>
        <item x="472"/>
        <item x="473"/>
        <item x="474"/>
        <item x="475"/>
        <item x="290"/>
        <item x="476"/>
        <item x="291"/>
        <item x="735"/>
        <item x="32"/>
        <item x="477"/>
        <item x="736"/>
        <item x="737"/>
        <item x="292"/>
        <item x="293"/>
        <item x="738"/>
        <item x="739"/>
        <item x="740"/>
        <item x="741"/>
        <item x="742"/>
        <item x="743"/>
        <item x="744"/>
        <item x="294"/>
        <item x="33"/>
        <item x="34"/>
        <item m="1" x="1021"/>
        <item x="295"/>
        <item m="1" x="1022"/>
        <item m="1" x="1023"/>
        <item x="296"/>
        <item x="36"/>
        <item x="745"/>
        <item x="478"/>
        <item x="479"/>
        <item x="746"/>
        <item x="747"/>
        <item x="748"/>
        <item x="37"/>
        <item x="749"/>
        <item x="750"/>
        <item x="751"/>
        <item x="752"/>
        <item x="753"/>
        <item x="297"/>
        <item x="754"/>
        <item x="755"/>
        <item x="756"/>
        <item x="480"/>
        <item x="298"/>
        <item x="299"/>
        <item x="757"/>
        <item x="758"/>
        <item x="481"/>
        <item x="482"/>
        <item x="483"/>
        <item x="759"/>
        <item x="760"/>
        <item x="484"/>
        <item x="485"/>
        <item x="38"/>
        <item x="39"/>
        <item x="40"/>
        <item x="761"/>
        <item x="762"/>
        <item x="41"/>
        <item x="300"/>
        <item x="763"/>
        <item x="764"/>
        <item x="486"/>
        <item x="487"/>
        <item x="301"/>
        <item x="765"/>
        <item x="488"/>
        <item x="489"/>
        <item x="766"/>
        <item x="767"/>
        <item x="302"/>
        <item x="303"/>
        <item x="304"/>
        <item x="305"/>
        <item x="768"/>
        <item x="769"/>
        <item x="306"/>
        <item x="770"/>
        <item x="771"/>
        <item x="772"/>
        <item x="773"/>
        <item x="774"/>
        <item x="307"/>
        <item x="308"/>
        <item x="309"/>
        <item x="42"/>
        <item x="310"/>
        <item x="311"/>
        <item x="490"/>
        <item x="491"/>
        <item x="775"/>
        <item x="776"/>
        <item x="777"/>
        <item x="43"/>
        <item x="492"/>
        <item x="493"/>
        <item x="494"/>
        <item x="495"/>
        <item x="312"/>
        <item x="496"/>
        <item x="497"/>
        <item x="778"/>
        <item x="779"/>
        <item x="313"/>
        <item x="314"/>
        <item x="498"/>
        <item x="499"/>
        <item x="44"/>
        <item x="780"/>
        <item x="500"/>
        <item x="501"/>
        <item x="315"/>
        <item x="502"/>
        <item x="45"/>
        <item x="503"/>
        <item x="46"/>
        <item x="47"/>
        <item x="48"/>
        <item x="49"/>
        <item x="50"/>
        <item x="51"/>
        <item x="52"/>
        <item x="504"/>
        <item x="505"/>
        <item x="506"/>
        <item x="316"/>
        <item x="53"/>
        <item x="54"/>
        <item x="317"/>
        <item x="55"/>
        <item x="56"/>
        <item x="507"/>
        <item x="781"/>
        <item x="782"/>
        <item x="318"/>
        <item x="319"/>
        <item x="320"/>
        <item x="321"/>
        <item x="783"/>
        <item x="322"/>
        <item x="323"/>
        <item x="324"/>
        <item x="57"/>
        <item x="508"/>
        <item x="509"/>
        <item x="510"/>
        <item x="511"/>
        <item x="784"/>
        <item x="512"/>
        <item x="785"/>
        <item x="58"/>
        <item x="59"/>
        <item x="513"/>
        <item x="325"/>
        <item x="514"/>
        <item x="786"/>
        <item x="787"/>
        <item x="326"/>
        <item x="60"/>
        <item x="61"/>
        <item x="62"/>
        <item x="788"/>
        <item x="789"/>
        <item x="63"/>
        <item x="515"/>
        <item x="516"/>
        <item x="517"/>
        <item x="327"/>
        <item x="518"/>
        <item x="519"/>
        <item x="520"/>
        <item x="790"/>
        <item x="521"/>
        <item x="522"/>
        <item x="64"/>
        <item x="65"/>
        <item x="66"/>
        <item x="791"/>
        <item x="792"/>
        <item x="67"/>
        <item x="793"/>
        <item x="68"/>
        <item x="69"/>
        <item x="328"/>
        <item x="523"/>
        <item x="524"/>
        <item x="70"/>
        <item x="329"/>
        <item x="330"/>
        <item x="794"/>
        <item x="331"/>
        <item x="71"/>
        <item x="72"/>
        <item x="73"/>
        <item x="74"/>
        <item x="332"/>
        <item x="333"/>
        <item x="334"/>
        <item x="335"/>
        <item x="336"/>
        <item x="337"/>
        <item x="338"/>
        <item x="795"/>
        <item x="339"/>
        <item x="525"/>
        <item x="75"/>
        <item x="526"/>
        <item x="527"/>
        <item x="340"/>
        <item x="528"/>
        <item x="341"/>
        <item x="342"/>
        <item x="343"/>
        <item x="344"/>
        <item x="76"/>
        <item x="345"/>
        <item x="529"/>
        <item x="346"/>
        <item x="347"/>
        <item x="796"/>
        <item x="348"/>
        <item x="349"/>
        <item x="797"/>
        <item x="798"/>
        <item x="77"/>
        <item x="799"/>
        <item x="800"/>
        <item x="350"/>
        <item x="801"/>
        <item x="802"/>
        <item x="78"/>
        <item x="530"/>
        <item x="531"/>
        <item x="532"/>
        <item x="533"/>
        <item x="803"/>
        <item x="534"/>
        <item x="804"/>
        <item x="805"/>
        <item x="535"/>
        <item x="806"/>
        <item x="351"/>
        <item x="807"/>
        <item x="79"/>
        <item x="808"/>
        <item x="809"/>
        <item x="536"/>
        <item x="810"/>
        <item x="811"/>
        <item x="352"/>
        <item x="353"/>
        <item x="354"/>
        <item x="355"/>
        <item x="356"/>
        <item x="80"/>
        <item x="357"/>
        <item x="812"/>
        <item x="813"/>
        <item x="537"/>
        <item x="358"/>
        <item x="359"/>
        <item x="81"/>
        <item x="538"/>
        <item x="82"/>
        <item x="814"/>
        <item x="360"/>
        <item x="361"/>
        <item x="362"/>
        <item x="363"/>
        <item x="364"/>
        <item x="365"/>
        <item x="366"/>
        <item x="815"/>
        <item x="83"/>
        <item x="539"/>
        <item x="816"/>
        <item x="84"/>
        <item x="817"/>
        <item x="818"/>
        <item x="819"/>
        <item x="820"/>
        <item x="821"/>
        <item x="85"/>
        <item x="86"/>
        <item x="87"/>
        <item x="88"/>
        <item x="89"/>
        <item x="90"/>
        <item x="822"/>
        <item x="540"/>
        <item x="367"/>
        <item x="541"/>
        <item x="542"/>
        <item x="91"/>
        <item x="823"/>
        <item x="824"/>
        <item x="92"/>
        <item x="93"/>
        <item x="94"/>
        <item x="95"/>
        <item x="96"/>
        <item x="543"/>
        <item x="544"/>
        <item x="545"/>
        <item x="546"/>
        <item x="547"/>
        <item x="97"/>
        <item x="548"/>
        <item x="825"/>
        <item x="826"/>
        <item x="98"/>
        <item x="827"/>
        <item x="99"/>
        <item x="100"/>
        <item x="101"/>
        <item x="102"/>
        <item x="103"/>
        <item x="549"/>
        <item x="828"/>
        <item x="829"/>
        <item x="830"/>
        <item x="831"/>
        <item x="832"/>
        <item x="833"/>
        <item x="550"/>
        <item x="834"/>
        <item x="551"/>
        <item x="552"/>
        <item x="835"/>
        <item x="553"/>
        <item x="836"/>
        <item x="837"/>
        <item x="554"/>
        <item x="555"/>
        <item x="556"/>
        <item x="557"/>
        <item x="838"/>
        <item x="839"/>
        <item x="840"/>
        <item x="841"/>
        <item x="842"/>
        <item x="558"/>
        <item x="104"/>
        <item x="105"/>
        <item x="843"/>
        <item x="844"/>
        <item x="106"/>
        <item x="107"/>
        <item x="845"/>
        <item x="559"/>
        <item x="846"/>
        <item x="847"/>
        <item x="560"/>
        <item x="108"/>
        <item x="109"/>
        <item x="110"/>
        <item x="111"/>
        <item x="112"/>
        <item x="113"/>
        <item x="561"/>
        <item x="114"/>
        <item x="848"/>
        <item x="115"/>
        <item x="849"/>
        <item x="116"/>
        <item x="117"/>
        <item x="118"/>
        <item x="562"/>
        <item x="119"/>
        <item x="850"/>
        <item x="563"/>
        <item x="120"/>
        <item x="121"/>
        <item x="122"/>
        <item x="851"/>
        <item x="123"/>
        <item x="124"/>
        <item x="368"/>
        <item x="125"/>
        <item x="126"/>
        <item x="564"/>
        <item x="127"/>
        <item x="128"/>
        <item x="852"/>
        <item x="853"/>
        <item x="854"/>
        <item x="855"/>
        <item x="856"/>
        <item x="129"/>
        <item x="130"/>
        <item x="131"/>
        <item x="132"/>
        <item x="565"/>
        <item x="133"/>
        <item x="566"/>
        <item x="567"/>
        <item x="857"/>
        <item x="858"/>
        <item x="859"/>
        <item x="568"/>
        <item x="569"/>
        <item x="570"/>
        <item x="571"/>
        <item x="572"/>
        <item x="369"/>
        <item x="573"/>
        <item x="574"/>
        <item x="370"/>
        <item x="134"/>
        <item x="135"/>
        <item x="136"/>
        <item x="137"/>
        <item x="138"/>
        <item x="575"/>
        <item x="139"/>
        <item x="140"/>
        <item x="141"/>
        <item x="142"/>
        <item x="860"/>
        <item x="576"/>
        <item x="861"/>
        <item x="862"/>
        <item x="863"/>
        <item x="864"/>
        <item x="143"/>
        <item x="865"/>
        <item x="144"/>
        <item x="577"/>
        <item x="866"/>
        <item x="867"/>
        <item x="145"/>
        <item x="146"/>
        <item x="868"/>
        <item x="578"/>
        <item x="579"/>
        <item x="147"/>
        <item x="148"/>
        <item x="869"/>
        <item x="870"/>
        <item x="580"/>
        <item x="871"/>
        <item x="581"/>
        <item x="872"/>
        <item x="582"/>
        <item x="583"/>
        <item x="149"/>
        <item x="873"/>
        <item x="874"/>
        <item x="875"/>
        <item x="150"/>
        <item x="876"/>
        <item x="584"/>
        <item x="371"/>
        <item x="372"/>
        <item x="877"/>
        <item x="878"/>
        <item x="879"/>
        <item x="880"/>
        <item x="585"/>
        <item x="151"/>
        <item x="586"/>
        <item x="373"/>
        <item x="374"/>
        <item x="881"/>
        <item x="152"/>
        <item x="587"/>
        <item x="153"/>
        <item x="882"/>
        <item x="883"/>
        <item x="588"/>
        <item x="375"/>
        <item x="884"/>
        <item x="376"/>
        <item x="589"/>
        <item x="590"/>
        <item x="591"/>
        <item x="592"/>
        <item x="593"/>
        <item x="885"/>
        <item x="377"/>
        <item x="886"/>
        <item x="378"/>
        <item x="154"/>
        <item x="594"/>
        <item x="595"/>
        <item x="379"/>
        <item x="155"/>
        <item x="887"/>
        <item x="888"/>
        <item x="156"/>
        <item x="889"/>
        <item x="596"/>
        <item x="597"/>
        <item x="157"/>
        <item x="890"/>
        <item x="891"/>
        <item x="598"/>
        <item x="892"/>
        <item x="893"/>
        <item x="158"/>
        <item x="599"/>
        <item x="600"/>
        <item x="380"/>
        <item x="601"/>
        <item x="602"/>
        <item x="894"/>
        <item x="895"/>
        <item x="896"/>
        <item x="381"/>
        <item x="382"/>
        <item x="897"/>
        <item x="159"/>
        <item x="160"/>
        <item x="898"/>
        <item x="161"/>
        <item x="899"/>
        <item x="603"/>
        <item x="604"/>
        <item x="605"/>
        <item x="606"/>
        <item x="383"/>
        <item x="607"/>
        <item x="608"/>
        <item x="900"/>
        <item x="901"/>
        <item x="902"/>
        <item x="903"/>
        <item x="904"/>
        <item x="162"/>
        <item x="163"/>
        <item x="164"/>
        <item x="165"/>
        <item x="166"/>
        <item x="905"/>
        <item x="384"/>
        <item x="906"/>
        <item x="167"/>
        <item x="385"/>
        <item x="386"/>
        <item x="907"/>
        <item x="609"/>
        <item x="610"/>
        <item x="168"/>
        <item x="611"/>
        <item x="387"/>
        <item x="908"/>
        <item x="612"/>
        <item x="388"/>
        <item x="389"/>
        <item x="613"/>
        <item x="614"/>
        <item x="169"/>
        <item x="170"/>
        <item x="615"/>
        <item x="390"/>
        <item x="616"/>
        <item x="391"/>
        <item x="392"/>
        <item x="393"/>
        <item x="617"/>
        <item x="171"/>
        <item x="394"/>
        <item x="172"/>
        <item x="618"/>
        <item x="619"/>
        <item x="395"/>
        <item x="620"/>
        <item x="621"/>
        <item x="909"/>
        <item x="173"/>
        <item x="174"/>
        <item x="396"/>
        <item x="397"/>
        <item x="398"/>
        <item x="399"/>
        <item x="910"/>
        <item x="911"/>
        <item x="622"/>
        <item x="400"/>
        <item x="401"/>
        <item x="402"/>
        <item x="403"/>
        <item x="404"/>
        <item x="405"/>
        <item x="406"/>
        <item x="623"/>
        <item x="624"/>
        <item x="912"/>
        <item x="913"/>
        <item x="175"/>
        <item x="914"/>
        <item x="915"/>
        <item x="916"/>
        <item x="176"/>
        <item x="177"/>
        <item x="625"/>
        <item x="407"/>
        <item x="178"/>
        <item x="179"/>
        <item x="180"/>
        <item x="408"/>
        <item x="409"/>
        <item x="626"/>
        <item x="627"/>
        <item x="917"/>
        <item x="918"/>
        <item x="410"/>
        <item x="411"/>
        <item x="181"/>
        <item x="182"/>
        <item x="412"/>
        <item x="919"/>
        <item x="920"/>
        <item x="413"/>
        <item x="183"/>
        <item x="628"/>
        <item x="184"/>
        <item x="414"/>
        <item x="415"/>
        <item x="921"/>
        <item x="416"/>
        <item x="417"/>
        <item x="922"/>
        <item x="185"/>
        <item x="418"/>
        <item x="419"/>
        <item x="186"/>
        <item x="420"/>
        <item x="421"/>
        <item x="629"/>
        <item x="630"/>
        <item x="422"/>
        <item x="423"/>
        <item x="424"/>
        <item x="187"/>
        <item x="425"/>
        <item x="427"/>
        <item x="923"/>
        <item x="924"/>
        <item x="428"/>
        <item x="188"/>
        <item x="631"/>
        <item x="632"/>
        <item x="189"/>
        <item x="633"/>
        <item x="925"/>
        <item x="190"/>
        <item x="429"/>
        <item x="926"/>
        <item x="192"/>
        <item x="193"/>
        <item x="634"/>
        <item x="195"/>
        <item x="196"/>
        <item x="927"/>
        <item m="1" x="1014"/>
        <item x="928"/>
        <item m="1" x="1015"/>
        <item x="198"/>
        <item x="929"/>
        <item x="635"/>
        <item x="636"/>
        <item x="199"/>
        <item x="200"/>
        <item x="637"/>
        <item x="639"/>
        <item x="640"/>
        <item x="641"/>
        <item x="201"/>
        <item x="643"/>
        <item x="930"/>
        <item x="931"/>
        <item x="933"/>
        <item x="202"/>
        <item x="644"/>
        <item x="203"/>
        <item x="937"/>
        <item x="938"/>
        <item x="646"/>
        <item x="204"/>
        <item x="647"/>
        <item x="205"/>
        <item x="939"/>
        <item m="1" x="1011"/>
        <item x="940"/>
        <item x="941"/>
        <item x="206"/>
        <item x="648"/>
        <item x="207"/>
        <item m="1" x="1024"/>
        <item x="942"/>
        <item m="1" x="1012"/>
        <item x="934"/>
        <item x="936"/>
        <item x="649"/>
        <item x="650"/>
        <item x="651"/>
        <item x="652"/>
        <item x="208"/>
        <item x="35"/>
        <item m="1" x="1020"/>
        <item x="209"/>
        <item x="943"/>
        <item x="210"/>
        <item x="211"/>
        <item x="659"/>
        <item x="212"/>
        <item x="660"/>
        <item x="213"/>
        <item x="214"/>
        <item x="215"/>
        <item x="216"/>
        <item x="217"/>
        <item x="218"/>
        <item x="662"/>
        <item x="944"/>
        <item m="1" x="1013"/>
        <item m="1" x="1016"/>
        <item x="432"/>
        <item x="220"/>
        <item x="433"/>
        <item x="664"/>
        <item x="665"/>
        <item x="666"/>
        <item x="667"/>
        <item x="221"/>
        <item x="222"/>
        <item x="945"/>
        <item x="946"/>
        <item x="947"/>
        <item x="223"/>
        <item x="668"/>
        <item x="224"/>
        <item x="669"/>
        <item x="948"/>
        <item x="670"/>
        <item x="225"/>
        <item x="226"/>
        <item x="949"/>
        <item x="671"/>
        <item x="950"/>
        <item x="227"/>
        <item x="228"/>
        <item x="951"/>
        <item m="1" x="1019"/>
        <item x="952"/>
        <item x="953"/>
        <item x="954"/>
        <item x="672"/>
        <item x="229"/>
        <item x="673"/>
        <item x="955"/>
        <item x="230"/>
        <item x="956"/>
        <item x="957"/>
        <item x="958"/>
        <item x="674"/>
        <item x="959"/>
        <item x="960"/>
        <item m="1" x="1018"/>
        <item m="1" x="1017"/>
        <item x="231"/>
        <item x="232"/>
        <item x="233"/>
        <item x="234"/>
        <item x="235"/>
        <item x="961"/>
        <item x="962"/>
        <item x="675"/>
        <item x="236"/>
        <item x="237"/>
        <item x="676"/>
        <item x="677"/>
        <item x="678"/>
        <item x="679"/>
        <item x="963"/>
        <item x="964"/>
        <item x="434"/>
        <item x="435"/>
        <item m="1" x="1005"/>
        <item m="1" x="1006"/>
        <item x="680"/>
        <item x="681"/>
        <item x="238"/>
        <item x="239"/>
        <item x="240"/>
        <item x="965"/>
        <item x="682"/>
        <item x="966"/>
        <item x="967"/>
        <item x="968"/>
        <item x="241"/>
        <item x="436"/>
        <item x="683"/>
        <item m="1" x="1007"/>
        <item x="242"/>
        <item x="684"/>
        <item x="969"/>
        <item x="970"/>
        <item x="971"/>
        <item x="972"/>
        <item x="437"/>
        <item x="243"/>
        <item x="685"/>
        <item x="973"/>
        <item x="438"/>
        <item x="439"/>
        <item x="974"/>
        <item x="686"/>
        <item x="687"/>
        <item x="191"/>
        <item x="219"/>
        <item x="430"/>
        <item x="431"/>
        <item x="645"/>
        <item x="653"/>
        <item x="654"/>
        <item x="655"/>
        <item x="656"/>
        <item x="657"/>
        <item x="658"/>
        <item x="661"/>
        <item x="663"/>
        <item x="426"/>
        <item x="194"/>
        <item x="197"/>
        <item x="638"/>
        <item x="642"/>
        <item x="932"/>
        <item x="935"/>
        <item m="1" x="1008"/>
        <item x="244"/>
        <item x="975"/>
        <item x="688"/>
        <item x="245"/>
        <item x="689"/>
        <item x="976"/>
        <item x="690"/>
        <item x="246"/>
        <item m="1" x="1009"/>
        <item x="247"/>
        <item x="691"/>
        <item x="248"/>
        <item m="1" x="1010"/>
        <item x="692"/>
        <item x="249"/>
        <item x="693"/>
        <item x="977"/>
        <item x="694"/>
        <item x="250"/>
        <item x="440"/>
        <item x="978"/>
        <item x="979"/>
        <item x="980"/>
        <item x="981"/>
        <item x="441"/>
        <item x="982"/>
        <item x="442"/>
        <item x="695"/>
        <item m="1" x="1002"/>
        <item x="251"/>
        <item x="252"/>
        <item x="253"/>
        <item x="983"/>
        <item x="696"/>
        <item x="984"/>
        <item x="985"/>
        <item x="697"/>
        <item x="986"/>
        <item x="987"/>
        <item x="698"/>
        <item m="1" x="1001"/>
        <item m="1" x="1004"/>
        <item x="988"/>
        <item x="699"/>
        <item x="989"/>
        <item x="990"/>
        <item m="1" x="1003"/>
        <item x="991"/>
        <item x="700"/>
        <item x="992"/>
        <item x="443"/>
        <item x="993"/>
        <item x="444"/>
        <item x="445"/>
        <item x="254"/>
        <item x="994"/>
        <item x="446"/>
        <item x="447"/>
        <item x="701"/>
        <item x="702"/>
        <item x="255"/>
        <item x="256"/>
        <item x="448"/>
        <item x="995"/>
        <item x="996"/>
        <item x="997"/>
        <item x="449"/>
        <item x="703"/>
        <item x="998"/>
        <item x="999"/>
        <item x="257"/>
        <item x="450"/>
        <item x="258"/>
        <item x="259"/>
        <item x="260"/>
        <item x="261"/>
        <item x="1000"/>
        <item x="704"/>
        <item x="262"/>
        <item x="705"/>
        <item t="default"/>
      </items>
    </pivotField>
    <pivotField numFmtId="164" showAll="0"/>
    <pivotField axis="axisRow" showAll="0" sortType="ascending">
      <items count="29">
        <item sd="0" x="0"/>
        <item sd="0" x="1"/>
        <item sd="0" x="2"/>
        <item sd="0" x="3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4"/>
        <item t="default"/>
      </items>
    </pivotField>
    <pivotField showAll="0"/>
    <pivotField showAll="0"/>
    <pivotField showAll="0"/>
    <pivotField showAll="0"/>
    <pivotField showAll="0"/>
    <pivotField axis="axisPage" numFmtId="2" multipleItemSelectionAllowed="1" showAll="0">
      <items count="140"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h="1" x="0"/>
        <item m="1" x="12"/>
        <item h="1" m="1" x="13"/>
        <item h="1" x="1"/>
        <item h="1" x="2"/>
        <item h="1" x="3"/>
        <item x="4"/>
        <item h="1" x="5"/>
        <item h="1" x="6"/>
        <item h="1" x="7"/>
        <item h="1" x="8"/>
        <item h="1" x="9"/>
        <item h="1" m="1" x="11"/>
        <item h="1" m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6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15" hier="-1"/>
    <pageField fld="32" hier="-1"/>
  </pageFields>
  <dataFields count="1">
    <dataField name="Soma de Duração Ocorrencia" fld="17" baseField="0" baseItem="0" numFmtId="169"/>
  </dataFields>
  <formats count="6">
    <format dxfId="9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0">
      <pivotArea field="26" type="button" dataOnly="0" labelOnly="1" outline="0" axis="axisRow" fieldPosition="0"/>
    </format>
    <format dxfId="8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8">
      <pivotArea field="26" type="button" dataOnly="0" labelOnly="1" outline="0" axis="axisRow" fieldPosition="0"/>
    </format>
    <format dxfId="8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88173C-3733-44E7-87B9-6E2FD11C1DB7}" name="Tabela dinâmica1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5:B20" firstHeaderRow="1" firstDataRow="1" firstDataCol="1" rowPageCount="2" colPageCount="1"/>
  <pivotFields count="4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Page" multipleItemSelectionAllowed="1" showAll="0">
      <items count="8">
        <item x="0"/>
        <item x="3"/>
        <item x="1"/>
        <item x="4"/>
        <item h="1" m="1" x="5"/>
        <item h="1" m="1" x="6"/>
        <item x="2"/>
        <item t="default"/>
      </items>
    </pivotField>
    <pivotField showAll="0"/>
    <pivotField dataField="1" numFmtId="2" showAll="0"/>
    <pivotField showAll="0"/>
    <pivotField showAll="0"/>
    <pivotField showAll="0"/>
    <pivotField numFmtId="165" showAll="0"/>
    <pivotField numFmtId="165" showAll="0"/>
    <pivotField numFmtId="165" showAll="0"/>
    <pivotField numFmtId="168" subtotalTop="0" showAll="0">
      <items count="1026">
        <item x="0"/>
        <item x="706"/>
        <item x="707"/>
        <item x="263"/>
        <item x="264"/>
        <item x="1"/>
        <item x="708"/>
        <item x="2"/>
        <item x="3"/>
        <item x="265"/>
        <item x="266"/>
        <item x="267"/>
        <item x="268"/>
        <item x="709"/>
        <item x="710"/>
        <item x="269"/>
        <item x="4"/>
        <item x="5"/>
        <item x="270"/>
        <item x="6"/>
        <item x="711"/>
        <item x="712"/>
        <item x="7"/>
        <item x="713"/>
        <item x="271"/>
        <item x="272"/>
        <item x="8"/>
        <item x="9"/>
        <item x="10"/>
        <item x="273"/>
        <item x="451"/>
        <item x="11"/>
        <item x="12"/>
        <item x="714"/>
        <item x="715"/>
        <item x="452"/>
        <item x="453"/>
        <item x="454"/>
        <item x="455"/>
        <item x="716"/>
        <item x="456"/>
        <item x="274"/>
        <item x="457"/>
        <item x="458"/>
        <item x="13"/>
        <item x="14"/>
        <item x="459"/>
        <item x="275"/>
        <item x="460"/>
        <item x="461"/>
        <item x="462"/>
        <item x="463"/>
        <item x="15"/>
        <item x="717"/>
        <item x="718"/>
        <item x="719"/>
        <item x="720"/>
        <item x="16"/>
        <item x="17"/>
        <item x="276"/>
        <item x="464"/>
        <item x="465"/>
        <item x="18"/>
        <item x="19"/>
        <item x="721"/>
        <item x="20"/>
        <item x="21"/>
        <item x="277"/>
        <item x="22"/>
        <item x="278"/>
        <item x="23"/>
        <item x="24"/>
        <item x="25"/>
        <item x="722"/>
        <item x="723"/>
        <item x="26"/>
        <item x="27"/>
        <item x="28"/>
        <item x="29"/>
        <item x="30"/>
        <item x="31"/>
        <item x="724"/>
        <item x="725"/>
        <item x="726"/>
        <item x="279"/>
        <item x="727"/>
        <item x="728"/>
        <item x="466"/>
        <item x="467"/>
        <item x="280"/>
        <item x="281"/>
        <item x="282"/>
        <item x="283"/>
        <item x="284"/>
        <item x="285"/>
        <item x="729"/>
        <item x="730"/>
        <item x="731"/>
        <item x="286"/>
        <item x="287"/>
        <item x="288"/>
        <item x="468"/>
        <item x="469"/>
        <item x="470"/>
        <item x="289"/>
        <item x="471"/>
        <item x="732"/>
        <item x="733"/>
        <item x="734"/>
        <item x="472"/>
        <item x="473"/>
        <item x="474"/>
        <item x="475"/>
        <item x="290"/>
        <item x="476"/>
        <item x="291"/>
        <item x="735"/>
        <item x="32"/>
        <item x="477"/>
        <item x="736"/>
        <item x="737"/>
        <item x="292"/>
        <item x="293"/>
        <item x="738"/>
        <item x="739"/>
        <item x="740"/>
        <item x="741"/>
        <item x="742"/>
        <item x="743"/>
        <item x="744"/>
        <item x="294"/>
        <item x="33"/>
        <item x="34"/>
        <item m="1" x="1021"/>
        <item x="295"/>
        <item m="1" x="1022"/>
        <item m="1" x="1023"/>
        <item x="296"/>
        <item x="36"/>
        <item x="745"/>
        <item x="478"/>
        <item x="479"/>
        <item x="746"/>
        <item x="747"/>
        <item x="748"/>
        <item x="37"/>
        <item x="749"/>
        <item x="750"/>
        <item x="751"/>
        <item x="752"/>
        <item x="753"/>
        <item x="297"/>
        <item x="754"/>
        <item x="755"/>
        <item x="756"/>
        <item x="480"/>
        <item x="298"/>
        <item x="299"/>
        <item x="757"/>
        <item x="758"/>
        <item x="481"/>
        <item x="482"/>
        <item x="483"/>
        <item x="759"/>
        <item x="760"/>
        <item x="484"/>
        <item x="485"/>
        <item x="38"/>
        <item x="39"/>
        <item x="40"/>
        <item x="761"/>
        <item x="762"/>
        <item x="41"/>
        <item x="300"/>
        <item x="763"/>
        <item x="764"/>
        <item x="486"/>
        <item x="487"/>
        <item x="301"/>
        <item x="765"/>
        <item x="488"/>
        <item x="489"/>
        <item x="766"/>
        <item x="767"/>
        <item x="302"/>
        <item x="303"/>
        <item x="304"/>
        <item x="305"/>
        <item x="768"/>
        <item x="769"/>
        <item x="306"/>
        <item x="770"/>
        <item x="771"/>
        <item x="772"/>
        <item x="773"/>
        <item x="774"/>
        <item x="307"/>
        <item x="308"/>
        <item x="309"/>
        <item x="42"/>
        <item x="310"/>
        <item x="311"/>
        <item x="490"/>
        <item x="491"/>
        <item x="775"/>
        <item x="776"/>
        <item x="777"/>
        <item x="43"/>
        <item x="492"/>
        <item x="493"/>
        <item x="494"/>
        <item x="495"/>
        <item x="312"/>
        <item x="496"/>
        <item x="497"/>
        <item x="778"/>
        <item x="779"/>
        <item x="313"/>
        <item x="314"/>
        <item x="498"/>
        <item x="499"/>
        <item x="44"/>
        <item x="780"/>
        <item x="500"/>
        <item x="501"/>
        <item x="315"/>
        <item x="502"/>
        <item x="45"/>
        <item x="503"/>
        <item x="46"/>
        <item x="47"/>
        <item x="48"/>
        <item x="49"/>
        <item x="50"/>
        <item x="51"/>
        <item x="52"/>
        <item x="504"/>
        <item x="505"/>
        <item x="506"/>
        <item x="316"/>
        <item x="53"/>
        <item x="54"/>
        <item x="317"/>
        <item x="55"/>
        <item x="56"/>
        <item x="507"/>
        <item x="781"/>
        <item x="782"/>
        <item x="318"/>
        <item x="319"/>
        <item x="320"/>
        <item x="321"/>
        <item x="783"/>
        <item x="322"/>
        <item x="323"/>
        <item x="324"/>
        <item x="57"/>
        <item x="508"/>
        <item x="509"/>
        <item x="510"/>
        <item x="511"/>
        <item x="784"/>
        <item x="512"/>
        <item x="785"/>
        <item x="58"/>
        <item x="59"/>
        <item x="513"/>
        <item x="325"/>
        <item x="514"/>
        <item x="786"/>
        <item x="787"/>
        <item x="326"/>
        <item x="60"/>
        <item x="61"/>
        <item x="62"/>
        <item x="788"/>
        <item x="789"/>
        <item x="63"/>
        <item x="515"/>
        <item x="516"/>
        <item x="517"/>
        <item x="327"/>
        <item x="518"/>
        <item x="519"/>
        <item x="520"/>
        <item x="790"/>
        <item x="521"/>
        <item x="522"/>
        <item x="64"/>
        <item x="65"/>
        <item x="66"/>
        <item x="791"/>
        <item x="792"/>
        <item x="67"/>
        <item x="793"/>
        <item x="68"/>
        <item x="69"/>
        <item x="328"/>
        <item x="523"/>
        <item x="524"/>
        <item x="70"/>
        <item x="329"/>
        <item x="330"/>
        <item x="794"/>
        <item x="331"/>
        <item x="71"/>
        <item x="72"/>
        <item x="73"/>
        <item x="74"/>
        <item x="332"/>
        <item x="333"/>
        <item x="334"/>
        <item x="335"/>
        <item x="336"/>
        <item x="337"/>
        <item x="338"/>
        <item x="795"/>
        <item x="339"/>
        <item x="525"/>
        <item x="75"/>
        <item x="526"/>
        <item x="527"/>
        <item x="340"/>
        <item x="528"/>
        <item x="341"/>
        <item x="342"/>
        <item x="343"/>
        <item x="344"/>
        <item x="76"/>
        <item x="345"/>
        <item x="529"/>
        <item x="346"/>
        <item x="347"/>
        <item x="796"/>
        <item x="348"/>
        <item x="349"/>
        <item x="797"/>
        <item x="798"/>
        <item x="77"/>
        <item x="799"/>
        <item x="800"/>
        <item x="350"/>
        <item x="801"/>
        <item x="802"/>
        <item x="78"/>
        <item x="530"/>
        <item x="531"/>
        <item x="532"/>
        <item x="533"/>
        <item x="803"/>
        <item x="534"/>
        <item x="804"/>
        <item x="805"/>
        <item x="535"/>
        <item x="806"/>
        <item x="351"/>
        <item x="807"/>
        <item x="79"/>
        <item x="808"/>
        <item x="809"/>
        <item x="536"/>
        <item x="810"/>
        <item x="811"/>
        <item x="352"/>
        <item x="353"/>
        <item x="354"/>
        <item x="355"/>
        <item x="356"/>
        <item x="80"/>
        <item x="357"/>
        <item x="812"/>
        <item x="813"/>
        <item x="537"/>
        <item x="358"/>
        <item x="359"/>
        <item x="81"/>
        <item x="538"/>
        <item x="82"/>
        <item x="814"/>
        <item x="360"/>
        <item x="361"/>
        <item x="362"/>
        <item x="363"/>
        <item x="364"/>
        <item x="365"/>
        <item x="366"/>
        <item x="815"/>
        <item x="83"/>
        <item x="539"/>
        <item x="816"/>
        <item x="84"/>
        <item x="817"/>
        <item x="818"/>
        <item x="819"/>
        <item x="820"/>
        <item x="821"/>
        <item x="85"/>
        <item x="86"/>
        <item x="87"/>
        <item x="88"/>
        <item x="89"/>
        <item x="90"/>
        <item x="822"/>
        <item x="540"/>
        <item x="367"/>
        <item x="541"/>
        <item x="542"/>
        <item x="91"/>
        <item x="823"/>
        <item x="824"/>
        <item x="92"/>
        <item x="93"/>
        <item x="94"/>
        <item x="95"/>
        <item x="96"/>
        <item x="543"/>
        <item x="544"/>
        <item x="545"/>
        <item x="546"/>
        <item x="547"/>
        <item x="97"/>
        <item x="548"/>
        <item x="825"/>
        <item x="826"/>
        <item x="98"/>
        <item x="827"/>
        <item x="99"/>
        <item x="100"/>
        <item x="101"/>
        <item x="102"/>
        <item x="103"/>
        <item x="549"/>
        <item x="828"/>
        <item x="829"/>
        <item x="830"/>
        <item x="831"/>
        <item x="832"/>
        <item x="833"/>
        <item x="550"/>
        <item x="834"/>
        <item x="551"/>
        <item x="552"/>
        <item x="835"/>
        <item x="553"/>
        <item x="836"/>
        <item x="837"/>
        <item x="554"/>
        <item x="555"/>
        <item x="556"/>
        <item x="557"/>
        <item x="838"/>
        <item x="839"/>
        <item x="840"/>
        <item x="841"/>
        <item x="842"/>
        <item x="558"/>
        <item x="104"/>
        <item x="105"/>
        <item x="843"/>
        <item x="844"/>
        <item x="106"/>
        <item x="107"/>
        <item x="845"/>
        <item x="559"/>
        <item x="846"/>
        <item x="847"/>
        <item x="560"/>
        <item x="108"/>
        <item x="109"/>
        <item x="110"/>
        <item x="111"/>
        <item x="112"/>
        <item x="113"/>
        <item x="561"/>
        <item x="114"/>
        <item x="848"/>
        <item x="115"/>
        <item x="849"/>
        <item x="116"/>
        <item x="117"/>
        <item x="118"/>
        <item x="562"/>
        <item x="119"/>
        <item x="850"/>
        <item x="563"/>
        <item x="120"/>
        <item x="121"/>
        <item x="122"/>
        <item x="851"/>
        <item x="123"/>
        <item x="124"/>
        <item x="368"/>
        <item x="125"/>
        <item x="126"/>
        <item x="564"/>
        <item x="127"/>
        <item x="128"/>
        <item x="852"/>
        <item x="853"/>
        <item x="854"/>
        <item x="855"/>
        <item x="856"/>
        <item x="129"/>
        <item x="130"/>
        <item x="131"/>
        <item x="132"/>
        <item x="565"/>
        <item x="133"/>
        <item x="566"/>
        <item x="567"/>
        <item x="857"/>
        <item x="858"/>
        <item x="859"/>
        <item x="568"/>
        <item x="569"/>
        <item x="570"/>
        <item x="571"/>
        <item x="572"/>
        <item x="369"/>
        <item x="573"/>
        <item x="574"/>
        <item x="370"/>
        <item x="134"/>
        <item x="135"/>
        <item x="136"/>
        <item x="137"/>
        <item x="138"/>
        <item x="575"/>
        <item x="139"/>
        <item x="140"/>
        <item x="141"/>
        <item x="142"/>
        <item x="860"/>
        <item x="576"/>
        <item x="861"/>
        <item x="862"/>
        <item x="863"/>
        <item x="864"/>
        <item x="143"/>
        <item x="865"/>
        <item x="144"/>
        <item x="577"/>
        <item x="866"/>
        <item x="867"/>
        <item x="145"/>
        <item x="146"/>
        <item x="868"/>
        <item x="578"/>
        <item x="579"/>
        <item x="147"/>
        <item x="148"/>
        <item x="869"/>
        <item x="870"/>
        <item x="580"/>
        <item x="871"/>
        <item x="581"/>
        <item x="872"/>
        <item x="582"/>
        <item x="583"/>
        <item x="149"/>
        <item x="873"/>
        <item x="874"/>
        <item x="875"/>
        <item x="150"/>
        <item x="876"/>
        <item x="584"/>
        <item x="371"/>
        <item x="372"/>
        <item x="877"/>
        <item x="878"/>
        <item x="879"/>
        <item x="880"/>
        <item x="585"/>
        <item x="151"/>
        <item x="586"/>
        <item x="373"/>
        <item x="374"/>
        <item x="881"/>
        <item x="152"/>
        <item x="587"/>
        <item x="153"/>
        <item x="882"/>
        <item x="883"/>
        <item x="588"/>
        <item x="375"/>
        <item x="884"/>
        <item x="376"/>
        <item x="589"/>
        <item x="590"/>
        <item x="591"/>
        <item x="592"/>
        <item x="593"/>
        <item x="885"/>
        <item x="377"/>
        <item x="886"/>
        <item x="378"/>
        <item x="154"/>
        <item x="594"/>
        <item x="595"/>
        <item x="379"/>
        <item x="155"/>
        <item x="887"/>
        <item x="888"/>
        <item x="156"/>
        <item x="889"/>
        <item x="596"/>
        <item x="597"/>
        <item x="157"/>
        <item x="890"/>
        <item x="891"/>
        <item x="598"/>
        <item x="892"/>
        <item x="893"/>
        <item x="158"/>
        <item x="599"/>
        <item x="600"/>
        <item x="380"/>
        <item x="601"/>
        <item x="602"/>
        <item x="894"/>
        <item x="895"/>
        <item x="896"/>
        <item x="381"/>
        <item x="382"/>
        <item x="897"/>
        <item x="159"/>
        <item x="160"/>
        <item x="898"/>
        <item x="161"/>
        <item x="899"/>
        <item x="603"/>
        <item x="604"/>
        <item x="605"/>
        <item x="606"/>
        <item x="383"/>
        <item x="607"/>
        <item x="608"/>
        <item x="900"/>
        <item x="901"/>
        <item x="902"/>
        <item x="903"/>
        <item x="904"/>
        <item x="162"/>
        <item x="163"/>
        <item x="164"/>
        <item x="165"/>
        <item x="166"/>
        <item x="905"/>
        <item x="384"/>
        <item x="906"/>
        <item x="167"/>
        <item x="385"/>
        <item x="386"/>
        <item x="907"/>
        <item x="609"/>
        <item x="610"/>
        <item x="168"/>
        <item x="611"/>
        <item x="387"/>
        <item x="908"/>
        <item x="612"/>
        <item x="388"/>
        <item x="389"/>
        <item x="613"/>
        <item x="614"/>
        <item x="169"/>
        <item x="170"/>
        <item x="615"/>
        <item x="390"/>
        <item x="616"/>
        <item x="391"/>
        <item x="392"/>
        <item x="393"/>
        <item x="617"/>
        <item x="171"/>
        <item x="394"/>
        <item x="172"/>
        <item x="618"/>
        <item x="619"/>
        <item x="395"/>
        <item x="620"/>
        <item x="621"/>
        <item x="909"/>
        <item x="173"/>
        <item x="174"/>
        <item x="396"/>
        <item x="397"/>
        <item x="398"/>
        <item x="399"/>
        <item x="910"/>
        <item x="911"/>
        <item x="622"/>
        <item x="400"/>
        <item x="401"/>
        <item x="402"/>
        <item x="403"/>
        <item x="404"/>
        <item x="405"/>
        <item x="406"/>
        <item x="623"/>
        <item x="624"/>
        <item x="912"/>
        <item x="913"/>
        <item x="175"/>
        <item x="914"/>
        <item x="915"/>
        <item x="916"/>
        <item x="176"/>
        <item x="177"/>
        <item x="625"/>
        <item x="407"/>
        <item x="178"/>
        <item x="179"/>
        <item x="180"/>
        <item x="408"/>
        <item x="409"/>
        <item x="626"/>
        <item x="627"/>
        <item x="917"/>
        <item x="918"/>
        <item x="410"/>
        <item x="411"/>
        <item x="181"/>
        <item x="182"/>
        <item x="412"/>
        <item x="919"/>
        <item x="920"/>
        <item x="413"/>
        <item x="183"/>
        <item x="628"/>
        <item x="184"/>
        <item x="414"/>
        <item x="415"/>
        <item x="921"/>
        <item x="416"/>
        <item x="417"/>
        <item x="922"/>
        <item x="185"/>
        <item x="418"/>
        <item x="419"/>
        <item x="186"/>
        <item x="420"/>
        <item x="421"/>
        <item x="629"/>
        <item x="630"/>
        <item x="422"/>
        <item x="423"/>
        <item x="424"/>
        <item x="187"/>
        <item x="425"/>
        <item x="427"/>
        <item x="923"/>
        <item x="924"/>
        <item x="428"/>
        <item x="188"/>
        <item x="631"/>
        <item x="632"/>
        <item x="189"/>
        <item x="633"/>
        <item x="925"/>
        <item x="190"/>
        <item x="429"/>
        <item x="926"/>
        <item x="192"/>
        <item x="193"/>
        <item x="634"/>
        <item x="195"/>
        <item x="196"/>
        <item x="927"/>
        <item m="1" x="1014"/>
        <item x="928"/>
        <item m="1" x="1015"/>
        <item x="198"/>
        <item x="929"/>
        <item x="635"/>
        <item x="636"/>
        <item x="199"/>
        <item x="200"/>
        <item x="637"/>
        <item x="639"/>
        <item x="640"/>
        <item x="641"/>
        <item x="201"/>
        <item x="643"/>
        <item x="930"/>
        <item x="931"/>
        <item x="933"/>
        <item x="202"/>
        <item x="644"/>
        <item x="203"/>
        <item x="937"/>
        <item x="938"/>
        <item x="646"/>
        <item x="204"/>
        <item x="647"/>
        <item x="205"/>
        <item x="939"/>
        <item m="1" x="1011"/>
        <item x="940"/>
        <item x="941"/>
        <item x="206"/>
        <item x="648"/>
        <item x="207"/>
        <item m="1" x="1024"/>
        <item x="942"/>
        <item m="1" x="1012"/>
        <item x="934"/>
        <item x="936"/>
        <item x="649"/>
        <item x="650"/>
        <item x="651"/>
        <item x="652"/>
        <item x="208"/>
        <item x="35"/>
        <item m="1" x="1020"/>
        <item x="209"/>
        <item x="943"/>
        <item x="210"/>
        <item x="211"/>
        <item x="659"/>
        <item x="212"/>
        <item x="660"/>
        <item x="213"/>
        <item x="214"/>
        <item x="215"/>
        <item x="216"/>
        <item x="217"/>
        <item x="218"/>
        <item x="662"/>
        <item x="944"/>
        <item m="1" x="1013"/>
        <item m="1" x="1016"/>
        <item x="432"/>
        <item x="220"/>
        <item x="433"/>
        <item x="664"/>
        <item x="665"/>
        <item x="666"/>
        <item x="667"/>
        <item x="221"/>
        <item x="222"/>
        <item x="945"/>
        <item x="946"/>
        <item x="947"/>
        <item x="223"/>
        <item x="668"/>
        <item x="224"/>
        <item x="669"/>
        <item x="948"/>
        <item x="670"/>
        <item x="225"/>
        <item x="226"/>
        <item x="949"/>
        <item x="671"/>
        <item x="950"/>
        <item x="227"/>
        <item x="228"/>
        <item x="951"/>
        <item m="1" x="1019"/>
        <item x="952"/>
        <item x="953"/>
        <item x="954"/>
        <item x="672"/>
        <item x="229"/>
        <item x="673"/>
        <item x="955"/>
        <item x="230"/>
        <item x="956"/>
        <item x="957"/>
        <item x="958"/>
        <item x="674"/>
        <item x="959"/>
        <item x="960"/>
        <item m="1" x="1018"/>
        <item m="1" x="1017"/>
        <item x="231"/>
        <item x="232"/>
        <item x="233"/>
        <item x="234"/>
        <item x="235"/>
        <item x="961"/>
        <item x="962"/>
        <item x="675"/>
        <item x="236"/>
        <item x="237"/>
        <item x="676"/>
        <item x="677"/>
        <item x="678"/>
        <item x="679"/>
        <item x="963"/>
        <item x="964"/>
        <item x="434"/>
        <item x="435"/>
        <item m="1" x="1005"/>
        <item m="1" x="1006"/>
        <item x="680"/>
        <item x="681"/>
        <item x="238"/>
        <item x="239"/>
        <item x="240"/>
        <item x="965"/>
        <item x="682"/>
        <item x="966"/>
        <item x="967"/>
        <item x="968"/>
        <item x="241"/>
        <item x="436"/>
        <item x="683"/>
        <item m="1" x="1007"/>
        <item x="242"/>
        <item x="684"/>
        <item x="969"/>
        <item x="970"/>
        <item x="971"/>
        <item x="972"/>
        <item x="437"/>
        <item x="243"/>
        <item x="685"/>
        <item x="973"/>
        <item x="438"/>
        <item x="439"/>
        <item x="974"/>
        <item x="686"/>
        <item x="687"/>
        <item x="191"/>
        <item x="219"/>
        <item x="430"/>
        <item x="431"/>
        <item x="645"/>
        <item x="653"/>
        <item x="654"/>
        <item x="655"/>
        <item x="656"/>
        <item x="657"/>
        <item x="658"/>
        <item x="661"/>
        <item x="663"/>
        <item x="426"/>
        <item x="194"/>
        <item x="197"/>
        <item x="638"/>
        <item x="642"/>
        <item x="932"/>
        <item x="935"/>
        <item m="1" x="1008"/>
        <item x="244"/>
        <item x="975"/>
        <item x="688"/>
        <item x="245"/>
        <item x="689"/>
        <item x="976"/>
        <item x="690"/>
        <item x="246"/>
        <item m="1" x="1009"/>
        <item x="247"/>
        <item x="691"/>
        <item x="248"/>
        <item m="1" x="1010"/>
        <item x="692"/>
        <item x="249"/>
        <item x="693"/>
        <item x="977"/>
        <item x="694"/>
        <item x="250"/>
        <item x="440"/>
        <item x="978"/>
        <item x="979"/>
        <item x="980"/>
        <item x="981"/>
        <item x="441"/>
        <item x="982"/>
        <item x="442"/>
        <item x="695"/>
        <item m="1" x="1002"/>
        <item x="251"/>
        <item x="252"/>
        <item x="253"/>
        <item x="983"/>
        <item x="696"/>
        <item x="984"/>
        <item x="985"/>
        <item x="697"/>
        <item x="986"/>
        <item x="987"/>
        <item x="698"/>
        <item m="1" x="1001"/>
        <item m="1" x="1004"/>
        <item x="988"/>
        <item x="699"/>
        <item x="989"/>
        <item x="990"/>
        <item m="1" x="1003"/>
        <item x="991"/>
        <item x="700"/>
        <item x="992"/>
        <item x="443"/>
        <item x="993"/>
        <item x="444"/>
        <item x="445"/>
        <item x="254"/>
        <item x="994"/>
        <item x="446"/>
        <item x="447"/>
        <item x="701"/>
        <item x="702"/>
        <item x="255"/>
        <item x="256"/>
        <item x="448"/>
        <item x="995"/>
        <item x="996"/>
        <item x="997"/>
        <item x="449"/>
        <item x="703"/>
        <item x="998"/>
        <item x="999"/>
        <item x="257"/>
        <item x="450"/>
        <item x="258"/>
        <item x="259"/>
        <item x="260"/>
        <item x="261"/>
        <item x="1000"/>
        <item x="704"/>
        <item x="262"/>
        <item x="705"/>
        <item t="default"/>
      </items>
    </pivotField>
    <pivotField numFmtId="164" showAll="0"/>
    <pivotField axis="axisRow" showAll="0" sortType="ascending">
      <items count="29">
        <item sd="0" x="0"/>
        <item sd="0" x="1"/>
        <item sd="0" x="2"/>
        <item sd="0" x="3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sd="0" m="1" x="4"/>
        <item t="default"/>
      </items>
    </pivotField>
    <pivotField showAll="0"/>
    <pivotField showAll="0"/>
    <pivotField showAll="0"/>
    <pivotField showAll="0"/>
    <pivotField showAll="0"/>
    <pivotField numFmtId="2"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Page" multipleItemSelectionAllowed="1" showAll="0">
      <items count="15">
        <item h="1" sd="0" x="0"/>
        <item h="1" sd="0" x="1"/>
        <item h="1" sd="0" x="2"/>
        <item h="1" sd="0" x="3"/>
        <item h="1" sd="0" x="4"/>
        <item h="1" sd="0" x="5"/>
        <item h="1" sd="0" x="6"/>
        <item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2">
    <field x="26"/>
    <field x="4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15" hier="-1"/>
    <pageField fld="45" hier="-1"/>
  </pageFields>
  <dataFields count="1">
    <dataField name="Soma de Duração Ocorrencia" fld="17" baseField="0" baseItem="0" numFmtId="169"/>
  </dataFields>
  <formats count="7">
    <format dxfId="9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7">
      <pivotArea field="26" type="button" dataOnly="0" labelOnly="1" outline="0" axis="axisRow" fieldPosition="0"/>
    </format>
    <format dxfId="9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5">
      <pivotArea field="26" type="button" dataOnly="0" labelOnly="1" outline="0" axis="axisRow" fieldPosition="0"/>
    </format>
    <format dxfId="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5BEF87-8ECF-46C0-BA8E-E559F0841E80}" name="Tabela dinâmica2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7:B42" firstHeaderRow="1" firstDataRow="1" firstDataCol="1" rowPageCount="2" colPageCount="1"/>
  <pivotFields count="4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Page" multipleItemSelectionAllowed="1" showAll="0">
      <items count="8">
        <item x="0"/>
        <item x="3"/>
        <item x="1"/>
        <item x="4"/>
        <item h="1" m="1" x="5"/>
        <item h="1" m="1" x="6"/>
        <item x="2"/>
        <item t="default"/>
      </items>
    </pivotField>
    <pivotField showAll="0"/>
    <pivotField dataField="1" numFmtId="2" showAll="0"/>
    <pivotField showAll="0"/>
    <pivotField showAll="0"/>
    <pivotField showAll="0"/>
    <pivotField numFmtId="165" showAll="0"/>
    <pivotField numFmtId="165" showAll="0"/>
    <pivotField numFmtId="165" showAll="0"/>
    <pivotField numFmtId="168" subtotalTop="0" showAll="0">
      <items count="1026">
        <item x="0"/>
        <item x="706"/>
        <item x="707"/>
        <item x="263"/>
        <item x="264"/>
        <item x="1"/>
        <item x="708"/>
        <item x="2"/>
        <item x="3"/>
        <item x="265"/>
        <item x="266"/>
        <item x="267"/>
        <item x="268"/>
        <item x="709"/>
        <item x="710"/>
        <item x="269"/>
        <item x="4"/>
        <item x="5"/>
        <item x="270"/>
        <item x="6"/>
        <item x="711"/>
        <item x="712"/>
        <item x="7"/>
        <item x="713"/>
        <item x="271"/>
        <item x="272"/>
        <item x="8"/>
        <item x="9"/>
        <item x="10"/>
        <item x="273"/>
        <item x="451"/>
        <item x="11"/>
        <item x="12"/>
        <item x="714"/>
        <item x="715"/>
        <item x="452"/>
        <item x="453"/>
        <item x="454"/>
        <item x="455"/>
        <item x="716"/>
        <item x="456"/>
        <item x="274"/>
        <item x="457"/>
        <item x="458"/>
        <item x="13"/>
        <item x="14"/>
        <item x="459"/>
        <item x="275"/>
        <item x="460"/>
        <item x="461"/>
        <item x="462"/>
        <item x="463"/>
        <item x="15"/>
        <item x="717"/>
        <item x="718"/>
        <item x="719"/>
        <item x="720"/>
        <item x="16"/>
        <item x="17"/>
        <item x="276"/>
        <item x="464"/>
        <item x="465"/>
        <item x="18"/>
        <item x="19"/>
        <item x="721"/>
        <item x="20"/>
        <item x="21"/>
        <item x="277"/>
        <item x="22"/>
        <item x="278"/>
        <item x="23"/>
        <item x="24"/>
        <item x="25"/>
        <item x="722"/>
        <item x="723"/>
        <item x="26"/>
        <item x="27"/>
        <item x="28"/>
        <item x="29"/>
        <item x="30"/>
        <item x="31"/>
        <item x="724"/>
        <item x="725"/>
        <item x="726"/>
        <item x="279"/>
        <item x="727"/>
        <item x="728"/>
        <item x="466"/>
        <item x="467"/>
        <item x="280"/>
        <item x="281"/>
        <item x="282"/>
        <item x="283"/>
        <item x="284"/>
        <item x="285"/>
        <item x="729"/>
        <item x="730"/>
        <item x="731"/>
        <item x="286"/>
        <item x="287"/>
        <item x="288"/>
        <item x="468"/>
        <item x="469"/>
        <item x="470"/>
        <item x="289"/>
        <item x="471"/>
        <item x="732"/>
        <item x="733"/>
        <item x="734"/>
        <item x="472"/>
        <item x="473"/>
        <item x="474"/>
        <item x="475"/>
        <item x="290"/>
        <item x="476"/>
        <item x="291"/>
        <item x="735"/>
        <item x="32"/>
        <item x="477"/>
        <item x="736"/>
        <item x="737"/>
        <item x="292"/>
        <item x="293"/>
        <item x="738"/>
        <item x="739"/>
        <item x="740"/>
        <item x="741"/>
        <item x="742"/>
        <item x="743"/>
        <item x="744"/>
        <item x="294"/>
        <item x="33"/>
        <item x="34"/>
        <item m="1" x="1021"/>
        <item x="295"/>
        <item m="1" x="1022"/>
        <item m="1" x="1023"/>
        <item x="296"/>
        <item x="36"/>
        <item x="745"/>
        <item x="478"/>
        <item x="479"/>
        <item x="746"/>
        <item x="747"/>
        <item x="748"/>
        <item x="37"/>
        <item x="749"/>
        <item x="750"/>
        <item x="751"/>
        <item x="752"/>
        <item x="753"/>
        <item x="297"/>
        <item x="754"/>
        <item x="755"/>
        <item x="756"/>
        <item x="480"/>
        <item x="298"/>
        <item x="299"/>
        <item x="757"/>
        <item x="758"/>
        <item x="481"/>
        <item x="482"/>
        <item x="483"/>
        <item x="759"/>
        <item x="760"/>
        <item x="484"/>
        <item x="485"/>
        <item x="38"/>
        <item x="39"/>
        <item x="40"/>
        <item x="761"/>
        <item x="762"/>
        <item x="41"/>
        <item x="300"/>
        <item x="763"/>
        <item x="764"/>
        <item x="486"/>
        <item x="487"/>
        <item x="301"/>
        <item x="765"/>
        <item x="488"/>
        <item x="489"/>
        <item x="766"/>
        <item x="767"/>
        <item x="302"/>
        <item x="303"/>
        <item x="304"/>
        <item x="305"/>
        <item x="768"/>
        <item x="769"/>
        <item x="306"/>
        <item x="770"/>
        <item x="771"/>
        <item x="772"/>
        <item x="773"/>
        <item x="774"/>
        <item x="307"/>
        <item x="308"/>
        <item x="309"/>
        <item x="42"/>
        <item x="310"/>
        <item x="311"/>
        <item x="490"/>
        <item x="491"/>
        <item x="775"/>
        <item x="776"/>
        <item x="777"/>
        <item x="43"/>
        <item x="492"/>
        <item x="493"/>
        <item x="494"/>
        <item x="495"/>
        <item x="312"/>
        <item x="496"/>
        <item x="497"/>
        <item x="778"/>
        <item x="779"/>
        <item x="313"/>
        <item x="314"/>
        <item x="498"/>
        <item x="499"/>
        <item x="44"/>
        <item x="780"/>
        <item x="500"/>
        <item x="501"/>
        <item x="315"/>
        <item x="502"/>
        <item x="45"/>
        <item x="503"/>
        <item x="46"/>
        <item x="47"/>
        <item x="48"/>
        <item x="49"/>
        <item x="50"/>
        <item x="51"/>
        <item x="52"/>
        <item x="504"/>
        <item x="505"/>
        <item x="506"/>
        <item x="316"/>
        <item x="53"/>
        <item x="54"/>
        <item x="317"/>
        <item x="55"/>
        <item x="56"/>
        <item x="507"/>
        <item x="781"/>
        <item x="782"/>
        <item x="318"/>
        <item x="319"/>
        <item x="320"/>
        <item x="321"/>
        <item x="783"/>
        <item x="322"/>
        <item x="323"/>
        <item x="324"/>
        <item x="57"/>
        <item x="508"/>
        <item x="509"/>
        <item x="510"/>
        <item x="511"/>
        <item x="784"/>
        <item x="512"/>
        <item x="785"/>
        <item x="58"/>
        <item x="59"/>
        <item x="513"/>
        <item x="325"/>
        <item x="514"/>
        <item x="786"/>
        <item x="787"/>
        <item x="326"/>
        <item x="60"/>
        <item x="61"/>
        <item x="62"/>
        <item x="788"/>
        <item x="789"/>
        <item x="63"/>
        <item x="515"/>
        <item x="516"/>
        <item x="517"/>
        <item x="327"/>
        <item x="518"/>
        <item x="519"/>
        <item x="520"/>
        <item x="790"/>
        <item x="521"/>
        <item x="522"/>
        <item x="64"/>
        <item x="65"/>
        <item x="66"/>
        <item x="791"/>
        <item x="792"/>
        <item x="67"/>
        <item x="793"/>
        <item x="68"/>
        <item x="69"/>
        <item x="328"/>
        <item x="523"/>
        <item x="524"/>
        <item x="70"/>
        <item x="329"/>
        <item x="330"/>
        <item x="794"/>
        <item x="331"/>
        <item x="71"/>
        <item x="72"/>
        <item x="73"/>
        <item x="74"/>
        <item x="332"/>
        <item x="333"/>
        <item x="334"/>
        <item x="335"/>
        <item x="336"/>
        <item x="337"/>
        <item x="338"/>
        <item x="795"/>
        <item x="339"/>
        <item x="525"/>
        <item x="75"/>
        <item x="526"/>
        <item x="527"/>
        <item x="340"/>
        <item x="528"/>
        <item x="341"/>
        <item x="342"/>
        <item x="343"/>
        <item x="344"/>
        <item x="76"/>
        <item x="345"/>
        <item x="529"/>
        <item x="346"/>
        <item x="347"/>
        <item x="796"/>
        <item x="348"/>
        <item x="349"/>
        <item x="797"/>
        <item x="798"/>
        <item x="77"/>
        <item x="799"/>
        <item x="800"/>
        <item x="350"/>
        <item x="801"/>
        <item x="802"/>
        <item x="78"/>
        <item x="530"/>
        <item x="531"/>
        <item x="532"/>
        <item x="533"/>
        <item x="803"/>
        <item x="534"/>
        <item x="804"/>
        <item x="805"/>
        <item x="535"/>
        <item x="806"/>
        <item x="351"/>
        <item x="807"/>
        <item x="79"/>
        <item x="808"/>
        <item x="809"/>
        <item x="536"/>
        <item x="810"/>
        <item x="811"/>
        <item x="352"/>
        <item x="353"/>
        <item x="354"/>
        <item x="355"/>
        <item x="356"/>
        <item x="80"/>
        <item x="357"/>
        <item x="812"/>
        <item x="813"/>
        <item x="537"/>
        <item x="358"/>
        <item x="359"/>
        <item x="81"/>
        <item x="538"/>
        <item x="82"/>
        <item x="814"/>
        <item x="360"/>
        <item x="361"/>
        <item x="362"/>
        <item x="363"/>
        <item x="364"/>
        <item x="365"/>
        <item x="366"/>
        <item x="815"/>
        <item x="83"/>
        <item x="539"/>
        <item x="816"/>
        <item x="84"/>
        <item x="817"/>
        <item x="818"/>
        <item x="819"/>
        <item x="820"/>
        <item x="821"/>
        <item x="85"/>
        <item x="86"/>
        <item x="87"/>
        <item x="88"/>
        <item x="89"/>
        <item x="90"/>
        <item x="822"/>
        <item x="540"/>
        <item x="367"/>
        <item x="541"/>
        <item x="542"/>
        <item x="91"/>
        <item x="823"/>
        <item x="824"/>
        <item x="92"/>
        <item x="93"/>
        <item x="94"/>
        <item x="95"/>
        <item x="96"/>
        <item x="543"/>
        <item x="544"/>
        <item x="545"/>
        <item x="546"/>
        <item x="547"/>
        <item x="97"/>
        <item x="548"/>
        <item x="825"/>
        <item x="826"/>
        <item x="98"/>
        <item x="827"/>
        <item x="99"/>
        <item x="100"/>
        <item x="101"/>
        <item x="102"/>
        <item x="103"/>
        <item x="549"/>
        <item x="828"/>
        <item x="829"/>
        <item x="830"/>
        <item x="831"/>
        <item x="832"/>
        <item x="833"/>
        <item x="550"/>
        <item x="834"/>
        <item x="551"/>
        <item x="552"/>
        <item x="835"/>
        <item x="553"/>
        <item x="836"/>
        <item x="837"/>
        <item x="554"/>
        <item x="555"/>
        <item x="556"/>
        <item x="557"/>
        <item x="838"/>
        <item x="839"/>
        <item x="840"/>
        <item x="841"/>
        <item x="842"/>
        <item x="558"/>
        <item x="104"/>
        <item x="105"/>
        <item x="843"/>
        <item x="844"/>
        <item x="106"/>
        <item x="107"/>
        <item x="845"/>
        <item x="559"/>
        <item x="846"/>
        <item x="847"/>
        <item x="560"/>
        <item x="108"/>
        <item x="109"/>
        <item x="110"/>
        <item x="111"/>
        <item x="112"/>
        <item x="113"/>
        <item x="561"/>
        <item x="114"/>
        <item x="848"/>
        <item x="115"/>
        <item x="849"/>
        <item x="116"/>
        <item x="117"/>
        <item x="118"/>
        <item x="562"/>
        <item x="119"/>
        <item x="850"/>
        <item x="563"/>
        <item x="120"/>
        <item x="121"/>
        <item x="122"/>
        <item x="851"/>
        <item x="123"/>
        <item x="124"/>
        <item x="368"/>
        <item x="125"/>
        <item x="126"/>
        <item x="564"/>
        <item x="127"/>
        <item x="128"/>
        <item x="852"/>
        <item x="853"/>
        <item x="854"/>
        <item x="855"/>
        <item x="856"/>
        <item x="129"/>
        <item x="130"/>
        <item x="131"/>
        <item x="132"/>
        <item x="565"/>
        <item x="133"/>
        <item x="566"/>
        <item x="567"/>
        <item x="857"/>
        <item x="858"/>
        <item x="859"/>
        <item x="568"/>
        <item x="569"/>
        <item x="570"/>
        <item x="571"/>
        <item x="572"/>
        <item x="369"/>
        <item x="573"/>
        <item x="574"/>
        <item x="370"/>
        <item x="134"/>
        <item x="135"/>
        <item x="136"/>
        <item x="137"/>
        <item x="138"/>
        <item x="575"/>
        <item x="139"/>
        <item x="140"/>
        <item x="141"/>
        <item x="142"/>
        <item x="860"/>
        <item x="576"/>
        <item x="861"/>
        <item x="862"/>
        <item x="863"/>
        <item x="864"/>
        <item x="143"/>
        <item x="865"/>
        <item x="144"/>
        <item x="577"/>
        <item x="866"/>
        <item x="867"/>
        <item x="145"/>
        <item x="146"/>
        <item x="868"/>
        <item x="578"/>
        <item x="579"/>
        <item x="147"/>
        <item x="148"/>
        <item x="869"/>
        <item x="870"/>
        <item x="580"/>
        <item x="871"/>
        <item x="581"/>
        <item x="872"/>
        <item x="582"/>
        <item x="583"/>
        <item x="149"/>
        <item x="873"/>
        <item x="874"/>
        <item x="875"/>
        <item x="150"/>
        <item x="876"/>
        <item x="584"/>
        <item x="371"/>
        <item x="372"/>
        <item x="877"/>
        <item x="878"/>
        <item x="879"/>
        <item x="880"/>
        <item x="585"/>
        <item x="151"/>
        <item x="586"/>
        <item x="373"/>
        <item x="374"/>
        <item x="881"/>
        <item x="152"/>
        <item x="587"/>
        <item x="153"/>
        <item x="882"/>
        <item x="883"/>
        <item x="588"/>
        <item x="375"/>
        <item x="884"/>
        <item x="376"/>
        <item x="589"/>
        <item x="590"/>
        <item x="591"/>
        <item x="592"/>
        <item x="593"/>
        <item x="885"/>
        <item x="377"/>
        <item x="886"/>
        <item x="378"/>
        <item x="154"/>
        <item x="594"/>
        <item x="595"/>
        <item x="379"/>
        <item x="155"/>
        <item x="887"/>
        <item x="888"/>
        <item x="156"/>
        <item x="889"/>
        <item x="596"/>
        <item x="597"/>
        <item x="157"/>
        <item x="890"/>
        <item x="891"/>
        <item x="598"/>
        <item x="892"/>
        <item x="893"/>
        <item x="158"/>
        <item x="599"/>
        <item x="600"/>
        <item x="380"/>
        <item x="601"/>
        <item x="602"/>
        <item x="894"/>
        <item x="895"/>
        <item x="896"/>
        <item x="381"/>
        <item x="382"/>
        <item x="897"/>
        <item x="159"/>
        <item x="160"/>
        <item x="898"/>
        <item x="161"/>
        <item x="899"/>
        <item x="603"/>
        <item x="604"/>
        <item x="605"/>
        <item x="606"/>
        <item x="383"/>
        <item x="607"/>
        <item x="608"/>
        <item x="900"/>
        <item x="901"/>
        <item x="902"/>
        <item x="903"/>
        <item x="904"/>
        <item x="162"/>
        <item x="163"/>
        <item x="164"/>
        <item x="165"/>
        <item x="166"/>
        <item x="905"/>
        <item x="384"/>
        <item x="906"/>
        <item x="167"/>
        <item x="385"/>
        <item x="386"/>
        <item x="907"/>
        <item x="609"/>
        <item x="610"/>
        <item x="168"/>
        <item x="611"/>
        <item x="387"/>
        <item x="908"/>
        <item x="612"/>
        <item x="388"/>
        <item x="389"/>
        <item x="613"/>
        <item x="614"/>
        <item x="169"/>
        <item x="170"/>
        <item x="615"/>
        <item x="390"/>
        <item x="616"/>
        <item x="391"/>
        <item x="392"/>
        <item x="393"/>
        <item x="617"/>
        <item x="171"/>
        <item x="394"/>
        <item x="172"/>
        <item x="618"/>
        <item x="619"/>
        <item x="395"/>
        <item x="620"/>
        <item x="621"/>
        <item x="909"/>
        <item x="173"/>
        <item x="174"/>
        <item x="396"/>
        <item x="397"/>
        <item x="398"/>
        <item x="399"/>
        <item x="910"/>
        <item x="911"/>
        <item x="622"/>
        <item x="400"/>
        <item x="401"/>
        <item x="402"/>
        <item x="403"/>
        <item x="404"/>
        <item x="405"/>
        <item x="406"/>
        <item x="623"/>
        <item x="624"/>
        <item x="912"/>
        <item x="913"/>
        <item x="175"/>
        <item x="914"/>
        <item x="915"/>
        <item x="916"/>
        <item x="176"/>
        <item x="177"/>
        <item x="625"/>
        <item x="407"/>
        <item x="178"/>
        <item x="179"/>
        <item x="180"/>
        <item x="408"/>
        <item x="409"/>
        <item x="626"/>
        <item x="627"/>
        <item x="917"/>
        <item x="918"/>
        <item x="410"/>
        <item x="411"/>
        <item x="181"/>
        <item x="182"/>
        <item x="412"/>
        <item x="919"/>
        <item x="920"/>
        <item x="413"/>
        <item x="183"/>
        <item x="628"/>
        <item x="184"/>
        <item x="414"/>
        <item x="415"/>
        <item x="921"/>
        <item x="416"/>
        <item x="417"/>
        <item x="922"/>
        <item x="185"/>
        <item x="418"/>
        <item x="419"/>
        <item x="186"/>
        <item x="420"/>
        <item x="421"/>
        <item x="629"/>
        <item x="630"/>
        <item x="422"/>
        <item x="423"/>
        <item x="424"/>
        <item x="187"/>
        <item x="425"/>
        <item x="427"/>
        <item x="923"/>
        <item x="924"/>
        <item x="428"/>
        <item x="188"/>
        <item x="631"/>
        <item x="632"/>
        <item x="189"/>
        <item x="633"/>
        <item x="925"/>
        <item x="190"/>
        <item x="429"/>
        <item x="926"/>
        <item x="192"/>
        <item x="193"/>
        <item x="634"/>
        <item x="195"/>
        <item x="196"/>
        <item x="927"/>
        <item m="1" x="1014"/>
        <item x="928"/>
        <item m="1" x="1015"/>
        <item x="198"/>
        <item x="929"/>
        <item x="635"/>
        <item x="636"/>
        <item x="199"/>
        <item x="200"/>
        <item x="637"/>
        <item x="639"/>
        <item x="640"/>
        <item x="641"/>
        <item x="201"/>
        <item x="643"/>
        <item x="930"/>
        <item x="931"/>
        <item x="933"/>
        <item x="202"/>
        <item x="644"/>
        <item x="203"/>
        <item x="937"/>
        <item x="938"/>
        <item x="646"/>
        <item x="204"/>
        <item x="647"/>
        <item x="205"/>
        <item x="939"/>
        <item m="1" x="1011"/>
        <item x="940"/>
        <item x="941"/>
        <item x="206"/>
        <item x="648"/>
        <item x="207"/>
        <item m="1" x="1024"/>
        <item x="942"/>
        <item m="1" x="1012"/>
        <item x="934"/>
        <item x="936"/>
        <item x="649"/>
        <item x="650"/>
        <item x="651"/>
        <item x="652"/>
        <item x="208"/>
        <item x="35"/>
        <item m="1" x="1020"/>
        <item x="209"/>
        <item x="943"/>
        <item x="210"/>
        <item x="211"/>
        <item x="659"/>
        <item x="212"/>
        <item x="660"/>
        <item x="213"/>
        <item x="214"/>
        <item x="215"/>
        <item x="216"/>
        <item x="217"/>
        <item x="218"/>
        <item x="662"/>
        <item x="944"/>
        <item m="1" x="1013"/>
        <item m="1" x="1016"/>
        <item x="432"/>
        <item x="220"/>
        <item x="433"/>
        <item x="664"/>
        <item x="665"/>
        <item x="666"/>
        <item x="667"/>
        <item x="221"/>
        <item x="222"/>
        <item x="945"/>
        <item x="946"/>
        <item x="947"/>
        <item x="223"/>
        <item x="668"/>
        <item x="224"/>
        <item x="669"/>
        <item x="948"/>
        <item x="670"/>
        <item x="225"/>
        <item x="226"/>
        <item x="949"/>
        <item x="671"/>
        <item x="950"/>
        <item x="227"/>
        <item x="228"/>
        <item x="951"/>
        <item m="1" x="1019"/>
        <item x="952"/>
        <item x="953"/>
        <item x="954"/>
        <item x="672"/>
        <item x="229"/>
        <item x="673"/>
        <item x="955"/>
        <item x="230"/>
        <item x="956"/>
        <item x="957"/>
        <item x="958"/>
        <item x="674"/>
        <item x="959"/>
        <item x="960"/>
        <item m="1" x="1018"/>
        <item m="1" x="1017"/>
        <item x="231"/>
        <item x="232"/>
        <item x="233"/>
        <item x="234"/>
        <item x="235"/>
        <item x="961"/>
        <item x="962"/>
        <item x="675"/>
        <item x="236"/>
        <item x="237"/>
        <item x="676"/>
        <item x="677"/>
        <item x="678"/>
        <item x="679"/>
        <item x="963"/>
        <item x="964"/>
        <item x="434"/>
        <item x="435"/>
        <item m="1" x="1005"/>
        <item m="1" x="1006"/>
        <item x="680"/>
        <item x="681"/>
        <item x="238"/>
        <item x="239"/>
        <item x="240"/>
        <item x="965"/>
        <item x="682"/>
        <item x="966"/>
        <item x="967"/>
        <item x="968"/>
        <item x="241"/>
        <item x="436"/>
        <item x="683"/>
        <item m="1" x="1007"/>
        <item x="242"/>
        <item x="684"/>
        <item x="969"/>
        <item x="970"/>
        <item x="971"/>
        <item x="972"/>
        <item x="437"/>
        <item x="243"/>
        <item x="685"/>
        <item x="973"/>
        <item x="438"/>
        <item x="439"/>
        <item x="974"/>
        <item x="686"/>
        <item x="687"/>
        <item x="191"/>
        <item x="219"/>
        <item x="430"/>
        <item x="431"/>
        <item x="645"/>
        <item x="653"/>
        <item x="654"/>
        <item x="655"/>
        <item x="656"/>
        <item x="657"/>
        <item x="658"/>
        <item x="661"/>
        <item x="663"/>
        <item x="426"/>
        <item x="194"/>
        <item x="197"/>
        <item x="638"/>
        <item x="642"/>
        <item x="932"/>
        <item x="935"/>
        <item m="1" x="1008"/>
        <item x="244"/>
        <item x="975"/>
        <item x="688"/>
        <item x="245"/>
        <item x="689"/>
        <item x="976"/>
        <item x="690"/>
        <item x="246"/>
        <item m="1" x="1009"/>
        <item x="247"/>
        <item x="691"/>
        <item x="248"/>
        <item m="1" x="1010"/>
        <item x="692"/>
        <item x="249"/>
        <item x="693"/>
        <item x="977"/>
        <item x="694"/>
        <item x="250"/>
        <item x="440"/>
        <item x="978"/>
        <item x="979"/>
        <item x="980"/>
        <item x="981"/>
        <item x="441"/>
        <item x="982"/>
        <item x="442"/>
        <item x="695"/>
        <item m="1" x="1002"/>
        <item x="251"/>
        <item x="252"/>
        <item x="253"/>
        <item x="983"/>
        <item x="696"/>
        <item x="984"/>
        <item x="985"/>
        <item x="697"/>
        <item x="986"/>
        <item x="987"/>
        <item x="698"/>
        <item m="1" x="1001"/>
        <item m="1" x="1004"/>
        <item x="988"/>
        <item x="699"/>
        <item x="989"/>
        <item x="990"/>
        <item m="1" x="1003"/>
        <item x="991"/>
        <item x="700"/>
        <item x="992"/>
        <item x="443"/>
        <item x="993"/>
        <item x="444"/>
        <item x="445"/>
        <item x="254"/>
        <item x="994"/>
        <item x="446"/>
        <item x="447"/>
        <item x="701"/>
        <item x="702"/>
        <item x="255"/>
        <item x="256"/>
        <item x="448"/>
        <item x="995"/>
        <item x="996"/>
        <item x="997"/>
        <item x="449"/>
        <item x="703"/>
        <item x="998"/>
        <item x="999"/>
        <item x="257"/>
        <item x="450"/>
        <item x="258"/>
        <item x="259"/>
        <item x="260"/>
        <item x="261"/>
        <item x="1000"/>
        <item x="704"/>
        <item x="262"/>
        <item x="705"/>
        <item t="default"/>
      </items>
    </pivotField>
    <pivotField numFmtId="164" showAll="0"/>
    <pivotField axis="axisRow" showAll="0" sortType="ascending">
      <items count="29">
        <item sd="0" x="0"/>
        <item sd="0" x="1"/>
        <item sd="0" x="2"/>
        <item sd="0" x="3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sd="0" m="1" x="4"/>
        <item t="default"/>
      </items>
    </pivotField>
    <pivotField showAll="0"/>
    <pivotField showAll="0"/>
    <pivotField showAll="0"/>
    <pivotField showAll="0"/>
    <pivotField showAll="0"/>
    <pivotField numFmtId="2"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axis="axisRow" showAll="0">
      <items count="369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h="1" sd="0" x="40"/>
        <item h="1" sd="0" x="41"/>
        <item h="1" sd="0" x="42"/>
        <item h="1" sd="0" x="43"/>
        <item h="1" sd="0" x="44"/>
        <item h="1" sd="0" x="45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h="1" sd="0" x="56"/>
        <item h="1" sd="0" x="57"/>
        <item h="1" sd="0" x="58"/>
        <item h="1" sd="0" x="59"/>
        <item h="1" sd="0" x="60"/>
        <item h="1" sd="0" x="61"/>
        <item h="1"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h="1" sd="0" x="86"/>
        <item h="1" sd="0" x="87"/>
        <item h="1" sd="0" x="88"/>
        <item h="1" sd="0" x="89"/>
        <item h="1" sd="0" x="90"/>
        <item h="1" sd="0" x="91"/>
        <item h="1" sd="0" x="92"/>
        <item h="1" sd="0" x="93"/>
        <item h="1" sd="0" x="94"/>
        <item h="1" sd="0" x="95"/>
        <item h="1" sd="0" x="96"/>
        <item h="1" sd="0" x="97"/>
        <item h="1" sd="0" x="98"/>
        <item h="1" sd="0" x="99"/>
        <item h="1" sd="0" x="100"/>
        <item h="1" sd="0" x="101"/>
        <item h="1" sd="0" x="102"/>
        <item h="1" sd="0" x="103"/>
        <item h="1" sd="0" x="104"/>
        <item h="1" sd="0" x="105"/>
        <item h="1" sd="0" x="106"/>
        <item h="1" sd="0" x="107"/>
        <item h="1" sd="0" x="108"/>
        <item h="1" sd="0" x="109"/>
        <item h="1" sd="0" x="110"/>
        <item h="1" sd="0" x="111"/>
        <item h="1" sd="0" x="112"/>
        <item h="1" sd="0" x="113"/>
        <item h="1" sd="0" x="114"/>
        <item h="1" sd="0" x="115"/>
        <item h="1" sd="0" x="116"/>
        <item h="1" sd="0" x="117"/>
        <item h="1" sd="0" x="118"/>
        <item h="1" sd="0" x="119"/>
        <item h="1" sd="0" x="120"/>
        <item h="1" sd="0" x="121"/>
        <item h="1" sd="0" x="122"/>
        <item h="1" sd="0" x="123"/>
        <item h="1" sd="0" x="124"/>
        <item h="1" sd="0" x="125"/>
        <item h="1" sd="0" x="126"/>
        <item h="1" sd="0" x="127"/>
        <item h="1" sd="0" x="128"/>
        <item h="1" sd="0" x="129"/>
        <item h="1" sd="0" x="130"/>
        <item h="1" sd="0" x="131"/>
        <item h="1" sd="0" x="132"/>
        <item h="1" sd="0" x="133"/>
        <item h="1" sd="0" x="134"/>
        <item h="1" sd="0" x="135"/>
        <item h="1" sd="0" x="136"/>
        <item h="1" sd="0" x="137"/>
        <item h="1" sd="0" x="138"/>
        <item h="1" sd="0" x="139"/>
        <item h="1" sd="0" x="140"/>
        <item h="1" sd="0" x="141"/>
        <item h="1" sd="0" x="142"/>
        <item h="1" sd="0" x="143"/>
        <item h="1" sd="0" x="144"/>
        <item h="1" sd="0" x="145"/>
        <item h="1" sd="0" x="146"/>
        <item h="1" sd="0" x="147"/>
        <item h="1" sd="0" x="148"/>
        <item h="1" sd="0" x="149"/>
        <item h="1" sd="0" x="150"/>
        <item h="1" sd="0" x="151"/>
        <item h="1" sd="0" x="152"/>
        <item h="1" sd="0" x="153"/>
        <item h="1" sd="0" x="154"/>
        <item h="1" sd="0" x="155"/>
        <item h="1" sd="0" x="156"/>
        <item h="1" sd="0" x="157"/>
        <item h="1" sd="0" x="158"/>
        <item h="1" sd="0" x="159"/>
        <item h="1" sd="0" x="160"/>
        <item h="1" sd="0" x="161"/>
        <item h="1" sd="0" x="162"/>
        <item h="1" sd="0" x="163"/>
        <item h="1" sd="0" x="164"/>
        <item h="1" sd="0" x="165"/>
        <item h="1" sd="0" x="166"/>
        <item h="1" sd="0" x="167"/>
        <item h="1" sd="0" x="168"/>
        <item h="1" sd="0" x="169"/>
        <item h="1" sd="0" x="170"/>
        <item h="1" sd="0" x="171"/>
        <item h="1" sd="0" x="172"/>
        <item h="1" sd="0" x="173"/>
        <item h="1" sd="0" x="174"/>
        <item h="1" sd="0" x="175"/>
        <item h="1" sd="0" x="176"/>
        <item h="1" sd="0" x="177"/>
        <item h="1" sd="0" x="178"/>
        <item h="1" sd="0" x="179"/>
        <item h="1" sd="0" x="180"/>
        <item h="1" sd="0" x="181"/>
        <item h="1" sd="0" x="182"/>
        <item h="1" sd="0" x="183"/>
        <item h="1" sd="0" x="184"/>
        <item h="1" sd="0" x="185"/>
        <item h="1" sd="0" x="186"/>
        <item h="1" sd="0" x="187"/>
        <item h="1" sd="0" x="188"/>
        <item h="1" sd="0" x="189"/>
        <item h="1" sd="0" x="190"/>
        <item h="1" sd="0" x="191"/>
        <item h="1" sd="0" x="192"/>
        <item h="1" sd="0" x="193"/>
        <item h="1" sd="0" x="194"/>
        <item h="1" sd="0" x="195"/>
        <item h="1" sd="0" x="196"/>
        <item h="1" sd="0" x="197"/>
        <item h="1" sd="0" x="198"/>
        <item h="1" sd="0" x="199"/>
        <item h="1" sd="0" x="200"/>
        <item h="1" sd="0" x="201"/>
        <item h="1" sd="0" x="202"/>
        <item h="1" sd="0" x="203"/>
        <item h="1" sd="0" x="204"/>
        <item h="1" sd="0" x="205"/>
        <item h="1" sd="0" x="206"/>
        <item h="1" sd="0" x="207"/>
        <item h="1" sd="0" x="208"/>
        <item h="1" sd="0" x="209"/>
        <item h="1" sd="0" x="210"/>
        <item h="1" sd="0" x="211"/>
        <item h="1" sd="0" x="212"/>
        <item h="1" sd="0" x="213"/>
        <item h="1" sd="0" x="214"/>
        <item h="1" sd="0" x="215"/>
        <item h="1" sd="0" x="216"/>
        <item h="1" sd="0" x="217"/>
        <item h="1" sd="0" x="218"/>
        <item h="1" sd="0" x="219"/>
        <item h="1" sd="0" x="220"/>
        <item h="1" sd="0" x="221"/>
        <item h="1" sd="0" x="222"/>
        <item h="1" sd="0" x="223"/>
        <item h="1" sd="0" x="224"/>
        <item h="1" sd="0" x="225"/>
        <item h="1" sd="0" x="226"/>
        <item h="1" sd="0" x="227"/>
        <item h="1" sd="0" x="228"/>
        <item h="1" sd="0" x="229"/>
        <item h="1" sd="0" x="230"/>
        <item h="1" sd="0" x="231"/>
        <item h="1" sd="0" x="232"/>
        <item h="1" sd="0" x="233"/>
        <item h="1" sd="0" x="234"/>
        <item h="1" sd="0" x="235"/>
        <item h="1" sd="0" x="236"/>
        <item h="1" sd="0" x="237"/>
        <item h="1" sd="0" x="238"/>
        <item h="1" sd="0" x="239"/>
        <item h="1" sd="0" x="240"/>
        <item h="1" sd="0" x="241"/>
        <item h="1" sd="0" x="242"/>
        <item h="1" sd="0" x="243"/>
        <item h="1"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h="1" sd="0" x="275"/>
        <item h="1" sd="0" x="276"/>
        <item h="1" sd="0" x="277"/>
        <item h="1" sd="0" x="278"/>
        <item h="1" sd="0" x="279"/>
        <item h="1" sd="0" x="280"/>
        <item h="1" sd="0" x="281"/>
        <item h="1" sd="0" x="282"/>
        <item h="1" sd="0" x="283"/>
        <item h="1" sd="0" x="284"/>
        <item h="1" sd="0" x="285"/>
        <item h="1" sd="0" x="286"/>
        <item h="1" sd="0" x="287"/>
        <item h="1" sd="0" x="288"/>
        <item h="1" sd="0" x="289"/>
        <item h="1" sd="0" x="290"/>
        <item h="1" sd="0" x="291"/>
        <item h="1" sd="0" x="292"/>
        <item h="1" sd="0" x="293"/>
        <item h="1" sd="0" x="294"/>
        <item h="1" sd="0" x="295"/>
        <item h="1" sd="0" x="296"/>
        <item h="1" sd="0" x="297"/>
        <item h="1" sd="0" x="298"/>
        <item h="1" sd="0" x="299"/>
        <item h="1" sd="0" x="300"/>
        <item h="1" sd="0" x="301"/>
        <item h="1" sd="0" x="302"/>
        <item h="1" sd="0" x="303"/>
        <item h="1" sd="0" x="304"/>
        <item h="1" sd="0" x="305"/>
        <item h="1" sd="0" x="306"/>
        <item h="1" sd="0" x="307"/>
        <item h="1" sd="0" x="308"/>
        <item h="1" sd="0" x="309"/>
        <item h="1" sd="0" x="310"/>
        <item h="1" sd="0" x="311"/>
        <item h="1" sd="0" x="312"/>
        <item h="1" sd="0" x="313"/>
        <item h="1" sd="0" x="314"/>
        <item h="1" sd="0" x="315"/>
        <item h="1" sd="0" x="316"/>
        <item h="1" sd="0" x="317"/>
        <item h="1" sd="0" x="318"/>
        <item h="1" sd="0" x="319"/>
        <item h="1" sd="0" x="320"/>
        <item h="1" sd="0" x="321"/>
        <item h="1" sd="0" x="322"/>
        <item h="1" sd="0" x="323"/>
        <item h="1" sd="0" x="324"/>
        <item h="1" sd="0" x="325"/>
        <item h="1" sd="0" x="326"/>
        <item h="1" sd="0" x="327"/>
        <item h="1" sd="0" x="328"/>
        <item h="1" sd="0" x="329"/>
        <item h="1" sd="0" x="330"/>
        <item h="1" sd="0" x="331"/>
        <item h="1" sd="0" x="332"/>
        <item h="1" sd="0" x="333"/>
        <item h="1" sd="0" x="334"/>
        <item h="1" sd="0" x="335"/>
        <item h="1" sd="0" x="336"/>
        <item h="1" sd="0" x="337"/>
        <item h="1" sd="0" x="338"/>
        <item h="1" sd="0" x="339"/>
        <item h="1" sd="0" x="340"/>
        <item h="1" sd="0" x="341"/>
        <item h="1" sd="0" x="342"/>
        <item h="1" sd="0" x="343"/>
        <item h="1" sd="0" x="344"/>
        <item h="1" sd="0" x="345"/>
        <item h="1" sd="0" x="346"/>
        <item h="1" sd="0" x="347"/>
        <item h="1" sd="0" x="348"/>
        <item h="1" sd="0" x="349"/>
        <item h="1" sd="0" x="350"/>
        <item h="1" sd="0" x="351"/>
        <item h="1" sd="0" x="352"/>
        <item h="1" sd="0" x="353"/>
        <item h="1" sd="0" x="354"/>
        <item h="1" sd="0" x="355"/>
        <item h="1" sd="0" x="356"/>
        <item h="1" sd="0" x="357"/>
        <item h="1" sd="0" x="358"/>
        <item h="1" sd="0" x="359"/>
        <item h="1" sd="0" x="360"/>
        <item h="1" sd="0" x="361"/>
        <item h="1" sd="0" x="362"/>
        <item h="1" sd="0" x="363"/>
        <item h="1" sd="0" x="364"/>
        <item h="1" sd="0" x="365"/>
        <item h="1" sd="0" x="366"/>
        <item h="1" x="367"/>
        <item t="default"/>
      </items>
    </pivotField>
    <pivotField axis="axisPage" multipleItemSelectionAllowed="1" showAll="0">
      <items count="15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sd="0" x="9"/>
        <item h="1" sd="0" x="10"/>
        <item h="1" sd="0" x="11"/>
        <item h="1" sd="0" x="12"/>
        <item h="1" sd="0" x="13"/>
        <item t="default"/>
      </items>
    </pivotField>
  </pivotFields>
  <rowFields count="2">
    <field x="26"/>
    <field x="4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15" hier="-1"/>
    <pageField fld="45" hier="-1"/>
  </pageFields>
  <dataFields count="1">
    <dataField name="Soma de Duração Ocorrencia" fld="17" baseField="0" baseItem="0" numFmtId="169"/>
  </dataFields>
  <formats count="7">
    <format dxfId="10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4">
      <pivotArea field="26" type="button" dataOnly="0" labelOnly="1" outline="0" axis="axisRow" fieldPosition="0"/>
    </format>
    <format dxfId="10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2">
      <pivotArea field="26" type="button" dataOnly="0" labelOnly="1" outline="0" axis="axisRow" fieldPosition="0"/>
    </format>
    <format dxfId="10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438353-1287-469C-8184-CE52E67910DD}" name="Tabela dinâmica3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6:H11" firstHeaderRow="1" firstDataRow="1" firstDataCol="1" rowPageCount="3" colPageCount="1"/>
  <pivotFields count="4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Page" multipleItemSelectionAllowed="1" showAll="0">
      <items count="8">
        <item x="0"/>
        <item x="3"/>
        <item x="1"/>
        <item x="4"/>
        <item h="1" m="1" x="5"/>
        <item h="1" m="1" x="6"/>
        <item x="2"/>
        <item t="default"/>
      </items>
    </pivotField>
    <pivotField showAll="0"/>
    <pivotField dataField="1" numFmtId="2" showAll="0"/>
    <pivotField axis="axisPage" multipleItemSelectionAllowed="1" showAll="0">
      <items count="6">
        <item h="1" x="2"/>
        <item h="1" x="1"/>
        <item x="0"/>
        <item m="1" x="4"/>
        <item h="1" m="1" x="3"/>
        <item t="default"/>
      </items>
    </pivotField>
    <pivotField showAll="0"/>
    <pivotField showAll="0"/>
    <pivotField numFmtId="165" showAll="0"/>
    <pivotField numFmtId="165" showAll="0"/>
    <pivotField numFmtId="165" showAll="0"/>
    <pivotField numFmtId="168" subtotalTop="0" showAll="0">
      <items count="1026">
        <item x="0"/>
        <item x="706"/>
        <item x="707"/>
        <item x="263"/>
        <item x="264"/>
        <item x="1"/>
        <item x="708"/>
        <item x="2"/>
        <item x="3"/>
        <item x="265"/>
        <item x="266"/>
        <item x="267"/>
        <item x="268"/>
        <item x="709"/>
        <item x="710"/>
        <item x="269"/>
        <item x="4"/>
        <item x="5"/>
        <item x="270"/>
        <item x="6"/>
        <item x="711"/>
        <item x="712"/>
        <item x="7"/>
        <item x="713"/>
        <item x="271"/>
        <item x="272"/>
        <item x="8"/>
        <item x="9"/>
        <item x="10"/>
        <item x="273"/>
        <item x="451"/>
        <item x="11"/>
        <item x="12"/>
        <item x="714"/>
        <item x="715"/>
        <item x="452"/>
        <item x="453"/>
        <item x="454"/>
        <item x="455"/>
        <item x="716"/>
        <item x="456"/>
        <item x="274"/>
        <item x="457"/>
        <item x="458"/>
        <item x="13"/>
        <item x="14"/>
        <item x="459"/>
        <item x="275"/>
        <item x="460"/>
        <item x="461"/>
        <item x="462"/>
        <item x="463"/>
        <item x="15"/>
        <item x="717"/>
        <item x="718"/>
        <item x="719"/>
        <item x="720"/>
        <item x="16"/>
        <item x="17"/>
        <item x="276"/>
        <item x="464"/>
        <item x="465"/>
        <item x="18"/>
        <item x="19"/>
        <item x="721"/>
        <item x="20"/>
        <item x="21"/>
        <item x="277"/>
        <item x="22"/>
        <item x="278"/>
        <item x="23"/>
        <item x="24"/>
        <item x="25"/>
        <item x="722"/>
        <item x="723"/>
        <item x="26"/>
        <item x="27"/>
        <item x="28"/>
        <item x="29"/>
        <item x="30"/>
        <item x="31"/>
        <item x="724"/>
        <item x="725"/>
        <item x="726"/>
        <item x="279"/>
        <item x="727"/>
        <item x="728"/>
        <item x="466"/>
        <item x="467"/>
        <item x="280"/>
        <item x="281"/>
        <item x="282"/>
        <item x="283"/>
        <item x="284"/>
        <item x="285"/>
        <item x="729"/>
        <item x="730"/>
        <item x="731"/>
        <item x="286"/>
        <item x="287"/>
        <item x="288"/>
        <item x="468"/>
        <item x="469"/>
        <item x="470"/>
        <item x="289"/>
        <item x="471"/>
        <item x="732"/>
        <item x="733"/>
        <item x="734"/>
        <item x="472"/>
        <item x="473"/>
        <item x="474"/>
        <item x="475"/>
        <item x="290"/>
        <item x="476"/>
        <item x="291"/>
        <item x="735"/>
        <item x="32"/>
        <item x="477"/>
        <item x="736"/>
        <item x="737"/>
        <item x="292"/>
        <item x="293"/>
        <item x="738"/>
        <item x="739"/>
        <item x="740"/>
        <item x="741"/>
        <item x="742"/>
        <item x="743"/>
        <item x="744"/>
        <item x="294"/>
        <item x="33"/>
        <item x="34"/>
        <item m="1" x="1021"/>
        <item x="295"/>
        <item m="1" x="1022"/>
        <item m="1" x="1023"/>
        <item x="296"/>
        <item x="36"/>
        <item x="745"/>
        <item x="478"/>
        <item x="479"/>
        <item x="746"/>
        <item x="747"/>
        <item x="748"/>
        <item x="37"/>
        <item x="749"/>
        <item x="750"/>
        <item x="751"/>
        <item x="752"/>
        <item x="753"/>
        <item x="297"/>
        <item x="754"/>
        <item x="755"/>
        <item x="756"/>
        <item x="480"/>
        <item x="298"/>
        <item x="299"/>
        <item x="757"/>
        <item x="758"/>
        <item x="481"/>
        <item x="482"/>
        <item x="483"/>
        <item x="759"/>
        <item x="760"/>
        <item x="484"/>
        <item x="485"/>
        <item x="38"/>
        <item x="39"/>
        <item x="40"/>
        <item x="761"/>
        <item x="762"/>
        <item x="41"/>
        <item x="300"/>
        <item x="763"/>
        <item x="764"/>
        <item x="486"/>
        <item x="487"/>
        <item x="301"/>
        <item x="765"/>
        <item x="488"/>
        <item x="489"/>
        <item x="766"/>
        <item x="767"/>
        <item x="302"/>
        <item x="303"/>
        <item x="304"/>
        <item x="305"/>
        <item x="768"/>
        <item x="769"/>
        <item x="306"/>
        <item x="770"/>
        <item x="771"/>
        <item x="772"/>
        <item x="773"/>
        <item x="774"/>
        <item x="307"/>
        <item x="308"/>
        <item x="309"/>
        <item x="42"/>
        <item x="310"/>
        <item x="311"/>
        <item x="490"/>
        <item x="491"/>
        <item x="775"/>
        <item x="776"/>
        <item x="777"/>
        <item x="43"/>
        <item x="492"/>
        <item x="493"/>
        <item x="494"/>
        <item x="495"/>
        <item x="312"/>
        <item x="496"/>
        <item x="497"/>
        <item x="778"/>
        <item x="779"/>
        <item x="313"/>
        <item x="314"/>
        <item x="498"/>
        <item x="499"/>
        <item x="44"/>
        <item x="780"/>
        <item x="500"/>
        <item x="501"/>
        <item x="315"/>
        <item x="502"/>
        <item x="45"/>
        <item x="503"/>
        <item x="46"/>
        <item x="47"/>
        <item x="48"/>
        <item x="49"/>
        <item x="50"/>
        <item x="51"/>
        <item x="52"/>
        <item x="504"/>
        <item x="505"/>
        <item x="506"/>
        <item x="316"/>
        <item x="53"/>
        <item x="54"/>
        <item x="317"/>
        <item x="55"/>
        <item x="56"/>
        <item x="507"/>
        <item x="781"/>
        <item x="782"/>
        <item x="318"/>
        <item x="319"/>
        <item x="320"/>
        <item x="321"/>
        <item x="783"/>
        <item x="322"/>
        <item x="323"/>
        <item x="324"/>
        <item x="57"/>
        <item x="508"/>
        <item x="509"/>
        <item x="510"/>
        <item x="511"/>
        <item x="784"/>
        <item x="512"/>
        <item x="785"/>
        <item x="58"/>
        <item x="59"/>
        <item x="513"/>
        <item x="325"/>
        <item x="514"/>
        <item x="786"/>
        <item x="787"/>
        <item x="326"/>
        <item x="60"/>
        <item x="61"/>
        <item x="62"/>
        <item x="788"/>
        <item x="789"/>
        <item x="63"/>
        <item x="515"/>
        <item x="516"/>
        <item x="517"/>
        <item x="327"/>
        <item x="518"/>
        <item x="519"/>
        <item x="520"/>
        <item x="790"/>
        <item x="521"/>
        <item x="522"/>
        <item x="64"/>
        <item x="65"/>
        <item x="66"/>
        <item x="791"/>
        <item x="792"/>
        <item x="67"/>
        <item x="793"/>
        <item x="68"/>
        <item x="69"/>
        <item x="328"/>
        <item x="523"/>
        <item x="524"/>
        <item x="70"/>
        <item x="329"/>
        <item x="330"/>
        <item x="794"/>
        <item x="331"/>
        <item x="71"/>
        <item x="72"/>
        <item x="73"/>
        <item x="74"/>
        <item x="332"/>
        <item x="333"/>
        <item x="334"/>
        <item x="335"/>
        <item x="336"/>
        <item x="337"/>
        <item x="338"/>
        <item x="795"/>
        <item x="339"/>
        <item x="525"/>
        <item x="75"/>
        <item x="526"/>
        <item x="527"/>
        <item x="340"/>
        <item x="528"/>
        <item x="341"/>
        <item x="342"/>
        <item x="343"/>
        <item x="344"/>
        <item x="76"/>
        <item x="345"/>
        <item x="529"/>
        <item x="346"/>
        <item x="347"/>
        <item x="796"/>
        <item x="348"/>
        <item x="349"/>
        <item x="797"/>
        <item x="798"/>
        <item x="77"/>
        <item x="799"/>
        <item x="800"/>
        <item x="350"/>
        <item x="801"/>
        <item x="802"/>
        <item x="78"/>
        <item x="530"/>
        <item x="531"/>
        <item x="532"/>
        <item x="533"/>
        <item x="803"/>
        <item x="534"/>
        <item x="804"/>
        <item x="805"/>
        <item x="535"/>
        <item x="806"/>
        <item x="351"/>
        <item x="807"/>
        <item x="79"/>
        <item x="808"/>
        <item x="809"/>
        <item x="536"/>
        <item x="810"/>
        <item x="811"/>
        <item x="352"/>
        <item x="353"/>
        <item x="354"/>
        <item x="355"/>
        <item x="356"/>
        <item x="80"/>
        <item x="357"/>
        <item x="812"/>
        <item x="813"/>
        <item x="537"/>
        <item x="358"/>
        <item x="359"/>
        <item x="81"/>
        <item x="538"/>
        <item x="82"/>
        <item x="814"/>
        <item x="360"/>
        <item x="361"/>
        <item x="362"/>
        <item x="363"/>
        <item x="364"/>
        <item x="365"/>
        <item x="366"/>
        <item x="815"/>
        <item x="83"/>
        <item x="539"/>
        <item x="816"/>
        <item x="84"/>
        <item x="817"/>
        <item x="818"/>
        <item x="819"/>
        <item x="820"/>
        <item x="821"/>
        <item x="85"/>
        <item x="86"/>
        <item x="87"/>
        <item x="88"/>
        <item x="89"/>
        <item x="90"/>
        <item x="822"/>
        <item x="540"/>
        <item x="367"/>
        <item x="541"/>
        <item x="542"/>
        <item x="91"/>
        <item x="823"/>
        <item x="824"/>
        <item x="92"/>
        <item x="93"/>
        <item x="94"/>
        <item x="95"/>
        <item x="96"/>
        <item x="543"/>
        <item x="544"/>
        <item x="545"/>
        <item x="546"/>
        <item x="547"/>
        <item x="97"/>
        <item x="548"/>
        <item x="825"/>
        <item x="826"/>
        <item x="98"/>
        <item x="827"/>
        <item x="99"/>
        <item x="100"/>
        <item x="101"/>
        <item x="102"/>
        <item x="103"/>
        <item x="549"/>
        <item x="828"/>
        <item x="829"/>
        <item x="830"/>
        <item x="831"/>
        <item x="832"/>
        <item x="833"/>
        <item x="550"/>
        <item x="834"/>
        <item x="551"/>
        <item x="552"/>
        <item x="835"/>
        <item x="553"/>
        <item x="836"/>
        <item x="837"/>
        <item x="554"/>
        <item x="555"/>
        <item x="556"/>
        <item x="557"/>
        <item x="838"/>
        <item x="839"/>
        <item x="840"/>
        <item x="841"/>
        <item x="842"/>
        <item x="558"/>
        <item x="104"/>
        <item x="105"/>
        <item x="843"/>
        <item x="844"/>
        <item x="106"/>
        <item x="107"/>
        <item x="845"/>
        <item x="559"/>
        <item x="846"/>
        <item x="847"/>
        <item x="560"/>
        <item x="108"/>
        <item x="109"/>
        <item x="110"/>
        <item x="111"/>
        <item x="112"/>
        <item x="113"/>
        <item x="561"/>
        <item x="114"/>
        <item x="848"/>
        <item x="115"/>
        <item x="849"/>
        <item x="116"/>
        <item x="117"/>
        <item x="118"/>
        <item x="562"/>
        <item x="119"/>
        <item x="850"/>
        <item x="563"/>
        <item x="120"/>
        <item x="121"/>
        <item x="122"/>
        <item x="851"/>
        <item x="123"/>
        <item x="124"/>
        <item x="368"/>
        <item x="125"/>
        <item x="126"/>
        <item x="564"/>
        <item x="127"/>
        <item x="128"/>
        <item x="852"/>
        <item x="853"/>
        <item x="854"/>
        <item x="855"/>
        <item x="856"/>
        <item x="129"/>
        <item x="130"/>
        <item x="131"/>
        <item x="132"/>
        <item x="565"/>
        <item x="133"/>
        <item x="566"/>
        <item x="567"/>
        <item x="857"/>
        <item x="858"/>
        <item x="859"/>
        <item x="568"/>
        <item x="569"/>
        <item x="570"/>
        <item x="571"/>
        <item x="572"/>
        <item x="369"/>
        <item x="573"/>
        <item x="574"/>
        <item x="370"/>
        <item x="134"/>
        <item x="135"/>
        <item x="136"/>
        <item x="137"/>
        <item x="138"/>
        <item x="575"/>
        <item x="139"/>
        <item x="140"/>
        <item x="141"/>
        <item x="142"/>
        <item x="860"/>
        <item x="576"/>
        <item x="861"/>
        <item x="862"/>
        <item x="863"/>
        <item x="864"/>
        <item x="143"/>
        <item x="865"/>
        <item x="144"/>
        <item x="577"/>
        <item x="866"/>
        <item x="867"/>
        <item x="145"/>
        <item x="146"/>
        <item x="868"/>
        <item x="578"/>
        <item x="579"/>
        <item x="147"/>
        <item x="148"/>
        <item x="869"/>
        <item x="870"/>
        <item x="580"/>
        <item x="871"/>
        <item x="581"/>
        <item x="872"/>
        <item x="582"/>
        <item x="583"/>
        <item x="149"/>
        <item x="873"/>
        <item x="874"/>
        <item x="875"/>
        <item x="150"/>
        <item x="876"/>
        <item x="584"/>
        <item x="371"/>
        <item x="372"/>
        <item x="877"/>
        <item x="878"/>
        <item x="879"/>
        <item x="880"/>
        <item x="585"/>
        <item x="151"/>
        <item x="586"/>
        <item x="373"/>
        <item x="374"/>
        <item x="881"/>
        <item x="152"/>
        <item x="587"/>
        <item x="153"/>
        <item x="882"/>
        <item x="883"/>
        <item x="588"/>
        <item x="375"/>
        <item x="884"/>
        <item x="376"/>
        <item x="589"/>
        <item x="590"/>
        <item x="591"/>
        <item x="592"/>
        <item x="593"/>
        <item x="885"/>
        <item x="377"/>
        <item x="886"/>
        <item x="378"/>
        <item x="154"/>
        <item x="594"/>
        <item x="595"/>
        <item x="379"/>
        <item x="155"/>
        <item x="887"/>
        <item x="888"/>
        <item x="156"/>
        <item x="889"/>
        <item x="596"/>
        <item x="597"/>
        <item x="157"/>
        <item x="890"/>
        <item x="891"/>
        <item x="598"/>
        <item x="892"/>
        <item x="893"/>
        <item x="158"/>
        <item x="599"/>
        <item x="600"/>
        <item x="380"/>
        <item x="601"/>
        <item x="602"/>
        <item x="894"/>
        <item x="895"/>
        <item x="896"/>
        <item x="381"/>
        <item x="382"/>
        <item x="897"/>
        <item x="159"/>
        <item x="160"/>
        <item x="898"/>
        <item x="161"/>
        <item x="899"/>
        <item x="603"/>
        <item x="604"/>
        <item x="605"/>
        <item x="606"/>
        <item x="383"/>
        <item x="607"/>
        <item x="608"/>
        <item x="900"/>
        <item x="901"/>
        <item x="902"/>
        <item x="903"/>
        <item x="904"/>
        <item x="162"/>
        <item x="163"/>
        <item x="164"/>
        <item x="165"/>
        <item x="166"/>
        <item x="905"/>
        <item x="384"/>
        <item x="906"/>
        <item x="167"/>
        <item x="385"/>
        <item x="386"/>
        <item x="907"/>
        <item x="609"/>
        <item x="610"/>
        <item x="168"/>
        <item x="611"/>
        <item x="387"/>
        <item x="908"/>
        <item x="612"/>
        <item x="388"/>
        <item x="389"/>
        <item x="613"/>
        <item x="614"/>
        <item x="169"/>
        <item x="170"/>
        <item x="615"/>
        <item x="390"/>
        <item x="616"/>
        <item x="391"/>
        <item x="392"/>
        <item x="393"/>
        <item x="617"/>
        <item x="171"/>
        <item x="394"/>
        <item x="172"/>
        <item x="618"/>
        <item x="619"/>
        <item x="395"/>
        <item x="620"/>
        <item x="621"/>
        <item x="909"/>
        <item x="173"/>
        <item x="174"/>
        <item x="396"/>
        <item x="397"/>
        <item x="398"/>
        <item x="399"/>
        <item x="910"/>
        <item x="911"/>
        <item x="622"/>
        <item x="400"/>
        <item x="401"/>
        <item x="402"/>
        <item x="403"/>
        <item x="404"/>
        <item x="405"/>
        <item x="406"/>
        <item x="623"/>
        <item x="624"/>
        <item x="912"/>
        <item x="913"/>
        <item x="175"/>
        <item x="914"/>
        <item x="915"/>
        <item x="916"/>
        <item x="176"/>
        <item x="177"/>
        <item x="625"/>
        <item x="407"/>
        <item x="178"/>
        <item x="179"/>
        <item x="180"/>
        <item x="408"/>
        <item x="409"/>
        <item x="626"/>
        <item x="627"/>
        <item x="917"/>
        <item x="918"/>
        <item x="410"/>
        <item x="411"/>
        <item x="181"/>
        <item x="182"/>
        <item x="412"/>
        <item x="919"/>
        <item x="920"/>
        <item x="413"/>
        <item x="183"/>
        <item x="628"/>
        <item x="184"/>
        <item x="414"/>
        <item x="415"/>
        <item x="921"/>
        <item x="416"/>
        <item x="417"/>
        <item x="922"/>
        <item x="185"/>
        <item x="418"/>
        <item x="419"/>
        <item x="186"/>
        <item x="420"/>
        <item x="421"/>
        <item x="629"/>
        <item x="630"/>
        <item x="422"/>
        <item x="423"/>
        <item x="424"/>
        <item x="187"/>
        <item x="425"/>
        <item x="427"/>
        <item x="923"/>
        <item x="924"/>
        <item x="428"/>
        <item x="188"/>
        <item x="631"/>
        <item x="632"/>
        <item x="189"/>
        <item x="633"/>
        <item x="925"/>
        <item x="190"/>
        <item x="429"/>
        <item x="926"/>
        <item x="192"/>
        <item x="193"/>
        <item x="634"/>
        <item x="195"/>
        <item x="196"/>
        <item x="927"/>
        <item m="1" x="1014"/>
        <item x="928"/>
        <item m="1" x="1015"/>
        <item x="198"/>
        <item x="929"/>
        <item x="635"/>
        <item x="636"/>
        <item x="199"/>
        <item x="200"/>
        <item x="637"/>
        <item x="639"/>
        <item x="640"/>
        <item x="641"/>
        <item x="201"/>
        <item x="643"/>
        <item x="930"/>
        <item x="931"/>
        <item x="933"/>
        <item x="202"/>
        <item x="644"/>
        <item x="203"/>
        <item x="937"/>
        <item x="938"/>
        <item x="646"/>
        <item x="204"/>
        <item x="647"/>
        <item x="205"/>
        <item x="939"/>
        <item m="1" x="1011"/>
        <item x="940"/>
        <item x="941"/>
        <item x="206"/>
        <item x="648"/>
        <item x="207"/>
        <item m="1" x="1024"/>
        <item x="942"/>
        <item m="1" x="1012"/>
        <item x="934"/>
        <item x="936"/>
        <item x="649"/>
        <item x="650"/>
        <item x="651"/>
        <item x="652"/>
        <item x="208"/>
        <item x="35"/>
        <item m="1" x="1020"/>
        <item x="209"/>
        <item x="943"/>
        <item x="210"/>
        <item x="211"/>
        <item x="659"/>
        <item x="212"/>
        <item x="660"/>
        <item x="213"/>
        <item x="214"/>
        <item x="215"/>
        <item x="216"/>
        <item x="217"/>
        <item x="218"/>
        <item x="662"/>
        <item x="944"/>
        <item m="1" x="1013"/>
        <item m="1" x="1016"/>
        <item x="432"/>
        <item x="220"/>
        <item x="433"/>
        <item x="664"/>
        <item x="665"/>
        <item x="666"/>
        <item x="667"/>
        <item x="221"/>
        <item x="222"/>
        <item x="945"/>
        <item x="946"/>
        <item x="947"/>
        <item x="223"/>
        <item x="668"/>
        <item x="224"/>
        <item x="669"/>
        <item x="948"/>
        <item x="670"/>
        <item x="225"/>
        <item x="226"/>
        <item x="949"/>
        <item x="671"/>
        <item x="950"/>
        <item x="227"/>
        <item x="228"/>
        <item x="951"/>
        <item m="1" x="1019"/>
        <item x="952"/>
        <item x="953"/>
        <item x="954"/>
        <item x="672"/>
        <item x="229"/>
        <item x="673"/>
        <item x="955"/>
        <item x="230"/>
        <item x="956"/>
        <item x="957"/>
        <item x="958"/>
        <item x="674"/>
        <item x="959"/>
        <item x="960"/>
        <item m="1" x="1018"/>
        <item m="1" x="1017"/>
        <item x="231"/>
        <item x="232"/>
        <item x="233"/>
        <item x="234"/>
        <item x="235"/>
        <item x="961"/>
        <item x="962"/>
        <item x="675"/>
        <item x="236"/>
        <item x="237"/>
        <item x="676"/>
        <item x="677"/>
        <item x="678"/>
        <item x="679"/>
        <item x="963"/>
        <item x="964"/>
        <item x="434"/>
        <item x="435"/>
        <item m="1" x="1005"/>
        <item m="1" x="1006"/>
        <item x="680"/>
        <item x="681"/>
        <item x="238"/>
        <item x="239"/>
        <item x="240"/>
        <item x="965"/>
        <item x="682"/>
        <item x="966"/>
        <item x="967"/>
        <item x="968"/>
        <item x="241"/>
        <item x="436"/>
        <item x="683"/>
        <item m="1" x="1007"/>
        <item x="242"/>
        <item x="684"/>
        <item x="969"/>
        <item x="970"/>
        <item x="971"/>
        <item x="972"/>
        <item x="437"/>
        <item x="243"/>
        <item x="685"/>
        <item x="973"/>
        <item x="438"/>
        <item x="439"/>
        <item x="974"/>
        <item x="686"/>
        <item x="687"/>
        <item x="191"/>
        <item x="219"/>
        <item x="430"/>
        <item x="431"/>
        <item x="645"/>
        <item x="653"/>
        <item x="654"/>
        <item x="655"/>
        <item x="656"/>
        <item x="657"/>
        <item x="658"/>
        <item x="661"/>
        <item x="663"/>
        <item x="426"/>
        <item x="194"/>
        <item x="197"/>
        <item x="638"/>
        <item x="642"/>
        <item x="932"/>
        <item x="935"/>
        <item m="1" x="1008"/>
        <item x="244"/>
        <item x="975"/>
        <item x="688"/>
        <item x="245"/>
        <item x="689"/>
        <item x="976"/>
        <item x="690"/>
        <item x="246"/>
        <item m="1" x="1009"/>
        <item x="247"/>
        <item x="691"/>
        <item x="248"/>
        <item m="1" x="1010"/>
        <item x="692"/>
        <item x="249"/>
        <item x="693"/>
        <item x="977"/>
        <item x="694"/>
        <item x="250"/>
        <item x="440"/>
        <item x="978"/>
        <item x="979"/>
        <item x="980"/>
        <item x="981"/>
        <item x="441"/>
        <item x="982"/>
        <item x="442"/>
        <item x="695"/>
        <item m="1" x="1002"/>
        <item x="251"/>
        <item x="252"/>
        <item x="253"/>
        <item x="983"/>
        <item x="696"/>
        <item x="984"/>
        <item x="985"/>
        <item x="697"/>
        <item x="986"/>
        <item x="987"/>
        <item x="698"/>
        <item m="1" x="1001"/>
        <item m="1" x="1004"/>
        <item x="988"/>
        <item x="699"/>
        <item x="989"/>
        <item x="990"/>
        <item m="1" x="1003"/>
        <item x="991"/>
        <item x="700"/>
        <item x="992"/>
        <item x="443"/>
        <item x="993"/>
        <item x="444"/>
        <item x="445"/>
        <item x="254"/>
        <item x="994"/>
        <item x="446"/>
        <item x="447"/>
        <item x="701"/>
        <item x="702"/>
        <item x="255"/>
        <item x="256"/>
        <item x="448"/>
        <item x="995"/>
        <item x="996"/>
        <item x="997"/>
        <item x="449"/>
        <item x="703"/>
        <item x="998"/>
        <item x="999"/>
        <item x="257"/>
        <item x="450"/>
        <item x="258"/>
        <item x="259"/>
        <item x="260"/>
        <item x="261"/>
        <item x="1000"/>
        <item x="704"/>
        <item x="262"/>
        <item x="705"/>
        <item t="default"/>
      </items>
    </pivotField>
    <pivotField numFmtId="164" showAll="0"/>
    <pivotField axis="axisRow" showAll="0" sortType="ascending">
      <items count="29">
        <item sd="0" x="0"/>
        <item sd="0" x="1"/>
        <item sd="0" x="2"/>
        <item sd="0" x="3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sd="0" m="1" x="4"/>
        <item t="default"/>
      </items>
    </pivotField>
    <pivotField showAll="0"/>
    <pivotField showAll="0"/>
    <pivotField showAll="0"/>
    <pivotField showAll="0"/>
    <pivotField showAll="0"/>
    <pivotField numFmtId="2"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Page" multipleItemSelectionAllowed="1" showAll="0">
      <items count="15">
        <item h="1" sd="0" x="0"/>
        <item h="1" sd="0" x="1"/>
        <item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2">
    <field x="26"/>
    <field x="4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3">
    <pageField fld="15" hier="-1"/>
    <pageField fld="45" hier="-1"/>
    <pageField fld="18" hier="-1"/>
  </pageFields>
  <dataFields count="1">
    <dataField name="Soma de Duração Ocorrencia" fld="17" baseField="0" baseItem="0" numFmtId="169"/>
  </dataFields>
  <formats count="7">
    <format dxfId="6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3">
      <pivotArea field="26" type="button" dataOnly="0" labelOnly="1" outline="0" axis="axisRow" fieldPosition="0"/>
    </format>
    <format dxfId="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1">
      <pivotArea field="26" type="button" dataOnly="0" labelOnly="1" outline="0" axis="axisRow" fieldPosition="0"/>
    </format>
    <format dxfId="6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D6867-0408-4D0B-B4FF-02348AD60526}" name="Tabela dinâmica1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6:D11" firstHeaderRow="0" firstDataRow="1" firstDataCol="1" rowPageCount="2" colPageCount="1"/>
  <pivotFields count="4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Page" multipleItemSelectionAllowed="1" showAll="0">
      <items count="8">
        <item x="0"/>
        <item x="3"/>
        <item x="1"/>
        <item x="4"/>
        <item h="1" m="1" x="5"/>
        <item h="1" m="1" x="6"/>
        <item x="2"/>
        <item t="default"/>
      </items>
    </pivotField>
    <pivotField showAll="0"/>
    <pivotField dataField="1" numFmtId="2" showAll="0"/>
    <pivotField showAll="0"/>
    <pivotField showAll="0"/>
    <pivotField showAll="0"/>
    <pivotField dataField="1" numFmtId="165" showAll="0"/>
    <pivotField numFmtId="165" showAll="0"/>
    <pivotField numFmtId="165" showAll="0"/>
    <pivotField numFmtId="168" subtotalTop="0" showAll="0">
      <items count="1026">
        <item x="0"/>
        <item x="706"/>
        <item x="707"/>
        <item x="263"/>
        <item x="264"/>
        <item x="1"/>
        <item x="708"/>
        <item x="2"/>
        <item x="3"/>
        <item x="265"/>
        <item x="266"/>
        <item x="267"/>
        <item x="268"/>
        <item x="709"/>
        <item x="710"/>
        <item x="269"/>
        <item x="4"/>
        <item x="5"/>
        <item x="270"/>
        <item x="6"/>
        <item x="711"/>
        <item x="712"/>
        <item x="7"/>
        <item x="713"/>
        <item x="271"/>
        <item x="272"/>
        <item x="8"/>
        <item x="9"/>
        <item x="10"/>
        <item x="273"/>
        <item x="451"/>
        <item x="11"/>
        <item x="12"/>
        <item x="714"/>
        <item x="715"/>
        <item x="452"/>
        <item x="453"/>
        <item x="454"/>
        <item x="455"/>
        <item x="716"/>
        <item x="456"/>
        <item x="274"/>
        <item x="457"/>
        <item x="458"/>
        <item x="13"/>
        <item x="14"/>
        <item x="459"/>
        <item x="275"/>
        <item x="460"/>
        <item x="461"/>
        <item x="462"/>
        <item x="463"/>
        <item x="15"/>
        <item x="717"/>
        <item x="718"/>
        <item x="719"/>
        <item x="720"/>
        <item x="16"/>
        <item x="17"/>
        <item x="276"/>
        <item x="464"/>
        <item x="465"/>
        <item x="18"/>
        <item x="19"/>
        <item x="721"/>
        <item x="20"/>
        <item x="21"/>
        <item x="277"/>
        <item x="22"/>
        <item x="278"/>
        <item x="23"/>
        <item x="24"/>
        <item x="25"/>
        <item x="722"/>
        <item x="723"/>
        <item x="26"/>
        <item x="27"/>
        <item x="28"/>
        <item x="29"/>
        <item x="30"/>
        <item x="31"/>
        <item x="724"/>
        <item x="725"/>
        <item x="726"/>
        <item x="279"/>
        <item x="727"/>
        <item x="728"/>
        <item x="466"/>
        <item x="467"/>
        <item x="280"/>
        <item x="281"/>
        <item x="282"/>
        <item x="283"/>
        <item x="284"/>
        <item x="285"/>
        <item x="729"/>
        <item x="730"/>
        <item x="731"/>
        <item x="286"/>
        <item x="287"/>
        <item x="288"/>
        <item x="468"/>
        <item x="469"/>
        <item x="470"/>
        <item x="289"/>
        <item x="471"/>
        <item x="732"/>
        <item x="733"/>
        <item x="734"/>
        <item x="472"/>
        <item x="473"/>
        <item x="474"/>
        <item x="475"/>
        <item x="290"/>
        <item x="476"/>
        <item x="291"/>
        <item x="735"/>
        <item x="32"/>
        <item x="477"/>
        <item x="736"/>
        <item x="737"/>
        <item x="292"/>
        <item x="293"/>
        <item x="738"/>
        <item x="739"/>
        <item x="740"/>
        <item x="741"/>
        <item x="742"/>
        <item x="743"/>
        <item x="744"/>
        <item x="294"/>
        <item x="33"/>
        <item x="34"/>
        <item m="1" x="1021"/>
        <item x="295"/>
        <item m="1" x="1022"/>
        <item m="1" x="1023"/>
        <item x="296"/>
        <item x="36"/>
        <item x="745"/>
        <item x="478"/>
        <item x="479"/>
        <item x="746"/>
        <item x="747"/>
        <item x="748"/>
        <item x="37"/>
        <item x="749"/>
        <item x="750"/>
        <item x="751"/>
        <item x="752"/>
        <item x="753"/>
        <item x="297"/>
        <item x="754"/>
        <item x="755"/>
        <item x="756"/>
        <item x="480"/>
        <item x="298"/>
        <item x="299"/>
        <item x="757"/>
        <item x="758"/>
        <item x="481"/>
        <item x="482"/>
        <item x="483"/>
        <item x="759"/>
        <item x="760"/>
        <item x="484"/>
        <item x="485"/>
        <item x="38"/>
        <item x="39"/>
        <item x="40"/>
        <item x="761"/>
        <item x="762"/>
        <item x="41"/>
        <item x="300"/>
        <item x="763"/>
        <item x="764"/>
        <item x="486"/>
        <item x="487"/>
        <item x="301"/>
        <item x="765"/>
        <item x="488"/>
        <item x="489"/>
        <item x="766"/>
        <item x="767"/>
        <item x="302"/>
        <item x="303"/>
        <item x="304"/>
        <item x="305"/>
        <item x="768"/>
        <item x="769"/>
        <item x="306"/>
        <item x="770"/>
        <item x="771"/>
        <item x="772"/>
        <item x="773"/>
        <item x="774"/>
        <item x="307"/>
        <item x="308"/>
        <item x="309"/>
        <item x="42"/>
        <item x="310"/>
        <item x="311"/>
        <item x="490"/>
        <item x="491"/>
        <item x="775"/>
        <item x="776"/>
        <item x="777"/>
        <item x="43"/>
        <item x="492"/>
        <item x="493"/>
        <item x="494"/>
        <item x="495"/>
        <item x="312"/>
        <item x="496"/>
        <item x="497"/>
        <item x="778"/>
        <item x="779"/>
        <item x="313"/>
        <item x="314"/>
        <item x="498"/>
        <item x="499"/>
        <item x="44"/>
        <item x="780"/>
        <item x="500"/>
        <item x="501"/>
        <item x="315"/>
        <item x="502"/>
        <item x="45"/>
        <item x="503"/>
        <item x="46"/>
        <item x="47"/>
        <item x="48"/>
        <item x="49"/>
        <item x="50"/>
        <item x="51"/>
        <item x="52"/>
        <item x="504"/>
        <item x="505"/>
        <item x="506"/>
        <item x="316"/>
        <item x="53"/>
        <item x="54"/>
        <item x="317"/>
        <item x="55"/>
        <item x="56"/>
        <item x="507"/>
        <item x="781"/>
        <item x="782"/>
        <item x="318"/>
        <item x="319"/>
        <item x="320"/>
        <item x="321"/>
        <item x="783"/>
        <item x="322"/>
        <item x="323"/>
        <item x="324"/>
        <item x="57"/>
        <item x="508"/>
        <item x="509"/>
        <item x="510"/>
        <item x="511"/>
        <item x="784"/>
        <item x="512"/>
        <item x="785"/>
        <item x="58"/>
        <item x="59"/>
        <item x="513"/>
        <item x="325"/>
        <item x="514"/>
        <item x="786"/>
        <item x="787"/>
        <item x="326"/>
        <item x="60"/>
        <item x="61"/>
        <item x="62"/>
        <item x="788"/>
        <item x="789"/>
        <item x="63"/>
        <item x="515"/>
        <item x="516"/>
        <item x="517"/>
        <item x="327"/>
        <item x="518"/>
        <item x="519"/>
        <item x="520"/>
        <item x="790"/>
        <item x="521"/>
        <item x="522"/>
        <item x="64"/>
        <item x="65"/>
        <item x="66"/>
        <item x="791"/>
        <item x="792"/>
        <item x="67"/>
        <item x="793"/>
        <item x="68"/>
        <item x="69"/>
        <item x="328"/>
        <item x="523"/>
        <item x="524"/>
        <item x="70"/>
        <item x="329"/>
        <item x="330"/>
        <item x="794"/>
        <item x="331"/>
        <item x="71"/>
        <item x="72"/>
        <item x="73"/>
        <item x="74"/>
        <item x="332"/>
        <item x="333"/>
        <item x="334"/>
        <item x="335"/>
        <item x="336"/>
        <item x="337"/>
        <item x="338"/>
        <item x="795"/>
        <item x="339"/>
        <item x="525"/>
        <item x="75"/>
        <item x="526"/>
        <item x="527"/>
        <item x="340"/>
        <item x="528"/>
        <item x="341"/>
        <item x="342"/>
        <item x="343"/>
        <item x="344"/>
        <item x="76"/>
        <item x="345"/>
        <item x="529"/>
        <item x="346"/>
        <item x="347"/>
        <item x="796"/>
        <item x="348"/>
        <item x="349"/>
        <item x="797"/>
        <item x="798"/>
        <item x="77"/>
        <item x="799"/>
        <item x="800"/>
        <item x="350"/>
        <item x="801"/>
        <item x="802"/>
        <item x="78"/>
        <item x="530"/>
        <item x="531"/>
        <item x="532"/>
        <item x="533"/>
        <item x="803"/>
        <item x="534"/>
        <item x="804"/>
        <item x="805"/>
        <item x="535"/>
        <item x="806"/>
        <item x="351"/>
        <item x="807"/>
        <item x="79"/>
        <item x="808"/>
        <item x="809"/>
        <item x="536"/>
        <item x="810"/>
        <item x="811"/>
        <item x="352"/>
        <item x="353"/>
        <item x="354"/>
        <item x="355"/>
        <item x="356"/>
        <item x="80"/>
        <item x="357"/>
        <item x="812"/>
        <item x="813"/>
        <item x="537"/>
        <item x="358"/>
        <item x="359"/>
        <item x="81"/>
        <item x="538"/>
        <item x="82"/>
        <item x="814"/>
        <item x="360"/>
        <item x="361"/>
        <item x="362"/>
        <item x="363"/>
        <item x="364"/>
        <item x="365"/>
        <item x="366"/>
        <item x="815"/>
        <item x="83"/>
        <item x="539"/>
        <item x="816"/>
        <item x="84"/>
        <item x="817"/>
        <item x="818"/>
        <item x="819"/>
        <item x="820"/>
        <item x="821"/>
        <item x="85"/>
        <item x="86"/>
        <item x="87"/>
        <item x="88"/>
        <item x="89"/>
        <item x="90"/>
        <item x="822"/>
        <item x="540"/>
        <item x="367"/>
        <item x="541"/>
        <item x="542"/>
        <item x="91"/>
        <item x="823"/>
        <item x="824"/>
        <item x="92"/>
        <item x="93"/>
        <item x="94"/>
        <item x="95"/>
        <item x="96"/>
        <item x="543"/>
        <item x="544"/>
        <item x="545"/>
        <item x="546"/>
        <item x="547"/>
        <item x="97"/>
        <item x="548"/>
        <item x="825"/>
        <item x="826"/>
        <item x="98"/>
        <item x="827"/>
        <item x="99"/>
        <item x="100"/>
        <item x="101"/>
        <item x="102"/>
        <item x="103"/>
        <item x="549"/>
        <item x="828"/>
        <item x="829"/>
        <item x="830"/>
        <item x="831"/>
        <item x="832"/>
        <item x="833"/>
        <item x="550"/>
        <item x="834"/>
        <item x="551"/>
        <item x="552"/>
        <item x="835"/>
        <item x="553"/>
        <item x="836"/>
        <item x="837"/>
        <item x="554"/>
        <item x="555"/>
        <item x="556"/>
        <item x="557"/>
        <item x="838"/>
        <item x="839"/>
        <item x="840"/>
        <item x="841"/>
        <item x="842"/>
        <item x="558"/>
        <item x="104"/>
        <item x="105"/>
        <item x="843"/>
        <item x="844"/>
        <item x="106"/>
        <item x="107"/>
        <item x="845"/>
        <item x="559"/>
        <item x="846"/>
        <item x="847"/>
        <item x="560"/>
        <item x="108"/>
        <item x="109"/>
        <item x="110"/>
        <item x="111"/>
        <item x="112"/>
        <item x="113"/>
        <item x="561"/>
        <item x="114"/>
        <item x="848"/>
        <item x="115"/>
        <item x="849"/>
        <item x="116"/>
        <item x="117"/>
        <item x="118"/>
        <item x="562"/>
        <item x="119"/>
        <item x="850"/>
        <item x="563"/>
        <item x="120"/>
        <item x="121"/>
        <item x="122"/>
        <item x="851"/>
        <item x="123"/>
        <item x="124"/>
        <item x="368"/>
        <item x="125"/>
        <item x="126"/>
        <item x="564"/>
        <item x="127"/>
        <item x="128"/>
        <item x="852"/>
        <item x="853"/>
        <item x="854"/>
        <item x="855"/>
        <item x="856"/>
        <item x="129"/>
        <item x="130"/>
        <item x="131"/>
        <item x="132"/>
        <item x="565"/>
        <item x="133"/>
        <item x="566"/>
        <item x="567"/>
        <item x="857"/>
        <item x="858"/>
        <item x="859"/>
        <item x="568"/>
        <item x="569"/>
        <item x="570"/>
        <item x="571"/>
        <item x="572"/>
        <item x="369"/>
        <item x="573"/>
        <item x="574"/>
        <item x="370"/>
        <item x="134"/>
        <item x="135"/>
        <item x="136"/>
        <item x="137"/>
        <item x="138"/>
        <item x="575"/>
        <item x="139"/>
        <item x="140"/>
        <item x="141"/>
        <item x="142"/>
        <item x="860"/>
        <item x="576"/>
        <item x="861"/>
        <item x="862"/>
        <item x="863"/>
        <item x="864"/>
        <item x="143"/>
        <item x="865"/>
        <item x="144"/>
        <item x="577"/>
        <item x="866"/>
        <item x="867"/>
        <item x="145"/>
        <item x="146"/>
        <item x="868"/>
        <item x="578"/>
        <item x="579"/>
        <item x="147"/>
        <item x="148"/>
        <item x="869"/>
        <item x="870"/>
        <item x="580"/>
        <item x="871"/>
        <item x="581"/>
        <item x="872"/>
        <item x="582"/>
        <item x="583"/>
        <item x="149"/>
        <item x="873"/>
        <item x="874"/>
        <item x="875"/>
        <item x="150"/>
        <item x="876"/>
        <item x="584"/>
        <item x="371"/>
        <item x="372"/>
        <item x="877"/>
        <item x="878"/>
        <item x="879"/>
        <item x="880"/>
        <item x="585"/>
        <item x="151"/>
        <item x="586"/>
        <item x="373"/>
        <item x="374"/>
        <item x="881"/>
        <item x="152"/>
        <item x="587"/>
        <item x="153"/>
        <item x="882"/>
        <item x="883"/>
        <item x="588"/>
        <item x="375"/>
        <item x="884"/>
        <item x="376"/>
        <item x="589"/>
        <item x="590"/>
        <item x="591"/>
        <item x="592"/>
        <item x="593"/>
        <item x="885"/>
        <item x="377"/>
        <item x="886"/>
        <item x="378"/>
        <item x="154"/>
        <item x="594"/>
        <item x="595"/>
        <item x="379"/>
        <item x="155"/>
        <item x="887"/>
        <item x="888"/>
        <item x="156"/>
        <item x="889"/>
        <item x="596"/>
        <item x="597"/>
        <item x="157"/>
        <item x="890"/>
        <item x="891"/>
        <item x="598"/>
        <item x="892"/>
        <item x="893"/>
        <item x="158"/>
        <item x="599"/>
        <item x="600"/>
        <item x="380"/>
        <item x="601"/>
        <item x="602"/>
        <item x="894"/>
        <item x="895"/>
        <item x="896"/>
        <item x="381"/>
        <item x="382"/>
        <item x="897"/>
        <item x="159"/>
        <item x="160"/>
        <item x="898"/>
        <item x="161"/>
        <item x="899"/>
        <item x="603"/>
        <item x="604"/>
        <item x="605"/>
        <item x="606"/>
        <item x="383"/>
        <item x="607"/>
        <item x="608"/>
        <item x="900"/>
        <item x="901"/>
        <item x="902"/>
        <item x="903"/>
        <item x="904"/>
        <item x="162"/>
        <item x="163"/>
        <item x="164"/>
        <item x="165"/>
        <item x="166"/>
        <item x="905"/>
        <item x="384"/>
        <item x="906"/>
        <item x="167"/>
        <item x="385"/>
        <item x="386"/>
        <item x="907"/>
        <item x="609"/>
        <item x="610"/>
        <item x="168"/>
        <item x="611"/>
        <item x="387"/>
        <item x="908"/>
        <item x="612"/>
        <item x="388"/>
        <item x="389"/>
        <item x="613"/>
        <item x="614"/>
        <item x="169"/>
        <item x="170"/>
        <item x="615"/>
        <item x="390"/>
        <item x="616"/>
        <item x="391"/>
        <item x="392"/>
        <item x="393"/>
        <item x="617"/>
        <item x="171"/>
        <item x="394"/>
        <item x="172"/>
        <item x="618"/>
        <item x="619"/>
        <item x="395"/>
        <item x="620"/>
        <item x="621"/>
        <item x="909"/>
        <item x="173"/>
        <item x="174"/>
        <item x="396"/>
        <item x="397"/>
        <item x="398"/>
        <item x="399"/>
        <item x="910"/>
        <item x="911"/>
        <item x="622"/>
        <item x="400"/>
        <item x="401"/>
        <item x="402"/>
        <item x="403"/>
        <item x="404"/>
        <item x="405"/>
        <item x="406"/>
        <item x="623"/>
        <item x="624"/>
        <item x="912"/>
        <item x="913"/>
        <item x="175"/>
        <item x="914"/>
        <item x="915"/>
        <item x="916"/>
        <item x="176"/>
        <item x="177"/>
        <item x="625"/>
        <item x="407"/>
        <item x="178"/>
        <item x="179"/>
        <item x="180"/>
        <item x="408"/>
        <item x="409"/>
        <item x="626"/>
        <item x="627"/>
        <item x="917"/>
        <item x="918"/>
        <item x="410"/>
        <item x="411"/>
        <item x="181"/>
        <item x="182"/>
        <item x="412"/>
        <item x="919"/>
        <item x="920"/>
        <item x="413"/>
        <item x="183"/>
        <item x="628"/>
        <item x="184"/>
        <item x="414"/>
        <item x="415"/>
        <item x="921"/>
        <item x="416"/>
        <item x="417"/>
        <item x="922"/>
        <item x="185"/>
        <item x="418"/>
        <item x="419"/>
        <item x="186"/>
        <item x="420"/>
        <item x="421"/>
        <item x="629"/>
        <item x="630"/>
        <item x="422"/>
        <item x="423"/>
        <item x="424"/>
        <item x="187"/>
        <item x="425"/>
        <item x="427"/>
        <item x="923"/>
        <item x="924"/>
        <item x="428"/>
        <item x="188"/>
        <item x="631"/>
        <item x="632"/>
        <item x="189"/>
        <item x="633"/>
        <item x="925"/>
        <item x="190"/>
        <item x="429"/>
        <item x="926"/>
        <item x="192"/>
        <item x="193"/>
        <item x="634"/>
        <item x="195"/>
        <item x="196"/>
        <item x="927"/>
        <item m="1" x="1014"/>
        <item x="928"/>
        <item m="1" x="1015"/>
        <item x="198"/>
        <item x="929"/>
        <item x="635"/>
        <item x="636"/>
        <item x="199"/>
        <item x="200"/>
        <item x="637"/>
        <item x="639"/>
        <item x="640"/>
        <item x="641"/>
        <item x="201"/>
        <item x="643"/>
        <item x="930"/>
        <item x="931"/>
        <item x="933"/>
        <item x="202"/>
        <item x="644"/>
        <item x="203"/>
        <item x="937"/>
        <item x="938"/>
        <item x="646"/>
        <item x="204"/>
        <item x="647"/>
        <item x="205"/>
        <item x="939"/>
        <item m="1" x="1011"/>
        <item x="940"/>
        <item x="941"/>
        <item x="206"/>
        <item x="648"/>
        <item x="207"/>
        <item m="1" x="1024"/>
        <item x="942"/>
        <item m="1" x="1012"/>
        <item x="934"/>
        <item x="936"/>
        <item x="649"/>
        <item x="650"/>
        <item x="651"/>
        <item x="652"/>
        <item x="208"/>
        <item x="35"/>
        <item m="1" x="1020"/>
        <item x="209"/>
        <item x="943"/>
        <item x="210"/>
        <item x="211"/>
        <item x="659"/>
        <item x="212"/>
        <item x="660"/>
        <item x="213"/>
        <item x="214"/>
        <item x="215"/>
        <item x="216"/>
        <item x="217"/>
        <item x="218"/>
        <item x="662"/>
        <item x="944"/>
        <item m="1" x="1013"/>
        <item m="1" x="1016"/>
        <item x="432"/>
        <item x="220"/>
        <item x="433"/>
        <item x="664"/>
        <item x="665"/>
        <item x="666"/>
        <item x="667"/>
        <item x="221"/>
        <item x="222"/>
        <item x="945"/>
        <item x="946"/>
        <item x="947"/>
        <item x="223"/>
        <item x="668"/>
        <item x="224"/>
        <item x="669"/>
        <item x="948"/>
        <item x="670"/>
        <item x="225"/>
        <item x="226"/>
        <item x="949"/>
        <item x="671"/>
        <item x="950"/>
        <item x="227"/>
        <item x="228"/>
        <item x="951"/>
        <item m="1" x="1019"/>
        <item x="952"/>
        <item x="953"/>
        <item x="954"/>
        <item x="672"/>
        <item x="229"/>
        <item x="673"/>
        <item x="955"/>
        <item x="230"/>
        <item x="956"/>
        <item x="957"/>
        <item x="958"/>
        <item x="674"/>
        <item x="959"/>
        <item x="960"/>
        <item m="1" x="1018"/>
        <item m="1" x="1017"/>
        <item x="231"/>
        <item x="232"/>
        <item x="233"/>
        <item x="234"/>
        <item x="235"/>
        <item x="961"/>
        <item x="962"/>
        <item x="675"/>
        <item x="236"/>
        <item x="237"/>
        <item x="676"/>
        <item x="677"/>
        <item x="678"/>
        <item x="679"/>
        <item x="963"/>
        <item x="964"/>
        <item x="434"/>
        <item x="435"/>
        <item m="1" x="1005"/>
        <item m="1" x="1006"/>
        <item x="680"/>
        <item x="681"/>
        <item x="238"/>
        <item x="239"/>
        <item x="240"/>
        <item x="965"/>
        <item x="682"/>
        <item x="966"/>
        <item x="967"/>
        <item x="968"/>
        <item x="241"/>
        <item x="436"/>
        <item x="683"/>
        <item m="1" x="1007"/>
        <item x="242"/>
        <item x="684"/>
        <item x="969"/>
        <item x="970"/>
        <item x="971"/>
        <item x="972"/>
        <item x="437"/>
        <item x="243"/>
        <item x="685"/>
        <item x="973"/>
        <item x="438"/>
        <item x="439"/>
        <item x="974"/>
        <item x="686"/>
        <item x="687"/>
        <item x="191"/>
        <item x="219"/>
        <item x="430"/>
        <item x="431"/>
        <item x="645"/>
        <item x="653"/>
        <item x="654"/>
        <item x="655"/>
        <item x="656"/>
        <item x="657"/>
        <item x="658"/>
        <item x="661"/>
        <item x="663"/>
        <item x="426"/>
        <item x="194"/>
        <item x="197"/>
        <item x="638"/>
        <item x="642"/>
        <item x="932"/>
        <item x="935"/>
        <item m="1" x="1008"/>
        <item x="244"/>
        <item x="975"/>
        <item x="688"/>
        <item x="245"/>
        <item x="689"/>
        <item x="976"/>
        <item x="690"/>
        <item x="246"/>
        <item m="1" x="1009"/>
        <item x="247"/>
        <item x="691"/>
        <item x="248"/>
        <item m="1" x="1010"/>
        <item x="692"/>
        <item x="249"/>
        <item x="693"/>
        <item x="977"/>
        <item x="694"/>
        <item x="250"/>
        <item x="440"/>
        <item x="978"/>
        <item x="979"/>
        <item x="980"/>
        <item x="981"/>
        <item x="441"/>
        <item x="982"/>
        <item x="442"/>
        <item x="695"/>
        <item m="1" x="1002"/>
        <item x="251"/>
        <item x="252"/>
        <item x="253"/>
        <item x="983"/>
        <item x="696"/>
        <item x="984"/>
        <item x="985"/>
        <item x="697"/>
        <item x="986"/>
        <item x="987"/>
        <item x="698"/>
        <item m="1" x="1001"/>
        <item m="1" x="1004"/>
        <item x="988"/>
        <item x="699"/>
        <item x="989"/>
        <item x="990"/>
        <item m="1" x="1003"/>
        <item x="991"/>
        <item x="700"/>
        <item x="992"/>
        <item x="443"/>
        <item x="993"/>
        <item x="444"/>
        <item x="445"/>
        <item x="254"/>
        <item x="994"/>
        <item x="446"/>
        <item x="447"/>
        <item x="701"/>
        <item x="702"/>
        <item x="255"/>
        <item x="256"/>
        <item x="448"/>
        <item x="995"/>
        <item x="996"/>
        <item x="997"/>
        <item x="449"/>
        <item x="703"/>
        <item x="998"/>
        <item x="999"/>
        <item x="257"/>
        <item x="450"/>
        <item x="258"/>
        <item x="259"/>
        <item x="260"/>
        <item x="261"/>
        <item x="1000"/>
        <item x="704"/>
        <item x="262"/>
        <item x="705"/>
        <item t="default"/>
      </items>
    </pivotField>
    <pivotField numFmtId="164" showAll="0"/>
    <pivotField axis="axisRow" showAll="0" sortType="ascending">
      <items count="29">
        <item sd="0" x="0"/>
        <item sd="0" x="1"/>
        <item sd="0" x="2"/>
        <item sd="0" x="3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sd="0" m="1" x="4"/>
        <item t="default"/>
      </items>
    </pivotField>
    <pivotField showAll="0"/>
    <pivotField showAll="0"/>
    <pivotField showAll="0"/>
    <pivotField showAll="0"/>
    <pivotField showAll="0"/>
    <pivotField numFmtId="2"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Page" multipleItemSelectionAllowed="1" showAll="0">
      <items count="15">
        <item h="1" sd="0" x="0"/>
        <item h="1" sd="0" x="1"/>
        <item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2">
    <field x="26"/>
    <field x="4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2">
    <pageField fld="15" hier="-1"/>
    <pageField fld="45" hier="-1"/>
  </pageFields>
  <dataFields count="2">
    <dataField name="Soma de Duração Ocorrencia" fld="17" baseField="0" baseItem="0" numFmtId="169"/>
    <dataField name="Soma de DUR. EXP. FILHA" fld="21" baseField="26" baseItem="0" numFmtId="165"/>
  </dataFields>
  <formats count="7">
    <format dxfId="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0">
      <pivotArea field="26" type="button" dataOnly="0" labelOnly="1" outline="0" axis="axisRow" fieldPosition="0"/>
    </format>
    <format dxfId="6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8">
      <pivotArea field="26" type="button" dataOnly="0" labelOnly="1" outline="0" axis="axisRow" fieldPosition="0"/>
    </format>
    <format dxfId="6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C16DB3-BE9C-496A-855D-BF208F821275}" name="BUILD_UP" displayName="BUILD_UP" ref="B1:B11" totalsRowShown="0" headerRowDxfId="160" dataDxfId="158" headerRowBorderDxfId="159" tableBorderDxfId="157" totalsRowBorderDxfId="156">
  <autoFilter ref="B1:B11" xr:uid="{10C16DB3-BE9C-496A-855D-BF208F821275}"/>
  <tableColumns count="1">
    <tableColumn id="1" xr3:uid="{FF97F1AF-415B-4418-B972-C74BBE992C00}" name="Build up" dataDxfId="15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E2F8F1-0C19-4718-B5D2-433C7A6709DC}" name="APOIO_EXPURGO_BUILD.UP" displayName="APOIO_EXPURGO_BUILD.UP" ref="D1:G53" totalsRowShown="0" headerRowDxfId="154" dataDxfId="152" headerRowBorderDxfId="153" tableBorderDxfId="151" totalsRowBorderDxfId="150">
  <autoFilter ref="D1:G53" xr:uid="{3EE2F8F1-0C19-4718-B5D2-433C7A6709DC}"/>
  <tableColumns count="4">
    <tableColumn id="1" xr3:uid="{DB5F1956-E310-4553-9B89-456C3EB0F960}" name="Perfil de perdas" dataDxfId="149"/>
    <tableColumn id="2" xr3:uid="{ED954475-1046-45C3-B2A6-95CE58510E98}" name="Build Up Corretiva" dataDxfId="148"/>
    <tableColumn id="3" xr3:uid="{0BB4C8C0-E5EF-46E5-AA04-A6EBC47CF5DE}" name="Build Up Preventia" dataDxfId="147"/>
    <tableColumn id="4" xr3:uid="{06D4A644-D788-4496-B3C9-96FCBE818280}" name="Expurgo" dataDxfId="14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CEE711-45E0-4908-8FE2-20F8829AA489}" name="COD_DESPACHO" displayName="COD_DESPACHO" ref="I1:I5" totalsRowShown="0" headerRowDxfId="145" dataDxfId="143" headerRowBorderDxfId="144" tableBorderDxfId="142" totalsRowBorderDxfId="141">
  <autoFilter ref="I1:I5" xr:uid="{11CEE711-45E0-4908-8FE2-20F8829AA489}"/>
  <tableColumns count="1">
    <tableColumn id="1" xr3:uid="{A6803F20-E914-4A57-8085-EA895F8CF7CB}" name="COD DESPACHO" dataDxfId="14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EB804C-C324-406C-9B50-5C325159EACF}" name="AJUSTE_PERFIL" displayName="AJUSTE_PERFIL" ref="K1:L73" totalsRowShown="0" dataDxfId="138" headerRowBorderDxfId="139" tableBorderDxfId="137" totalsRowBorderDxfId="136">
  <autoFilter ref="K1:L73" xr:uid="{03EB804C-C324-406C-9B50-5C325159EACF}"/>
  <tableColumns count="2">
    <tableColumn id="1" xr3:uid="{2951C732-4A96-41E2-9ED7-E753C8240621}" name="SISTEMA - HISTÓRICO" dataDxfId="135"/>
    <tableColumn id="2" xr3:uid="{4CB9B3C5-3EB2-44AA-ADC5-941714C47BCE}" name="PERFIL" dataDxfId="134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686D173-9A1F-484D-A3EB-CA7F7466999E}" name="EXPURGO_FILHAS" displayName="EXPURGO_FILHAS" ref="N1:N48" totalsRowShown="0" headerRowDxfId="133" dataDxfId="132">
  <autoFilter ref="N1:N48" xr:uid="{6686D173-9A1F-484D-A3EB-CA7F7466999E}"/>
  <tableColumns count="1">
    <tableColumn id="1" xr3:uid="{8789ED4F-92DD-4141-B30E-DB9EA96E0B9F}" name="EXPURGO - FILHAS" dataDxfId="131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083D70-688B-4145-9D44-403C6D9BA8DF}" name="SIM_NÃO" displayName="SIM_NÃO" ref="P1:P3" totalsRowShown="0" headerRowDxfId="130" dataDxfId="129">
  <autoFilter ref="P1:P3" xr:uid="{DE083D70-688B-4145-9D44-403C6D9BA8DF}"/>
  <tableColumns count="1">
    <tableColumn id="1" xr3:uid="{22BA351C-5171-4832-8F74-EEF23FFC946B}" name="SIM / NÃO" dataDxfId="128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F695220-7DA6-4784-8CD8-D3FC99F975E4}" name="SIM_NÃO10" displayName="SIM_NÃO10" ref="R1:R3" totalsRowShown="0" headerRowDxfId="127" dataDxfId="126">
  <autoFilter ref="R1:R3" xr:uid="{0F695220-7DA6-4784-8CD8-D3FC99F975E4}"/>
  <tableColumns count="1">
    <tableColumn id="1" xr3:uid="{EFDF6D32-3145-4EFA-B66C-33369998365E}" name="0 / 1" dataDxfId="125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BF1C072-3DA6-47B6-A9BD-64336E001238}" name="TIPO.PM" displayName="TIPO.PM" ref="T1:T21" totalsRowShown="0" headerRowDxfId="124" dataDxfId="123">
  <autoFilter ref="T1:T21" xr:uid="{2BF1C072-3DA6-47B6-A9BD-64336E001238}"/>
  <tableColumns count="1">
    <tableColumn id="1" xr3:uid="{60488C64-B368-44A4-8035-6FB3E7883289}" name="TIPO PM" dataDxfId="122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F4F54D-CD9C-41C3-BB78-87E58ECEEECB}" name="TAB_HISTORICO_MANUT" displayName="TAB_HISTORICO_MANUT" ref="A3:AP1024" totalsRowShown="0" headerRowDxfId="208" dataDxfId="206" headerRowBorderDxfId="207" tableBorderDxfId="205" totalsRowBorderDxfId="204">
  <autoFilter ref="A3:AP1024" xr:uid="{C7F4F54D-CD9C-41C3-BB78-87E58ECEEECB}"/>
  <sortState xmlns:xlrd2="http://schemas.microsoft.com/office/spreadsheetml/2017/richdata2" ref="A4:AP1024">
    <sortCondition ref="AA4:AA1024"/>
    <sortCondition ref="Y4:Y1024"/>
    <sortCondition descending="1" ref="AF4:AF1024"/>
  </sortState>
  <tableColumns count="42">
    <tableColumn id="29" xr3:uid="{4EA9DFC2-68FB-4386-8870-A466EBDDD508}" name="dif. Mês" dataDxfId="203">
      <calculatedColumnFormula>MONTH(TAB_HISTORICO_MANUT[[#This Row],[Hora Final]])-MONTH(TAB_HISTORICO_MANUT[[#This Row],[Hora Inicio]])</calculatedColumnFormula>
    </tableColumn>
    <tableColumn id="41" xr3:uid="{06A24E47-2AC0-4BC0-84FE-EA961A69B54B}" name="PRODUTO" dataDxfId="202"/>
    <tableColumn id="43" xr3:uid="{4EAA451D-560B-4357-BF39-99639ACE721A}" name="DURAÇÃO - PRODUTO MANUAL" dataDxfId="201"/>
    <tableColumn id="45" xr3:uid="{363FAFF3-ABEE-4CB8-AA4E-31333AC39B46}" name="CARTA" dataDxfId="200"/>
    <tableColumn id="46" xr3:uid="{29EADF04-F628-49C1-B68C-70D3C7654EC1}" name="DURAÇÃO - CARTA MANUAL" dataDxfId="199"/>
    <tableColumn id="42" xr3:uid="{252F7729-7074-4098-90A2-2B9F9765526E}" name="COMPONENTE" dataDxfId="198"/>
    <tableColumn id="40" xr3:uid="{D215BF40-BA44-4E21-8F96-E3470BF52E18}" name="DURAÇÃO - COMP. MANUAL" dataDxfId="197"/>
    <tableColumn id="44" xr3:uid="{EBF0967D-8BCC-4C58-BCDC-5FBF446C5650}" name="Comentários Adicionais_x000a_(Componentes, produto e Cartas)" dataDxfId="196"/>
    <tableColumn id="1" xr3:uid="{731718F9-89CB-4056-9E06-CABA6A555E9B}" name="Ajuste - Cod. Despacho" dataDxfId="195"/>
    <tableColumn id="2" xr3:uid="{D92572F7-3896-4B4C-9A05-8DBFF3784E45}" name="AJUSTE - BUILD UP" dataDxfId="194"/>
    <tableColumn id="3" xr3:uid="{A4974311-A970-4D11-9FC2-285590E6057C}" name="AJUSTE - SISTEMA" dataDxfId="193"/>
    <tableColumn id="4" xr3:uid="{0D5E795C-1D1E-4329-88DE-D03137E910A3}" name="AJUSTE - OCORRENCIA (0 / 1)" dataDxfId="192"/>
    <tableColumn id="5" xr3:uid="{999B4FEE-7B58-44B6-804B-909DABD2E062}" name="AJUSTE - EXPURGO (S/N)" dataDxfId="191"/>
    <tableColumn id="9" xr3:uid="{84B6E7F5-6917-4D05-B268-BA7D78ABDFB1}" name="CONT. OCOR." dataDxfId="190">
      <calculatedColumnFormula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Inicio]]=Z3,TAB_HISTORICO_MANUT[[#This Row],[Equipamento]]=AA3,TAB_HISTORICO_MANUT[[#This Row],[Descricao Despacho]]=AD3),0,1)))</calculatedColumnFormula>
    </tableColumn>
    <tableColumn id="10" xr3:uid="{B30BB0D6-6CA5-407F-8D04-C661084B419D}" name="SISTEMA / PERFIL" dataDxfId="189">
      <calculatedColumnFormula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calculatedColumnFormula>
    </tableColumn>
    <tableColumn id="7" xr3:uid="{DD422A28-856F-4F10-9094-42A4444B4B35}" name="CLASSI." dataDxfId="188">
      <calculatedColumnFormula>IF(TAB_HISTORICO_MANUT[[#This Row],[CONT. OCOR.]]="","",IF(TAB_HISTORICO_MANUT[[#This Row],[Ajuste - Cod. Despacho]]="",TAB_HISTORICO_MANUT[[#This Row],[Descricao Despacho]],TAB_HISTORICO_MANUT[[#This Row],[Ajuste - Cod. Despacho]]))</calculatedColumnFormula>
    </tableColumn>
    <tableColumn id="8" xr3:uid="{C97BF6C4-7AC0-4F52-9BEF-9647C2A78CCF}" name="BUILD UP" dataDxfId="187">
      <calculatedColumnFormula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calculatedColumnFormula>
    </tableColumn>
    <tableColumn id="38" xr3:uid="{B6892457-2874-448F-8DAA-56A89682E40F}" name="Duração Ocorrencia" dataDxfId="186">
      <calculatedColumnFormula>IF($Q4="","",(TAB_HISTORICO_MANUT[[#This Row],[Hora Final]]-TAB_HISTORICO_MANUT[[#This Row],[Hora Inicio]])*24)</calculatedColumnFormula>
    </tableColumn>
    <tableColumn id="39" xr3:uid="{5E72C154-252F-42FB-ACF0-16DC72AEF811}" name="EXPURGO Mãe" dataDxfId="185">
      <calculatedColumnFormula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calculatedColumnFormula>
    </tableColumn>
    <tableColumn id="6" xr3:uid="{45640E9B-0847-4EDB-9B85-0A07053F2C6A}" name="CHECK. EXP. MÃE" dataDxfId="184">
      <calculatedColumnFormula>IF(AND(TAB_HISTORICO_MANUT[[#This Row],[EXPURGO Mãe]]="SIM",TAB_HISTORICO_MANUT[[#This Row],[Tipo]]="MÃE"),"EXP.MAE",IF(TAB_HISTORICO_MANUT[[#This Row],[EXPURGO Mãe]]="NÃO","NÃO EXP.MAE",T3))</calculatedColumnFormula>
    </tableColumn>
    <tableColumn id="47" xr3:uid="{EAA15CB5-D451-433D-81C2-78F5BB971947}" name="EXPURGO Filhas" dataDxfId="183">
      <calculatedColumnFormula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calculatedColumnFormula>
    </tableColumn>
    <tableColumn id="28" xr3:uid="{F350EB93-3432-4A51-BE48-D2E79F509E27}" name="DUR. EXP. FILHA" dataDxfId="182">
      <calculatedColumnFormula>IF(TAB_HISTORICO_MANUT[[#This Row],[EXPURGO Filhas]]="SIM",MAX(TAB_HISTORICO_MANUT[[#This Row],[Hora Final]]-TAB_HISTORICO_MANUT[[#This Row],[Hora Inicio]],0),0)</calculatedColumnFormula>
    </tableColumn>
    <tableColumn id="32" xr3:uid="{B77464E9-DC04-4CC1-943D-9F700A7FCDCC}" name="DUR. PRODUTO" dataDxfId="181">
      <calculatedColumnFormula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calculatedColumnFormula>
    </tableColumn>
    <tableColumn id="31" xr3:uid="{DA94D5AC-BE68-47A0-A4E2-72F479027908}" name="DUR. COMPONENTE.PM" dataDxfId="180">
      <calculatedColumnFormula>IF(AND(TAB_HISTORICO_MANUT[[#This Row],[COMPONENTE]]="SIM",TAB_HISTORICO_MANUT[[#This Row],[DURAÇÃO - COMP. MANUAL]]=""),TAB_HISTORICO_MANUT[[#This Row],[Duração Ocorrencia]],TAB_HISTORICO_MANUT[[#This Row],[DURAÇÃO - COMP. MANUAL]])</calculatedColumnFormula>
    </tableColumn>
    <tableColumn id="11" xr3:uid="{32EE5162-2DBA-4F07-A5B4-A591B300C274}" name="Hora Inicio" dataDxfId="179"/>
    <tableColumn id="12" xr3:uid="{71B3F4CB-C1F0-4830-9631-B01F82FC7FA0}" name="Hora Final" dataDxfId="178"/>
    <tableColumn id="13" xr3:uid="{EB5B3436-B362-4021-8B4F-453A3690207B}" name="Equipamento" dataDxfId="177"/>
    <tableColumn id="16" xr3:uid="{A4627761-E516-4D56-8836-9FF43C057FE1}" name="OM" dataDxfId="176"/>
    <tableColumn id="17" xr3:uid="{B96D3360-C3B5-41F3-BDAB-A401E0C62D56}" name="Cod Despacho" dataDxfId="175"/>
    <tableColumn id="18" xr3:uid="{913FA47A-3E8D-4B7F-A009-10B1F270D88C}" name="Descricao Despacho" dataDxfId="174"/>
    <tableColumn id="19" xr3:uid="{2125D1F1-7D21-415A-9B6A-93109B5DC4FA}" name="Descricao Manutencao" dataDxfId="173"/>
    <tableColumn id="20" xr3:uid="{3238BA64-C37D-43F9-BA67-A98F73FA3F1E}" name="Tipo" dataDxfId="172"/>
    <tableColumn id="21" xr3:uid="{0CC6C796-D406-4F65-949D-4D886F19A1A4}" name="Mês" dataDxfId="171">
      <calculatedColumnFormula>IF(TAB_HISTORICO_MANUT[[#This Row],[Hora Inicio]]="","",MONTH(TAB_HISTORICO_MANUT[[#This Row],[Hora Inicio]]))</calculatedColumnFormula>
    </tableColumn>
    <tableColumn id="22" xr3:uid="{5B4EFFD8-73A9-4536-BC35-37150AB08805}" name="Comentario" dataDxfId="170"/>
    <tableColumn id="23" xr3:uid="{DB7C1643-AEDF-4FA3-8AF2-02C35A9F75B4}" name="Sistema2" dataDxfId="169"/>
    <tableColumn id="24" xr3:uid="{B9F6507A-A46A-4A47-975B-5A81FE16BA2E}" name="Conjunto" dataDxfId="168"/>
    <tableColumn id="25" xr3:uid="{F1ADF147-4EB2-4DE4-94F5-44B07E95A6A6}" name="Item" dataDxfId="167"/>
    <tableColumn id="26" xr3:uid="{C51974BE-8AE3-4E01-8AD1-23C760339EB8}" name="Problema" dataDxfId="166"/>
    <tableColumn id="27" xr3:uid="{4B50EE27-38F8-49E5-B7CE-252F16B2CB9D}" name="Solução" dataDxfId="165"/>
    <tableColumn id="30" xr3:uid="{D2A32C2F-165D-4946-A965-EF0299CCCBAE}" name="Setor" dataDxfId="164"/>
    <tableColumn id="33" xr3:uid="{80384D94-3958-4704-B444-AF87D91B3743}" name="Causa" dataDxfId="163"/>
    <tableColumn id="34" xr3:uid="{E5C4985D-78CA-44FA-8A2A-00B1B0D65315}" name="Falha" dataDxfId="162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CD77BE2-8690-4EF3-8642-A65BFFCA9B74}" name="MTBF_POS_PM" displayName="MTBF_POS_PM" ref="A2:L52" totalsRowShown="0" headerRowDxfId="121" dataDxfId="119" headerRowBorderDxfId="120" tableBorderDxfId="118" headerRowCellStyle="Normal 18">
  <autoFilter ref="A2:L52" xr:uid="{6289D01B-A8FF-4C37-957A-A1FB3802554E}"/>
  <sortState xmlns:xlrd2="http://schemas.microsoft.com/office/spreadsheetml/2017/richdata2" ref="A3:L52">
    <sortCondition ref="C2:C52"/>
  </sortState>
  <tableColumns count="12">
    <tableColumn id="1" xr3:uid="{0F1E489D-5234-4566-9D0B-E868A7693511}" name="Equipamentos" dataDxfId="117" dataCellStyle="Normal 18"/>
    <tableColumn id="2" xr3:uid="{CC0E5D00-E1A0-42B8-B27E-C3B79E873D0E}" name="Tipo da PM" dataDxfId="116" dataCellStyle="Normal 18"/>
    <tableColumn id="3" xr3:uid="{2091B3A7-6B5B-4F35-9748-DD24FC3C436D}" name="Data Programada" dataDxfId="115" dataCellStyle="Normal 18"/>
    <tableColumn id="4" xr3:uid="{122756D8-2103-4DE7-AA38-AEF9C5039AD4}" name="Duração Programada" dataDxfId="114" dataCellStyle="Normal 18"/>
    <tableColumn id="5" xr3:uid="{1A3F374A-3F32-4599-A26E-B8D24469852C}" name="Data da PM Realizada" dataDxfId="113" dataCellStyle="Normal 18"/>
    <tableColumn id="6" xr3:uid="{24C1FAEE-812D-49E5-B052-880EF658A5AB}" name="Termino Realizado" dataDxfId="112" dataCellStyle="Normal 18"/>
    <tableColumn id="7" xr3:uid="{388431BC-5FA0-433C-AEA0-4434E7EA263A}" name="Duração Tempo Realizado" dataDxfId="111" dataCellStyle="Normal 18">
      <calculatedColumnFormula>MTBF_POS_PM[[#This Row],[Termino Realizado]]-MTBF_POS_PM[[#This Row],[Data da PM Realizada]]</calculatedColumnFormula>
    </tableColumn>
    <tableColumn id="10" xr3:uid="{209CAE71-CCE3-44B2-B9DF-8520C11562FD}" name="Meta" dataDxfId="110" dataCellStyle="Normal 18"/>
    <tableColumn id="11" xr3:uid="{BF2FD8F5-2B3D-4601-9DBB-4F88E195E772}" name="OCORRENCIA CORRETIVA OU PRÓXIMA PM" dataDxfId="109" dataCellStyle="Normal 18"/>
    <tableColumn id="8" xr3:uid="{787C2EF8-4AE9-4690-A341-3D7D12242868}" name="HOUVER CORRETIVA ENTRE PM's" dataDxfId="108" dataCellStyle="Normal 18">
      <calculatedColumnFormula>IF(OR(MTBF_POS_PM[[#This Row],[SISTEMA]]="REVISÃO PREVENTIVA",MTBF_POS_PM[[#This Row],[SISTEMA]]="EM OPERAÇÃO PÓS.PM"),"NÃO","SIM")</calculatedColumnFormula>
    </tableColumn>
    <tableColumn id="14" xr3:uid="{CE3DD1EC-5331-45DD-89E0-C36FFB539E52}" name="DESCRIÇÃO OCORRENCIA.HISTORICO MANUT_x000a_FORMULA" dataDxfId="107" dataCellStyle="Normal 18">
      <calculatedColumnFormula array="1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calculatedColumnFormula>
    </tableColumn>
    <tableColumn id="13" xr3:uid="{ACC7CF07-4AA4-4D68-B00C-E6C1ACDC842A}" name="SISTEMA" dataDxfId="106" dataCellStyle="Normal 18">
      <calculatedColumnFormula array="1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54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47E3423-E48D-4A3E-BA33-C2CC247BCA23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f28527d8-6282-4c7a-b277-812dc41c4e0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31EB-DE3C-423D-8873-02201237BAD0}">
  <dimension ref="E4:E25"/>
  <sheetViews>
    <sheetView workbookViewId="0">
      <selection activeCell="B39" sqref="B39"/>
    </sheetView>
  </sheetViews>
  <sheetFormatPr defaultRowHeight="15" x14ac:dyDescent="0.25"/>
  <cols>
    <col min="5" max="5" width="58.140625" customWidth="1"/>
  </cols>
  <sheetData>
    <row r="4" spans="5:5" x14ac:dyDescent="0.25">
      <c r="E4" s="77" t="s">
        <v>174</v>
      </c>
    </row>
    <row r="5" spans="5:5" x14ac:dyDescent="0.25">
      <c r="E5" s="78" t="s">
        <v>178</v>
      </c>
    </row>
    <row r="6" spans="5:5" x14ac:dyDescent="0.25">
      <c r="E6" s="79" t="s">
        <v>175</v>
      </c>
    </row>
    <row r="7" spans="5:5" x14ac:dyDescent="0.25">
      <c r="E7" s="79" t="s">
        <v>177</v>
      </c>
    </row>
    <row r="8" spans="5:5" x14ac:dyDescent="0.25">
      <c r="E8" s="78" t="s">
        <v>188</v>
      </c>
    </row>
    <row r="9" spans="5:5" x14ac:dyDescent="0.25">
      <c r="E9" s="79" t="s">
        <v>186</v>
      </c>
    </row>
    <row r="10" spans="5:5" x14ac:dyDescent="0.25">
      <c r="E10" s="78" t="s">
        <v>187</v>
      </c>
    </row>
    <row r="11" spans="5:5" x14ac:dyDescent="0.25">
      <c r="E11" s="78" t="s">
        <v>191</v>
      </c>
    </row>
    <row r="12" spans="5:5" x14ac:dyDescent="0.25">
      <c r="E12" s="79" t="s">
        <v>176</v>
      </c>
    </row>
    <row r="13" spans="5:5" x14ac:dyDescent="0.25">
      <c r="E13" s="79" t="s">
        <v>184</v>
      </c>
    </row>
    <row r="14" spans="5:5" x14ac:dyDescent="0.25">
      <c r="E14" s="77" t="s">
        <v>180</v>
      </c>
    </row>
    <row r="15" spans="5:5" x14ac:dyDescent="0.25">
      <c r="E15" s="78" t="s">
        <v>181</v>
      </c>
    </row>
    <row r="16" spans="5:5" x14ac:dyDescent="0.25">
      <c r="E16" s="79" t="s">
        <v>179</v>
      </c>
    </row>
    <row r="17" spans="5:5" x14ac:dyDescent="0.25">
      <c r="E17" s="78" t="s">
        <v>185</v>
      </c>
    </row>
    <row r="18" spans="5:5" x14ac:dyDescent="0.25">
      <c r="E18" s="79" t="s">
        <v>182</v>
      </c>
    </row>
    <row r="19" spans="5:5" x14ac:dyDescent="0.25">
      <c r="E19" s="78" t="s">
        <v>192</v>
      </c>
    </row>
    <row r="20" spans="5:5" x14ac:dyDescent="0.25">
      <c r="E20" s="79" t="s">
        <v>183</v>
      </c>
    </row>
    <row r="21" spans="5:5" x14ac:dyDescent="0.25">
      <c r="E21" s="79" t="s">
        <v>189</v>
      </c>
    </row>
    <row r="22" spans="5:5" x14ac:dyDescent="0.25">
      <c r="E22" s="79" t="s">
        <v>193</v>
      </c>
    </row>
    <row r="23" spans="5:5" x14ac:dyDescent="0.25">
      <c r="E23" s="79" t="s">
        <v>190</v>
      </c>
    </row>
    <row r="24" spans="5:5" x14ac:dyDescent="0.25">
      <c r="E24" s="79" t="s">
        <v>194</v>
      </c>
    </row>
    <row r="25" spans="5:5" x14ac:dyDescent="0.25">
      <c r="E25" s="78" t="s">
        <v>195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7BC0D-B0E0-4101-BE99-373A4F2EB95D}">
  <dimension ref="A1:B8"/>
  <sheetViews>
    <sheetView workbookViewId="0">
      <selection activeCell="D1" sqref="D1"/>
    </sheetView>
  </sheetViews>
  <sheetFormatPr defaultRowHeight="15" x14ac:dyDescent="0.25"/>
  <cols>
    <col min="1" max="1" width="18.42578125" bestFit="1" customWidth="1"/>
    <col min="2" max="2" width="21.7109375" bestFit="1" customWidth="1"/>
  </cols>
  <sheetData>
    <row r="1" spans="1:2" x14ac:dyDescent="0.25">
      <c r="A1" s="93" t="s">
        <v>110</v>
      </c>
      <c r="B1" t="s">
        <v>917</v>
      </c>
    </row>
    <row r="3" spans="1:2" x14ac:dyDescent="0.25">
      <c r="A3" s="93" t="s">
        <v>200</v>
      </c>
      <c r="B3" t="s">
        <v>916</v>
      </c>
    </row>
    <row r="4" spans="1:2" x14ac:dyDescent="0.25">
      <c r="A4" s="6" t="s">
        <v>209</v>
      </c>
      <c r="B4" s="94">
        <v>232.21876992622856</v>
      </c>
    </row>
    <row r="5" spans="1:2" x14ac:dyDescent="0.25">
      <c r="A5" s="6" t="s">
        <v>232</v>
      </c>
      <c r="B5" s="94">
        <v>3269.2510677776299</v>
      </c>
    </row>
    <row r="6" spans="1:2" x14ac:dyDescent="0.25">
      <c r="A6" s="6" t="s">
        <v>208</v>
      </c>
      <c r="B6" s="94">
        <v>190.05833632056601</v>
      </c>
    </row>
    <row r="7" spans="1:2" x14ac:dyDescent="0.25">
      <c r="A7" s="6" t="s">
        <v>228</v>
      </c>
      <c r="B7" s="94">
        <v>238.04251222265884</v>
      </c>
    </row>
    <row r="8" spans="1:2" x14ac:dyDescent="0.25">
      <c r="A8" s="6" t="s">
        <v>201</v>
      </c>
      <c r="B8" s="94">
        <v>3929.5706862470834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F1CE8-9651-40A3-986C-9F3060B14286}">
  <dimension ref="A1:V73"/>
  <sheetViews>
    <sheetView showGridLines="0" topLeftCell="E1" zoomScaleNormal="100" workbookViewId="0">
      <pane ySplit="1" topLeftCell="A2" activePane="bottomLeft" state="frozen"/>
      <selection pane="bottomLeft" activeCell="N18" sqref="N18"/>
    </sheetView>
  </sheetViews>
  <sheetFormatPr defaultColWidth="25.42578125" defaultRowHeight="18.600000000000001" customHeight="1" x14ac:dyDescent="0.2"/>
  <cols>
    <col min="1" max="1" width="2.85546875" style="9" customWidth="1"/>
    <col min="2" max="2" width="34.5703125" style="9" customWidth="1"/>
    <col min="3" max="3" width="2.85546875" style="9" customWidth="1"/>
    <col min="4" max="4" width="39.85546875" style="9" customWidth="1"/>
    <col min="5" max="5" width="31.5703125" style="9" customWidth="1"/>
    <col min="6" max="6" width="29.140625" style="9" customWidth="1"/>
    <col min="7" max="7" width="17.85546875" style="9" customWidth="1"/>
    <col min="8" max="8" width="2.85546875" style="9" customWidth="1"/>
    <col min="9" max="9" width="53.140625" style="9" customWidth="1"/>
    <col min="10" max="10" width="2.85546875" style="9" customWidth="1"/>
    <col min="11" max="11" width="39.85546875" style="9" customWidth="1"/>
    <col min="12" max="12" width="38.85546875" style="9" customWidth="1"/>
    <col min="13" max="13" width="2.85546875" style="9" customWidth="1"/>
    <col min="14" max="14" width="49.140625" style="27" bestFit="1" customWidth="1"/>
    <col min="15" max="15" width="2.85546875" style="9" customWidth="1"/>
    <col min="16" max="16" width="25.42578125" style="9"/>
    <col min="17" max="17" width="2.85546875" style="9" customWidth="1"/>
    <col min="18" max="18" width="7.42578125" style="65" customWidth="1"/>
    <col min="19" max="19" width="2.85546875" style="9" customWidth="1"/>
    <col min="20" max="20" width="11.85546875" style="9" customWidth="1"/>
    <col min="21" max="21" width="2.85546875" style="9" customWidth="1"/>
    <col min="22" max="16384" width="25.42578125" style="9"/>
  </cols>
  <sheetData>
    <row r="1" spans="1:22" s="13" customFormat="1" ht="25.5" customHeight="1" x14ac:dyDescent="0.25">
      <c r="A1" s="12"/>
      <c r="B1" s="24" t="s">
        <v>71</v>
      </c>
      <c r="C1" s="12"/>
      <c r="D1" s="15" t="s">
        <v>72</v>
      </c>
      <c r="E1" s="21" t="s">
        <v>73</v>
      </c>
      <c r="F1" s="21" t="s">
        <v>74</v>
      </c>
      <c r="G1" s="22" t="s">
        <v>101</v>
      </c>
      <c r="H1" s="12"/>
      <c r="I1" s="14" t="s">
        <v>75</v>
      </c>
      <c r="J1" s="12"/>
      <c r="K1" s="15" t="s">
        <v>97</v>
      </c>
      <c r="L1" s="16" t="s">
        <v>76</v>
      </c>
      <c r="M1" s="12"/>
      <c r="N1" s="25" t="s">
        <v>102</v>
      </c>
      <c r="O1" s="12"/>
      <c r="P1" s="25" t="s">
        <v>104</v>
      </c>
      <c r="Q1" s="12"/>
      <c r="R1" s="25" t="s">
        <v>120</v>
      </c>
      <c r="S1" s="12"/>
      <c r="T1" s="25" t="s">
        <v>138</v>
      </c>
      <c r="U1" s="12"/>
      <c r="V1" s="13" t="s">
        <v>142</v>
      </c>
    </row>
    <row r="2" spans="1:22" ht="18.600000000000001" customHeight="1" x14ac:dyDescent="0.25">
      <c r="A2" s="10"/>
      <c r="B2" s="19" t="s">
        <v>77</v>
      </c>
      <c r="C2" s="10"/>
      <c r="D2" s="23" t="s">
        <v>70</v>
      </c>
      <c r="E2" s="19" t="s">
        <v>52</v>
      </c>
      <c r="F2" s="19" t="s">
        <v>52</v>
      </c>
      <c r="G2" s="19" t="s">
        <v>98</v>
      </c>
      <c r="H2" s="10"/>
      <c r="I2" s="17" t="s">
        <v>146</v>
      </c>
      <c r="J2" s="10"/>
      <c r="K2" s="17" t="s">
        <v>25</v>
      </c>
      <c r="L2" s="18" t="s">
        <v>60</v>
      </c>
      <c r="M2" s="10"/>
      <c r="N2" s="26" t="s">
        <v>174</v>
      </c>
      <c r="O2" s="10"/>
      <c r="P2" s="26" t="s">
        <v>98</v>
      </c>
      <c r="Q2" s="10"/>
      <c r="R2" s="64">
        <v>0</v>
      </c>
      <c r="S2" s="10"/>
      <c r="T2" s="67">
        <v>250</v>
      </c>
      <c r="U2" s="10"/>
      <c r="V2" s="9" t="s">
        <v>143</v>
      </c>
    </row>
    <row r="3" spans="1:22" ht="18.600000000000001" customHeight="1" x14ac:dyDescent="0.25">
      <c r="A3" s="8"/>
      <c r="B3" s="19" t="s">
        <v>52</v>
      </c>
      <c r="C3" s="8"/>
      <c r="D3" s="23" t="s">
        <v>37</v>
      </c>
      <c r="E3" s="19" t="s">
        <v>58</v>
      </c>
      <c r="F3" s="19" t="s">
        <v>34</v>
      </c>
      <c r="G3" s="19" t="s">
        <v>99</v>
      </c>
      <c r="H3" s="8"/>
      <c r="I3" s="17" t="s">
        <v>144</v>
      </c>
      <c r="J3" s="8"/>
      <c r="K3" s="17" t="s">
        <v>22</v>
      </c>
      <c r="L3" s="19" t="s">
        <v>22</v>
      </c>
      <c r="M3" s="8"/>
      <c r="N3" s="26" t="s">
        <v>178</v>
      </c>
      <c r="O3" s="8"/>
      <c r="P3" s="26" t="s">
        <v>99</v>
      </c>
      <c r="Q3" s="8"/>
      <c r="R3" s="64">
        <v>1</v>
      </c>
      <c r="S3" s="8"/>
      <c r="T3" s="67">
        <v>500</v>
      </c>
      <c r="U3" s="8"/>
    </row>
    <row r="4" spans="1:22" ht="18.600000000000001" customHeight="1" x14ac:dyDescent="0.25">
      <c r="A4" s="8"/>
      <c r="B4" s="19" t="s">
        <v>58</v>
      </c>
      <c r="C4" s="8"/>
      <c r="D4" s="23" t="s">
        <v>62</v>
      </c>
      <c r="E4" s="19" t="s">
        <v>77</v>
      </c>
      <c r="F4" s="19" t="s">
        <v>77</v>
      </c>
      <c r="G4" s="19" t="s">
        <v>98</v>
      </c>
      <c r="H4" s="8"/>
      <c r="I4" s="17" t="s">
        <v>145</v>
      </c>
      <c r="J4" s="8"/>
      <c r="K4" s="17" t="s">
        <v>24</v>
      </c>
      <c r="L4" s="19" t="s">
        <v>24</v>
      </c>
      <c r="M4" s="8"/>
      <c r="N4" s="26" t="s">
        <v>175</v>
      </c>
      <c r="O4" s="8"/>
      <c r="Q4" s="8"/>
      <c r="S4" s="8"/>
      <c r="T4" s="68">
        <v>1000</v>
      </c>
      <c r="U4" s="8"/>
    </row>
    <row r="5" spans="1:22" ht="18.600000000000001" customHeight="1" x14ac:dyDescent="0.25">
      <c r="A5" s="8"/>
      <c r="B5" s="23" t="s">
        <v>31</v>
      </c>
      <c r="C5" s="8"/>
      <c r="D5" s="23" t="s">
        <v>79</v>
      </c>
      <c r="E5" s="23"/>
      <c r="F5" s="19" t="s">
        <v>34</v>
      </c>
      <c r="G5" s="23" t="s">
        <v>99</v>
      </c>
      <c r="H5" s="8"/>
      <c r="I5" s="17" t="s">
        <v>147</v>
      </c>
      <c r="J5" s="8"/>
      <c r="K5" s="17" t="s">
        <v>21</v>
      </c>
      <c r="L5" s="19" t="s">
        <v>41</v>
      </c>
      <c r="M5" s="8"/>
      <c r="N5" s="26" t="s">
        <v>177</v>
      </c>
      <c r="O5" s="8"/>
      <c r="Q5" s="8"/>
      <c r="S5" s="8"/>
      <c r="T5" s="68">
        <v>1500</v>
      </c>
      <c r="U5" s="8"/>
    </row>
    <row r="6" spans="1:22" ht="18.600000000000001" customHeight="1" x14ac:dyDescent="0.25">
      <c r="A6" s="8"/>
      <c r="B6" s="23" t="s">
        <v>78</v>
      </c>
      <c r="C6" s="8"/>
      <c r="D6" s="23" t="s">
        <v>42</v>
      </c>
      <c r="E6" s="19" t="s">
        <v>77</v>
      </c>
      <c r="F6" s="19" t="s">
        <v>77</v>
      </c>
      <c r="G6" s="19" t="s">
        <v>98</v>
      </c>
      <c r="H6" s="8"/>
      <c r="I6" s="7"/>
      <c r="J6" s="8"/>
      <c r="K6" s="17" t="s">
        <v>55</v>
      </c>
      <c r="L6" s="19" t="s">
        <v>55</v>
      </c>
      <c r="M6" s="8"/>
      <c r="N6" s="26" t="s">
        <v>188</v>
      </c>
      <c r="O6" s="8"/>
      <c r="Q6" s="8"/>
      <c r="S6" s="8"/>
      <c r="T6" s="68">
        <v>2000</v>
      </c>
      <c r="U6" s="8"/>
    </row>
    <row r="7" spans="1:22" ht="18.600000000000001" customHeight="1" x14ac:dyDescent="0.25">
      <c r="A7" s="8"/>
      <c r="B7" s="23" t="s">
        <v>67</v>
      </c>
      <c r="C7" s="8"/>
      <c r="D7" s="23" t="s">
        <v>80</v>
      </c>
      <c r="E7" s="19" t="s">
        <v>77</v>
      </c>
      <c r="F7" s="19" t="s">
        <v>77</v>
      </c>
      <c r="G7" s="19" t="s">
        <v>98</v>
      </c>
      <c r="H7" s="8"/>
      <c r="I7" s="7"/>
      <c r="J7" s="8"/>
      <c r="K7" s="17" t="s">
        <v>54</v>
      </c>
      <c r="L7" s="19" t="s">
        <v>66</v>
      </c>
      <c r="M7" s="8"/>
      <c r="N7" s="26" t="s">
        <v>186</v>
      </c>
      <c r="O7" s="8"/>
      <c r="Q7" s="8"/>
      <c r="S7" s="8"/>
      <c r="T7" s="68">
        <v>2500</v>
      </c>
      <c r="U7" s="8"/>
    </row>
    <row r="8" spans="1:22" ht="18.600000000000001" customHeight="1" x14ac:dyDescent="0.25">
      <c r="A8" s="8"/>
      <c r="B8" s="19" t="s">
        <v>34</v>
      </c>
      <c r="C8" s="8"/>
      <c r="D8" s="23" t="s">
        <v>82</v>
      </c>
      <c r="E8" s="19" t="s">
        <v>77</v>
      </c>
      <c r="F8" s="19" t="s">
        <v>77</v>
      </c>
      <c r="G8" s="19" t="s">
        <v>98</v>
      </c>
      <c r="H8" s="8"/>
      <c r="I8" s="7"/>
      <c r="J8" s="8"/>
      <c r="K8" s="17" t="s">
        <v>56</v>
      </c>
      <c r="L8" s="19" t="s">
        <v>66</v>
      </c>
      <c r="M8" s="8"/>
      <c r="N8" s="26" t="s">
        <v>187</v>
      </c>
      <c r="O8" s="8"/>
      <c r="Q8" s="8"/>
      <c r="S8" s="8"/>
      <c r="T8" s="68">
        <v>3000</v>
      </c>
      <c r="U8" s="8"/>
    </row>
    <row r="9" spans="1:22" ht="18.600000000000001" customHeight="1" x14ac:dyDescent="0.25">
      <c r="A9" s="8"/>
      <c r="B9" s="19" t="s">
        <v>81</v>
      </c>
      <c r="C9" s="8"/>
      <c r="D9" s="23" t="s">
        <v>83</v>
      </c>
      <c r="E9" s="19" t="s">
        <v>58</v>
      </c>
      <c r="F9" s="19" t="s">
        <v>34</v>
      </c>
      <c r="G9" s="23" t="s">
        <v>99</v>
      </c>
      <c r="H9" s="8"/>
      <c r="I9" s="7"/>
      <c r="J9" s="8"/>
      <c r="K9" s="17" t="s">
        <v>26</v>
      </c>
      <c r="L9" s="19" t="s">
        <v>26</v>
      </c>
      <c r="M9" s="8"/>
      <c r="N9" s="26" t="s">
        <v>191</v>
      </c>
      <c r="O9" s="8"/>
      <c r="Q9" s="8"/>
      <c r="S9" s="8"/>
      <c r="T9" s="68">
        <v>3500</v>
      </c>
      <c r="U9" s="8"/>
    </row>
    <row r="10" spans="1:22" ht="18.600000000000001" customHeight="1" x14ac:dyDescent="0.25">
      <c r="A10" s="8"/>
      <c r="B10" s="19"/>
      <c r="C10" s="8"/>
      <c r="D10" s="23" t="s">
        <v>33</v>
      </c>
      <c r="E10" s="19" t="s">
        <v>58</v>
      </c>
      <c r="F10" s="19" t="s">
        <v>34</v>
      </c>
      <c r="G10" s="19" t="s">
        <v>99</v>
      </c>
      <c r="H10" s="8"/>
      <c r="I10" s="7"/>
      <c r="J10" s="8"/>
      <c r="K10" s="17" t="s">
        <v>36</v>
      </c>
      <c r="L10" s="19" t="s">
        <v>66</v>
      </c>
      <c r="M10" s="8"/>
      <c r="N10" s="26" t="s">
        <v>768</v>
      </c>
      <c r="O10" s="8"/>
      <c r="Q10" s="8"/>
      <c r="S10" s="8"/>
      <c r="T10" s="68">
        <v>4000</v>
      </c>
      <c r="U10" s="8"/>
    </row>
    <row r="11" spans="1:22" ht="18.600000000000001" customHeight="1" x14ac:dyDescent="0.25">
      <c r="A11" s="8"/>
      <c r="B11" s="19" t="s">
        <v>96</v>
      </c>
      <c r="C11" s="8"/>
      <c r="D11" s="23" t="s">
        <v>24</v>
      </c>
      <c r="E11" s="19" t="s">
        <v>58</v>
      </c>
      <c r="F11" s="19" t="s">
        <v>34</v>
      </c>
      <c r="G11" s="23" t="s">
        <v>99</v>
      </c>
      <c r="H11" s="8"/>
      <c r="I11" s="7"/>
      <c r="J11" s="8"/>
      <c r="K11" s="17" t="s">
        <v>33</v>
      </c>
      <c r="L11" s="19" t="s">
        <v>33</v>
      </c>
      <c r="M11" s="8"/>
      <c r="N11" s="26" t="s">
        <v>769</v>
      </c>
      <c r="O11" s="8"/>
      <c r="Q11" s="8"/>
      <c r="S11" s="8"/>
      <c r="T11" s="68">
        <v>4500</v>
      </c>
      <c r="U11" s="8"/>
    </row>
    <row r="12" spans="1:22" ht="18.600000000000001" customHeight="1" x14ac:dyDescent="0.25">
      <c r="A12" s="8"/>
      <c r="B12" s="7"/>
      <c r="C12" s="8"/>
      <c r="D12" s="23" t="s">
        <v>22</v>
      </c>
      <c r="E12" s="19" t="s">
        <v>58</v>
      </c>
      <c r="F12" s="19" t="s">
        <v>34</v>
      </c>
      <c r="G12" s="23" t="s">
        <v>99</v>
      </c>
      <c r="H12" s="8"/>
      <c r="I12" s="7"/>
      <c r="J12" s="8"/>
      <c r="K12" s="17" t="s">
        <v>44</v>
      </c>
      <c r="L12" s="19" t="s">
        <v>53</v>
      </c>
      <c r="M12" s="8"/>
      <c r="N12" s="26" t="s">
        <v>176</v>
      </c>
      <c r="O12" s="8"/>
      <c r="Q12" s="8"/>
      <c r="S12" s="8"/>
      <c r="T12" s="68">
        <v>5000</v>
      </c>
      <c r="U12" s="8"/>
    </row>
    <row r="13" spans="1:22" ht="18.600000000000001" customHeight="1" x14ac:dyDescent="0.25">
      <c r="A13" s="8"/>
      <c r="B13" s="7"/>
      <c r="C13" s="8"/>
      <c r="D13" s="23" t="s">
        <v>53</v>
      </c>
      <c r="E13" s="19" t="s">
        <v>58</v>
      </c>
      <c r="F13" s="19" t="s">
        <v>34</v>
      </c>
      <c r="G13" s="23" t="s">
        <v>99</v>
      </c>
      <c r="H13" s="8"/>
      <c r="I13" s="7"/>
      <c r="J13" s="8"/>
      <c r="K13" s="17" t="s">
        <v>152</v>
      </c>
      <c r="L13" s="19" t="s">
        <v>80</v>
      </c>
      <c r="M13" s="8"/>
      <c r="N13" s="26" t="s">
        <v>231</v>
      </c>
      <c r="O13" s="8"/>
      <c r="Q13" s="8"/>
      <c r="S13" s="8"/>
      <c r="T13" s="68">
        <v>5500</v>
      </c>
      <c r="U13" s="8"/>
    </row>
    <row r="14" spans="1:22" ht="18.600000000000001" customHeight="1" x14ac:dyDescent="0.25">
      <c r="A14" s="8"/>
      <c r="B14" s="7"/>
      <c r="C14" s="8"/>
      <c r="D14" s="23" t="s">
        <v>26</v>
      </c>
      <c r="E14" s="19" t="s">
        <v>77</v>
      </c>
      <c r="F14" s="19" t="s">
        <v>77</v>
      </c>
      <c r="G14" s="19" t="s">
        <v>98</v>
      </c>
      <c r="H14" s="8"/>
      <c r="I14" s="7"/>
      <c r="J14" s="8"/>
      <c r="K14" s="17" t="s">
        <v>23</v>
      </c>
      <c r="L14" s="19" t="s">
        <v>35</v>
      </c>
      <c r="M14" s="8"/>
      <c r="N14" s="26" t="s">
        <v>233</v>
      </c>
      <c r="O14" s="8"/>
      <c r="Q14" s="8"/>
      <c r="S14" s="8"/>
      <c r="T14" s="68">
        <v>6000</v>
      </c>
      <c r="U14" s="8"/>
    </row>
    <row r="15" spans="1:22" ht="18.600000000000001" customHeight="1" x14ac:dyDescent="0.25">
      <c r="A15" s="8"/>
      <c r="B15" s="7"/>
      <c r="C15" s="8"/>
      <c r="D15" s="23" t="s">
        <v>28</v>
      </c>
      <c r="E15" s="19" t="s">
        <v>58</v>
      </c>
      <c r="F15" s="19" t="s">
        <v>34</v>
      </c>
      <c r="G15" s="23" t="s">
        <v>99</v>
      </c>
      <c r="H15" s="8"/>
      <c r="I15" s="7"/>
      <c r="J15" s="8"/>
      <c r="K15" s="17" t="s">
        <v>49</v>
      </c>
      <c r="L15" s="19" t="s">
        <v>82</v>
      </c>
      <c r="M15" s="8"/>
      <c r="N15" s="26" t="s">
        <v>184</v>
      </c>
      <c r="O15" s="8"/>
      <c r="Q15" s="8"/>
      <c r="S15" s="8"/>
      <c r="T15" s="68">
        <v>6500</v>
      </c>
      <c r="U15" s="8"/>
    </row>
    <row r="16" spans="1:22" ht="18.600000000000001" customHeight="1" x14ac:dyDescent="0.25">
      <c r="A16" s="8"/>
      <c r="B16" s="7"/>
      <c r="C16" s="8"/>
      <c r="D16" s="23" t="s">
        <v>55</v>
      </c>
      <c r="E16" s="19" t="s">
        <v>77</v>
      </c>
      <c r="F16" s="19" t="s">
        <v>77</v>
      </c>
      <c r="G16" s="19" t="s">
        <v>98</v>
      </c>
      <c r="H16" s="8"/>
      <c r="I16" s="7"/>
      <c r="J16" s="8"/>
      <c r="K16" s="17" t="s">
        <v>37</v>
      </c>
      <c r="L16" s="19" t="s">
        <v>37</v>
      </c>
      <c r="M16" s="8"/>
      <c r="N16" s="26" t="s">
        <v>770</v>
      </c>
      <c r="O16" s="8"/>
      <c r="Q16" s="8"/>
      <c r="S16" s="8"/>
      <c r="T16" s="68">
        <v>7000</v>
      </c>
      <c r="U16" s="8"/>
    </row>
    <row r="17" spans="1:21" ht="18.600000000000001" customHeight="1" x14ac:dyDescent="0.25">
      <c r="A17" s="8"/>
      <c r="B17" s="7"/>
      <c r="C17" s="8"/>
      <c r="D17" s="23" t="s">
        <v>60</v>
      </c>
      <c r="E17" s="23" t="s">
        <v>31</v>
      </c>
      <c r="F17" s="23" t="s">
        <v>31</v>
      </c>
      <c r="G17" s="23" t="s">
        <v>99</v>
      </c>
      <c r="H17" s="8"/>
      <c r="I17" s="7"/>
      <c r="J17" s="8"/>
      <c r="K17" s="17" t="s">
        <v>29</v>
      </c>
      <c r="L17" s="19" t="s">
        <v>29</v>
      </c>
      <c r="M17" s="8"/>
      <c r="N17" s="26" t="s">
        <v>771</v>
      </c>
      <c r="O17" s="8"/>
      <c r="Q17" s="8"/>
      <c r="S17" s="8"/>
      <c r="T17" s="68">
        <v>7500</v>
      </c>
      <c r="U17" s="8"/>
    </row>
    <row r="18" spans="1:21" ht="18.600000000000001" customHeight="1" x14ac:dyDescent="0.25">
      <c r="A18" s="8"/>
      <c r="B18" s="7"/>
      <c r="C18" s="8"/>
      <c r="D18" s="23" t="s">
        <v>32</v>
      </c>
      <c r="E18" s="19" t="s">
        <v>77</v>
      </c>
      <c r="F18" s="19" t="s">
        <v>77</v>
      </c>
      <c r="G18" s="19" t="s">
        <v>98</v>
      </c>
      <c r="H18" s="8"/>
      <c r="I18" s="7"/>
      <c r="J18" s="8"/>
      <c r="K18" s="17" t="s">
        <v>38</v>
      </c>
      <c r="L18" s="19" t="s">
        <v>38</v>
      </c>
      <c r="M18" s="8"/>
      <c r="N18" s="26" t="s">
        <v>772</v>
      </c>
      <c r="O18" s="8"/>
      <c r="Q18" s="8"/>
      <c r="S18" s="8"/>
      <c r="T18" s="68">
        <v>8000</v>
      </c>
      <c r="U18" s="8"/>
    </row>
    <row r="19" spans="1:21" ht="18.600000000000001" customHeight="1" x14ac:dyDescent="0.25">
      <c r="A19" s="8"/>
      <c r="B19" s="7"/>
      <c r="C19" s="8"/>
      <c r="D19" s="23" t="s">
        <v>65</v>
      </c>
      <c r="E19" s="19" t="s">
        <v>78</v>
      </c>
      <c r="F19" s="19" t="s">
        <v>78</v>
      </c>
      <c r="G19" s="19" t="s">
        <v>99</v>
      </c>
      <c r="H19" s="8"/>
      <c r="I19" s="7"/>
      <c r="J19" s="8"/>
      <c r="K19" s="17" t="s">
        <v>151</v>
      </c>
      <c r="L19" s="19" t="s">
        <v>84</v>
      </c>
      <c r="M19" s="8"/>
      <c r="N19" s="26" t="s">
        <v>773</v>
      </c>
      <c r="O19" s="8"/>
      <c r="Q19" s="8"/>
      <c r="S19" s="8"/>
      <c r="T19" s="68" t="s">
        <v>155</v>
      </c>
      <c r="U19" s="8"/>
    </row>
    <row r="20" spans="1:21" ht="18.600000000000001" customHeight="1" x14ac:dyDescent="0.25">
      <c r="A20" s="8"/>
      <c r="B20" s="7"/>
      <c r="C20" s="8"/>
      <c r="D20" s="23" t="s">
        <v>69</v>
      </c>
      <c r="E20" s="19" t="s">
        <v>58</v>
      </c>
      <c r="F20" s="19" t="s">
        <v>34</v>
      </c>
      <c r="G20" s="23" t="s">
        <v>99</v>
      </c>
      <c r="H20" s="8"/>
      <c r="I20" s="7"/>
      <c r="J20" s="8"/>
      <c r="K20" s="17" t="s">
        <v>45</v>
      </c>
      <c r="L20" s="19" t="s">
        <v>66</v>
      </c>
      <c r="M20" s="8"/>
      <c r="N20" s="26" t="s">
        <v>774</v>
      </c>
      <c r="O20" s="8"/>
      <c r="Q20" s="8"/>
      <c r="S20" s="8"/>
      <c r="T20" s="68" t="s">
        <v>156</v>
      </c>
      <c r="U20" s="8"/>
    </row>
    <row r="21" spans="1:21" ht="18.600000000000001" customHeight="1" x14ac:dyDescent="0.25">
      <c r="A21" s="8"/>
      <c r="B21" s="7"/>
      <c r="C21" s="8"/>
      <c r="D21" s="23" t="s">
        <v>35</v>
      </c>
      <c r="E21" s="19" t="s">
        <v>58</v>
      </c>
      <c r="F21" s="19" t="s">
        <v>34</v>
      </c>
      <c r="G21" s="23" t="s">
        <v>99</v>
      </c>
      <c r="H21" s="8"/>
      <c r="I21" s="7"/>
      <c r="J21" s="8"/>
      <c r="K21" s="17" t="s">
        <v>28</v>
      </c>
      <c r="L21" s="19" t="s">
        <v>28</v>
      </c>
      <c r="M21" s="8"/>
      <c r="N21" s="26" t="s">
        <v>775</v>
      </c>
      <c r="O21" s="8"/>
      <c r="Q21" s="8"/>
      <c r="S21" s="8"/>
      <c r="T21" s="68" t="s">
        <v>207</v>
      </c>
      <c r="U21" s="8"/>
    </row>
    <row r="22" spans="1:21" ht="18.600000000000001" customHeight="1" x14ac:dyDescent="0.25">
      <c r="A22" s="8"/>
      <c r="B22" s="7"/>
      <c r="C22" s="8"/>
      <c r="D22" s="23" t="s">
        <v>84</v>
      </c>
      <c r="E22" s="19" t="s">
        <v>77</v>
      </c>
      <c r="F22" s="19" t="s">
        <v>77</v>
      </c>
      <c r="G22" s="19" t="s">
        <v>98</v>
      </c>
      <c r="H22" s="8"/>
      <c r="I22" s="7"/>
      <c r="J22" s="8"/>
      <c r="K22" s="17" t="s">
        <v>39</v>
      </c>
      <c r="L22" s="19" t="s">
        <v>40</v>
      </c>
      <c r="M22" s="8"/>
      <c r="N22" s="26" t="s">
        <v>776</v>
      </c>
      <c r="O22" s="8"/>
      <c r="Q22" s="8"/>
      <c r="S22" s="8"/>
      <c r="U22" s="8"/>
    </row>
    <row r="23" spans="1:21" ht="18.600000000000001" customHeight="1" x14ac:dyDescent="0.25">
      <c r="A23" s="8"/>
      <c r="B23" s="7"/>
      <c r="C23" s="8"/>
      <c r="D23" s="23" t="s">
        <v>85</v>
      </c>
      <c r="E23" s="19" t="s">
        <v>77</v>
      </c>
      <c r="F23" s="19" t="s">
        <v>77</v>
      </c>
      <c r="G23" s="19" t="s">
        <v>98</v>
      </c>
      <c r="H23" s="8"/>
      <c r="I23" s="7"/>
      <c r="J23" s="8"/>
      <c r="K23" s="17" t="s">
        <v>59</v>
      </c>
      <c r="L23" s="19" t="s">
        <v>66</v>
      </c>
      <c r="M23" s="8"/>
      <c r="N23" s="26" t="s">
        <v>180</v>
      </c>
      <c r="O23" s="8"/>
      <c r="Q23" s="8"/>
      <c r="S23" s="8"/>
      <c r="U23" s="8"/>
    </row>
    <row r="24" spans="1:21" ht="18.600000000000001" customHeight="1" x14ac:dyDescent="0.25">
      <c r="A24" s="8"/>
      <c r="B24" s="7"/>
      <c r="C24" s="8"/>
      <c r="D24" s="23" t="s">
        <v>29</v>
      </c>
      <c r="E24" s="19" t="s">
        <v>58</v>
      </c>
      <c r="F24" s="19" t="s">
        <v>34</v>
      </c>
      <c r="G24" s="23" t="s">
        <v>99</v>
      </c>
      <c r="H24" s="8"/>
      <c r="I24" s="7"/>
      <c r="J24" s="8"/>
      <c r="K24" s="17" t="s">
        <v>27</v>
      </c>
      <c r="L24" s="19" t="s">
        <v>66</v>
      </c>
      <c r="M24" s="8"/>
      <c r="N24" s="26" t="s">
        <v>181</v>
      </c>
      <c r="O24" s="8"/>
      <c r="Q24" s="8"/>
      <c r="S24" s="8"/>
      <c r="U24" s="8"/>
    </row>
    <row r="25" spans="1:21" ht="18.600000000000001" customHeight="1" x14ac:dyDescent="0.25">
      <c r="A25" s="8"/>
      <c r="B25" s="7"/>
      <c r="C25" s="8"/>
      <c r="D25" s="23" t="s">
        <v>66</v>
      </c>
      <c r="E25" s="23" t="s">
        <v>67</v>
      </c>
      <c r="F25" s="23" t="s">
        <v>67</v>
      </c>
      <c r="G25" s="23" t="s">
        <v>99</v>
      </c>
      <c r="H25" s="8"/>
      <c r="I25" s="7"/>
      <c r="J25" s="8"/>
      <c r="K25" s="17" t="s">
        <v>51</v>
      </c>
      <c r="L25" s="19" t="s">
        <v>66</v>
      </c>
      <c r="M25" s="8"/>
      <c r="N25" s="26" t="s">
        <v>179</v>
      </c>
      <c r="O25" s="8"/>
      <c r="Q25" s="8"/>
      <c r="S25" s="8"/>
      <c r="U25" s="8"/>
    </row>
    <row r="26" spans="1:21" ht="18.600000000000001" customHeight="1" x14ac:dyDescent="0.25">
      <c r="A26" s="8"/>
      <c r="B26" s="7"/>
      <c r="C26" s="8"/>
      <c r="D26" s="23" t="s">
        <v>86</v>
      </c>
      <c r="E26" s="19" t="s">
        <v>58</v>
      </c>
      <c r="F26" s="19" t="s">
        <v>34</v>
      </c>
      <c r="G26" s="23" t="s">
        <v>99</v>
      </c>
      <c r="H26" s="8"/>
      <c r="I26" s="7"/>
      <c r="J26" s="8"/>
      <c r="K26" s="17" t="s">
        <v>48</v>
      </c>
      <c r="L26" s="19" t="s">
        <v>66</v>
      </c>
      <c r="M26" s="8"/>
      <c r="N26" s="26" t="s">
        <v>777</v>
      </c>
      <c r="O26" s="8"/>
      <c r="Q26" s="8"/>
      <c r="S26" s="8"/>
      <c r="U26" s="8"/>
    </row>
    <row r="27" spans="1:21" ht="18.600000000000001" customHeight="1" x14ac:dyDescent="0.25">
      <c r="A27" s="8"/>
      <c r="B27" s="7"/>
      <c r="C27" s="8"/>
      <c r="D27" s="23" t="s">
        <v>38</v>
      </c>
      <c r="E27" s="19" t="s">
        <v>77</v>
      </c>
      <c r="F27" s="19" t="s">
        <v>77</v>
      </c>
      <c r="G27" s="19" t="s">
        <v>98</v>
      </c>
      <c r="H27" s="8"/>
      <c r="I27" s="7"/>
      <c r="J27" s="8"/>
      <c r="K27" s="17" t="s">
        <v>42</v>
      </c>
      <c r="L27" s="19" t="s">
        <v>42</v>
      </c>
      <c r="M27" s="8"/>
      <c r="N27" s="26" t="s">
        <v>765</v>
      </c>
      <c r="O27" s="8"/>
      <c r="Q27" s="8"/>
      <c r="S27" s="8"/>
      <c r="U27" s="8"/>
    </row>
    <row r="28" spans="1:21" ht="18.600000000000001" customHeight="1" x14ac:dyDescent="0.25">
      <c r="A28" s="8"/>
      <c r="B28" s="7"/>
      <c r="C28" s="8"/>
      <c r="D28" s="23" t="s">
        <v>87</v>
      </c>
      <c r="E28" s="19" t="s">
        <v>77</v>
      </c>
      <c r="F28" s="19" t="s">
        <v>77</v>
      </c>
      <c r="G28" s="19" t="s">
        <v>98</v>
      </c>
      <c r="H28" s="8"/>
      <c r="I28" s="7"/>
      <c r="J28" s="8"/>
      <c r="K28" s="17" t="s">
        <v>46</v>
      </c>
      <c r="L28" s="19" t="s">
        <v>68</v>
      </c>
      <c r="M28" s="8"/>
      <c r="N28" s="26" t="s">
        <v>185</v>
      </c>
      <c r="O28" s="8"/>
      <c r="Q28" s="8"/>
      <c r="S28" s="8"/>
      <c r="U28" s="8"/>
    </row>
    <row r="29" spans="1:21" ht="18.600000000000001" customHeight="1" x14ac:dyDescent="0.25">
      <c r="A29" s="8"/>
      <c r="B29" s="7"/>
      <c r="C29" s="8"/>
      <c r="D29" s="23" t="s">
        <v>68</v>
      </c>
      <c r="E29" s="19" t="s">
        <v>58</v>
      </c>
      <c r="F29" s="19" t="s">
        <v>34</v>
      </c>
      <c r="G29" s="23" t="s">
        <v>99</v>
      </c>
      <c r="H29" s="8"/>
      <c r="I29" s="7"/>
      <c r="J29" s="8"/>
      <c r="K29" s="17" t="s">
        <v>47</v>
      </c>
      <c r="L29" s="19" t="s">
        <v>69</v>
      </c>
      <c r="M29" s="8"/>
      <c r="N29" s="26" t="s">
        <v>778</v>
      </c>
      <c r="O29" s="8"/>
      <c r="Q29" s="8"/>
      <c r="S29" s="8"/>
      <c r="U29" s="8"/>
    </row>
    <row r="30" spans="1:21" ht="18.600000000000001" customHeight="1" x14ac:dyDescent="0.25">
      <c r="A30" s="8"/>
      <c r="B30" s="7"/>
      <c r="C30" s="8"/>
      <c r="D30" s="23" t="s">
        <v>40</v>
      </c>
      <c r="E30" s="19" t="s">
        <v>58</v>
      </c>
      <c r="F30" s="19" t="s">
        <v>34</v>
      </c>
      <c r="G30" s="23" t="s">
        <v>99</v>
      </c>
      <c r="H30" s="8"/>
      <c r="I30" s="7"/>
      <c r="J30" s="8"/>
      <c r="K30" s="17" t="s">
        <v>64</v>
      </c>
      <c r="L30" s="19" t="s">
        <v>22</v>
      </c>
      <c r="M30" s="8"/>
      <c r="N30" s="26" t="s">
        <v>182</v>
      </c>
      <c r="O30" s="8"/>
      <c r="Q30" s="8"/>
      <c r="S30" s="8"/>
      <c r="U30" s="8"/>
    </row>
    <row r="31" spans="1:21" ht="18.600000000000001" customHeight="1" x14ac:dyDescent="0.25">
      <c r="A31" s="8"/>
      <c r="B31" s="7"/>
      <c r="C31" s="8"/>
      <c r="D31" s="23" t="s">
        <v>43</v>
      </c>
      <c r="E31" s="19" t="s">
        <v>58</v>
      </c>
      <c r="F31" s="19" t="s">
        <v>34</v>
      </c>
      <c r="G31" s="23" t="s">
        <v>99</v>
      </c>
      <c r="H31" s="8"/>
      <c r="I31" s="7"/>
      <c r="J31" s="8"/>
      <c r="K31" s="17" t="s">
        <v>88</v>
      </c>
      <c r="L31" s="19" t="s">
        <v>66</v>
      </c>
      <c r="M31" s="8"/>
      <c r="N31" s="26" t="s">
        <v>192</v>
      </c>
      <c r="O31" s="8"/>
      <c r="Q31" s="8"/>
      <c r="S31" s="8"/>
      <c r="U31" s="8"/>
    </row>
    <row r="32" spans="1:21" ht="18.600000000000001" customHeight="1" x14ac:dyDescent="0.25">
      <c r="A32" s="8"/>
      <c r="B32" s="7"/>
      <c r="C32" s="8"/>
      <c r="D32" s="23" t="s">
        <v>89</v>
      </c>
      <c r="E32" s="19" t="s">
        <v>90</v>
      </c>
      <c r="F32" s="19"/>
      <c r="G32" s="23" t="s">
        <v>99</v>
      </c>
      <c r="H32" s="8"/>
      <c r="I32" s="7"/>
      <c r="J32" s="8"/>
      <c r="K32" s="17" t="s">
        <v>50</v>
      </c>
      <c r="L32" s="19" t="s">
        <v>66</v>
      </c>
      <c r="M32" s="8"/>
      <c r="N32" s="26" t="s">
        <v>779</v>
      </c>
      <c r="O32" s="8"/>
      <c r="Q32" s="8"/>
      <c r="S32" s="8"/>
      <c r="U32" s="8"/>
    </row>
    <row r="33" spans="1:21" ht="18.600000000000001" customHeight="1" x14ac:dyDescent="0.25">
      <c r="A33" s="8"/>
      <c r="B33" s="7"/>
      <c r="C33" s="8"/>
      <c r="D33" s="20" t="s">
        <v>63</v>
      </c>
      <c r="E33" s="19" t="s">
        <v>77</v>
      </c>
      <c r="F33" s="19" t="s">
        <v>77</v>
      </c>
      <c r="G33" s="23" t="s">
        <v>98</v>
      </c>
      <c r="H33" s="8"/>
      <c r="I33" s="7"/>
      <c r="J33" s="8"/>
      <c r="K33" s="17" t="s">
        <v>87</v>
      </c>
      <c r="L33" s="19" t="s">
        <v>87</v>
      </c>
      <c r="M33" s="8"/>
      <c r="N33" s="26" t="s">
        <v>183</v>
      </c>
      <c r="O33" s="8"/>
      <c r="Q33" s="8"/>
      <c r="S33" s="8"/>
      <c r="U33" s="8"/>
    </row>
    <row r="34" spans="1:21" ht="18.600000000000001" customHeight="1" x14ac:dyDescent="0.25">
      <c r="A34" s="8"/>
      <c r="B34" s="7"/>
      <c r="C34" s="8"/>
      <c r="D34" s="23" t="s">
        <v>100</v>
      </c>
      <c r="E34" s="19" t="s">
        <v>58</v>
      </c>
      <c r="F34" s="19" t="s">
        <v>81</v>
      </c>
      <c r="G34" s="23" t="s">
        <v>99</v>
      </c>
      <c r="H34" s="8"/>
      <c r="I34" s="7"/>
      <c r="J34" s="8"/>
      <c r="K34" s="17" t="s">
        <v>83</v>
      </c>
      <c r="L34" s="19" t="s">
        <v>83</v>
      </c>
      <c r="M34" s="8"/>
      <c r="N34" s="26" t="s">
        <v>189</v>
      </c>
      <c r="O34" s="8"/>
      <c r="Q34" s="8"/>
      <c r="S34" s="8"/>
      <c r="U34" s="8"/>
    </row>
    <row r="35" spans="1:21" ht="18.600000000000001" customHeight="1" x14ac:dyDescent="0.25">
      <c r="A35" s="8"/>
      <c r="B35" s="7"/>
      <c r="C35" s="8"/>
      <c r="D35" s="23" t="s">
        <v>199</v>
      </c>
      <c r="E35" s="19" t="s">
        <v>58</v>
      </c>
      <c r="F35" s="19" t="s">
        <v>81</v>
      </c>
      <c r="G35" s="23"/>
      <c r="H35" s="8"/>
      <c r="I35" s="7"/>
      <c r="J35" s="8"/>
      <c r="K35" s="17" t="s">
        <v>70</v>
      </c>
      <c r="L35" s="19" t="s">
        <v>70</v>
      </c>
      <c r="M35" s="8"/>
      <c r="N35" s="26" t="s">
        <v>780</v>
      </c>
      <c r="O35" s="8"/>
      <c r="Q35" s="8"/>
      <c r="S35" s="8"/>
      <c r="U35" s="8"/>
    </row>
    <row r="36" spans="1:21" ht="18.600000000000001" customHeight="1" x14ac:dyDescent="0.25">
      <c r="A36" s="8"/>
      <c r="B36" s="7"/>
      <c r="C36" s="8"/>
      <c r="D36" s="23" t="s">
        <v>61</v>
      </c>
      <c r="E36" s="19" t="s">
        <v>58</v>
      </c>
      <c r="F36" s="19" t="s">
        <v>34</v>
      </c>
      <c r="G36" s="23" t="s">
        <v>99</v>
      </c>
      <c r="H36" s="8"/>
      <c r="I36" s="7"/>
      <c r="J36" s="8"/>
      <c r="K36" s="17" t="s">
        <v>43</v>
      </c>
      <c r="L36" s="19" t="s">
        <v>43</v>
      </c>
      <c r="M36" s="8"/>
      <c r="N36" s="26" t="s">
        <v>781</v>
      </c>
      <c r="O36" s="8"/>
      <c r="Q36" s="8"/>
      <c r="S36" s="8"/>
      <c r="U36" s="8"/>
    </row>
    <row r="37" spans="1:21" ht="18.600000000000001" customHeight="1" x14ac:dyDescent="0.25">
      <c r="A37" s="8"/>
      <c r="B37" s="7"/>
      <c r="C37" s="8"/>
      <c r="D37" s="23" t="s">
        <v>196</v>
      </c>
      <c r="E37" s="19" t="s">
        <v>58</v>
      </c>
      <c r="F37" s="19" t="s">
        <v>34</v>
      </c>
      <c r="G37" s="23" t="s">
        <v>99</v>
      </c>
      <c r="H37" s="8"/>
      <c r="I37" s="7"/>
      <c r="J37" s="8"/>
      <c r="K37" s="20" t="s">
        <v>63</v>
      </c>
      <c r="L37" s="19" t="s">
        <v>63</v>
      </c>
      <c r="M37" s="8"/>
      <c r="N37" s="26" t="s">
        <v>193</v>
      </c>
      <c r="O37" s="8"/>
      <c r="Q37" s="8"/>
      <c r="S37" s="8"/>
      <c r="U37" s="8"/>
    </row>
    <row r="38" spans="1:21" ht="18.600000000000001" customHeight="1" x14ac:dyDescent="0.25">
      <c r="A38" s="8"/>
      <c r="B38" s="7"/>
      <c r="C38" s="8"/>
      <c r="D38" s="23" t="s">
        <v>122</v>
      </c>
      <c r="E38" s="19" t="s">
        <v>81</v>
      </c>
      <c r="F38" s="19" t="s">
        <v>81</v>
      </c>
      <c r="G38" s="23" t="s">
        <v>99</v>
      </c>
      <c r="H38" s="8"/>
      <c r="I38" s="7"/>
      <c r="J38" s="8"/>
      <c r="K38" s="17"/>
      <c r="L38" s="23" t="s">
        <v>122</v>
      </c>
      <c r="M38" s="8"/>
      <c r="N38" s="26" t="s">
        <v>766</v>
      </c>
      <c r="O38" s="8"/>
      <c r="Q38" s="8"/>
      <c r="S38" s="8"/>
      <c r="U38" s="8"/>
    </row>
    <row r="39" spans="1:21" ht="18.600000000000001" customHeight="1" x14ac:dyDescent="0.25">
      <c r="A39" s="8"/>
      <c r="B39" s="7"/>
      <c r="C39" s="8"/>
      <c r="D39" s="23" t="s">
        <v>123</v>
      </c>
      <c r="E39" s="19" t="s">
        <v>81</v>
      </c>
      <c r="F39" s="19" t="s">
        <v>81</v>
      </c>
      <c r="G39" s="23" t="s">
        <v>99</v>
      </c>
      <c r="H39" s="8"/>
      <c r="I39" s="7"/>
      <c r="J39" s="8"/>
      <c r="K39" s="17"/>
      <c r="L39" s="23" t="s">
        <v>123</v>
      </c>
      <c r="M39" s="8"/>
      <c r="N39" s="26" t="s">
        <v>782</v>
      </c>
      <c r="O39" s="8"/>
      <c r="Q39" s="8"/>
      <c r="S39" s="8"/>
      <c r="U39" s="8"/>
    </row>
    <row r="40" spans="1:21" ht="18.600000000000001" customHeight="1" x14ac:dyDescent="0.25">
      <c r="A40" s="8"/>
      <c r="B40" s="7"/>
      <c r="C40" s="8"/>
      <c r="D40" s="23" t="s">
        <v>128</v>
      </c>
      <c r="E40" s="19"/>
      <c r="F40" s="19"/>
      <c r="G40" s="23"/>
      <c r="H40" s="8"/>
      <c r="I40" s="7"/>
      <c r="J40" s="8"/>
      <c r="K40" s="17" t="s">
        <v>61</v>
      </c>
      <c r="L40" s="19" t="s">
        <v>61</v>
      </c>
      <c r="M40" s="8"/>
      <c r="N40" s="26" t="s">
        <v>190</v>
      </c>
      <c r="O40" s="8"/>
      <c r="Q40" s="8"/>
      <c r="S40" s="8"/>
      <c r="U40" s="8"/>
    </row>
    <row r="41" spans="1:21" ht="18.600000000000001" customHeight="1" x14ac:dyDescent="0.25">
      <c r="A41" s="8"/>
      <c r="B41" s="7"/>
      <c r="C41" s="8"/>
      <c r="D41" s="23" t="s">
        <v>127</v>
      </c>
      <c r="E41" s="19"/>
      <c r="F41" s="19"/>
      <c r="G41" s="23" t="s">
        <v>99</v>
      </c>
      <c r="H41" s="8"/>
      <c r="I41" s="7"/>
      <c r="J41" s="8"/>
      <c r="K41" s="17"/>
      <c r="L41" s="19" t="s">
        <v>196</v>
      </c>
      <c r="M41" s="8"/>
      <c r="N41" s="26" t="s">
        <v>783</v>
      </c>
      <c r="O41" s="8"/>
      <c r="Q41" s="8"/>
      <c r="S41" s="8"/>
      <c r="U41" s="8"/>
    </row>
    <row r="42" spans="1:21" ht="18.600000000000001" customHeight="1" x14ac:dyDescent="0.25">
      <c r="A42" s="8"/>
      <c r="B42" s="7"/>
      <c r="C42" s="8"/>
      <c r="D42" s="75" t="s">
        <v>170</v>
      </c>
      <c r="E42" s="23" t="s">
        <v>67</v>
      </c>
      <c r="F42" s="23" t="s">
        <v>67</v>
      </c>
      <c r="G42" s="23" t="s">
        <v>99</v>
      </c>
      <c r="H42" s="8"/>
      <c r="I42" s="7"/>
      <c r="J42" s="8"/>
      <c r="K42" s="17"/>
      <c r="L42" s="19" t="s">
        <v>100</v>
      </c>
      <c r="M42" s="8"/>
      <c r="N42" s="26" t="s">
        <v>784</v>
      </c>
      <c r="O42" s="8"/>
      <c r="Q42" s="8"/>
      <c r="S42" s="8"/>
      <c r="U42" s="8"/>
    </row>
    <row r="43" spans="1:21" ht="18.600000000000001" customHeight="1" x14ac:dyDescent="0.25">
      <c r="A43" s="8"/>
      <c r="B43" s="7"/>
      <c r="C43" s="8"/>
      <c r="D43" s="23" t="s">
        <v>57</v>
      </c>
      <c r="E43" s="23" t="s">
        <v>52</v>
      </c>
      <c r="F43" s="19" t="s">
        <v>52</v>
      </c>
      <c r="G43" s="23" t="s">
        <v>98</v>
      </c>
      <c r="H43" s="8"/>
      <c r="I43" s="7"/>
      <c r="J43" s="8"/>
      <c r="K43" s="17"/>
      <c r="L43" s="19" t="s">
        <v>199</v>
      </c>
      <c r="M43" s="8"/>
      <c r="N43" s="26" t="s">
        <v>785</v>
      </c>
      <c r="O43" s="8"/>
      <c r="Q43" s="8"/>
      <c r="S43" s="8"/>
      <c r="U43" s="8"/>
    </row>
    <row r="44" spans="1:21" ht="18.600000000000001" customHeight="1" x14ac:dyDescent="0.25">
      <c r="A44" s="8"/>
      <c r="B44" s="7"/>
      <c r="C44" s="8"/>
      <c r="D44" s="23" t="s">
        <v>91</v>
      </c>
      <c r="E44" s="19" t="s">
        <v>77</v>
      </c>
      <c r="F44" s="19" t="s">
        <v>77</v>
      </c>
      <c r="G44" s="23" t="s">
        <v>98</v>
      </c>
      <c r="H44" s="8"/>
      <c r="I44" s="7"/>
      <c r="J44" s="8"/>
      <c r="K44" s="17"/>
      <c r="L44" s="23" t="s">
        <v>127</v>
      </c>
      <c r="M44" s="8"/>
      <c r="N44" s="26" t="s">
        <v>194</v>
      </c>
      <c r="O44" s="8"/>
      <c r="Q44" s="8"/>
      <c r="S44" s="8"/>
      <c r="U44" s="8"/>
    </row>
    <row r="45" spans="1:21" ht="18.600000000000001" customHeight="1" x14ac:dyDescent="0.25">
      <c r="A45" s="8"/>
      <c r="B45" s="7"/>
      <c r="C45" s="8"/>
      <c r="D45" s="76" t="s">
        <v>149</v>
      </c>
      <c r="E45" s="75" t="s">
        <v>58</v>
      </c>
      <c r="F45" s="75" t="s">
        <v>34</v>
      </c>
      <c r="G45" s="76" t="s">
        <v>99</v>
      </c>
      <c r="H45" s="8"/>
      <c r="I45" s="7"/>
      <c r="J45" s="8"/>
      <c r="K45" s="17"/>
      <c r="L45" s="19" t="s">
        <v>128</v>
      </c>
      <c r="M45" s="8"/>
      <c r="N45" s="26" t="s">
        <v>786</v>
      </c>
      <c r="O45" s="8"/>
      <c r="Q45" s="8"/>
      <c r="S45" s="8"/>
      <c r="U45" s="8"/>
    </row>
    <row r="46" spans="1:21" ht="18.600000000000001" customHeight="1" x14ac:dyDescent="0.25">
      <c r="A46" s="8"/>
      <c r="B46" s="7"/>
      <c r="C46" s="8"/>
      <c r="D46" s="23" t="s">
        <v>153</v>
      </c>
      <c r="E46" s="19" t="s">
        <v>77</v>
      </c>
      <c r="F46" s="19" t="s">
        <v>77</v>
      </c>
      <c r="G46" s="23" t="s">
        <v>98</v>
      </c>
      <c r="H46" s="8"/>
      <c r="I46" s="7"/>
      <c r="J46" s="8"/>
      <c r="K46" s="17" t="s">
        <v>96</v>
      </c>
      <c r="L46" s="19" t="s">
        <v>32</v>
      </c>
      <c r="M46" s="8"/>
      <c r="N46" s="26" t="s">
        <v>787</v>
      </c>
      <c r="O46" s="8"/>
      <c r="Q46" s="8"/>
      <c r="S46" s="8"/>
      <c r="U46" s="8"/>
    </row>
    <row r="47" spans="1:21" ht="18.600000000000001" customHeight="1" x14ac:dyDescent="0.25">
      <c r="D47" s="19" t="s">
        <v>234</v>
      </c>
      <c r="E47" s="19" t="s">
        <v>58</v>
      </c>
      <c r="F47" s="19" t="s">
        <v>34</v>
      </c>
      <c r="G47" s="23" t="s">
        <v>99</v>
      </c>
      <c r="K47" s="17" t="s">
        <v>57</v>
      </c>
      <c r="L47" s="19" t="s">
        <v>57</v>
      </c>
      <c r="M47" s="8"/>
      <c r="N47" s="26" t="s">
        <v>921</v>
      </c>
      <c r="O47" s="8"/>
    </row>
    <row r="48" spans="1:21" ht="18.600000000000001" customHeight="1" x14ac:dyDescent="0.25">
      <c r="D48" s="76" t="s">
        <v>171</v>
      </c>
      <c r="E48" s="75" t="s">
        <v>58</v>
      </c>
      <c r="F48" s="75" t="s">
        <v>34</v>
      </c>
      <c r="G48" s="76" t="s">
        <v>99</v>
      </c>
      <c r="K48" s="17" t="s">
        <v>158</v>
      </c>
      <c r="L48" s="19" t="s">
        <v>66</v>
      </c>
      <c r="M48" s="8"/>
      <c r="N48" s="26" t="s">
        <v>195</v>
      </c>
      <c r="O48" s="8"/>
    </row>
    <row r="49" spans="4:15" ht="18.600000000000001" customHeight="1" x14ac:dyDescent="0.2">
      <c r="D49" s="76" t="s">
        <v>41</v>
      </c>
      <c r="E49" s="75" t="s">
        <v>78</v>
      </c>
      <c r="F49" s="75" t="s">
        <v>78</v>
      </c>
      <c r="G49" s="76" t="s">
        <v>99</v>
      </c>
      <c r="K49" s="17" t="s">
        <v>157</v>
      </c>
      <c r="L49" s="19" t="s">
        <v>41</v>
      </c>
      <c r="M49" s="8"/>
      <c r="O49" s="8"/>
    </row>
    <row r="50" spans="4:15" ht="18.600000000000001" customHeight="1" x14ac:dyDescent="0.2">
      <c r="D50" s="76" t="s">
        <v>197</v>
      </c>
      <c r="E50" s="75" t="s">
        <v>77</v>
      </c>
      <c r="F50" s="75" t="s">
        <v>77</v>
      </c>
      <c r="G50" s="76" t="s">
        <v>98</v>
      </c>
      <c r="K50" s="17" t="s">
        <v>162</v>
      </c>
      <c r="L50" s="19" t="s">
        <v>66</v>
      </c>
      <c r="M50" s="8"/>
      <c r="O50" s="8"/>
    </row>
    <row r="51" spans="4:15" ht="18.600000000000001" customHeight="1" x14ac:dyDescent="0.2">
      <c r="D51" s="76" t="s">
        <v>198</v>
      </c>
      <c r="E51" s="75"/>
      <c r="F51" s="75" t="s">
        <v>67</v>
      </c>
      <c r="G51" s="76" t="s">
        <v>99</v>
      </c>
      <c r="K51" s="17" t="s">
        <v>165</v>
      </c>
      <c r="L51" s="19" t="s">
        <v>66</v>
      </c>
      <c r="M51" s="8"/>
      <c r="O51" s="8"/>
    </row>
    <row r="52" spans="4:15" ht="18.600000000000001" customHeight="1" x14ac:dyDescent="0.2">
      <c r="D52" s="76" t="s">
        <v>154</v>
      </c>
      <c r="E52" s="75"/>
      <c r="F52" s="75" t="s">
        <v>34</v>
      </c>
      <c r="G52" s="76" t="s">
        <v>98</v>
      </c>
      <c r="K52" s="17" t="s">
        <v>159</v>
      </c>
      <c r="L52" s="19" t="s">
        <v>66</v>
      </c>
      <c r="M52" s="8"/>
      <c r="O52" s="8"/>
    </row>
    <row r="53" spans="4:15" ht="18.600000000000001" customHeight="1" x14ac:dyDescent="0.2">
      <c r="D53" s="76" t="s">
        <v>30</v>
      </c>
      <c r="E53" s="75" t="s">
        <v>58</v>
      </c>
      <c r="F53" s="75" t="s">
        <v>34</v>
      </c>
      <c r="G53" s="76" t="s">
        <v>99</v>
      </c>
      <c r="K53" s="17" t="s">
        <v>164</v>
      </c>
      <c r="L53" s="19" t="s">
        <v>66</v>
      </c>
      <c r="M53" s="8"/>
      <c r="O53" s="8"/>
    </row>
    <row r="54" spans="4:15" ht="18.600000000000001" customHeight="1" x14ac:dyDescent="0.2">
      <c r="D54" s="11"/>
      <c r="E54" s="11"/>
      <c r="F54" s="11"/>
      <c r="G54" s="11"/>
      <c r="K54" s="17" t="s">
        <v>160</v>
      </c>
      <c r="L54" s="19" t="s">
        <v>66</v>
      </c>
      <c r="M54" s="8"/>
      <c r="O54" s="8"/>
    </row>
    <row r="55" spans="4:15" ht="18.600000000000001" customHeight="1" x14ac:dyDescent="0.2">
      <c r="K55" s="17" t="s">
        <v>161</v>
      </c>
      <c r="L55" s="19" t="s">
        <v>66</v>
      </c>
      <c r="M55" s="8"/>
    </row>
    <row r="56" spans="4:15" ht="18.600000000000001" customHeight="1" x14ac:dyDescent="0.2">
      <c r="K56" s="17" t="s">
        <v>163</v>
      </c>
      <c r="L56" s="19" t="s">
        <v>66</v>
      </c>
      <c r="M56" s="8"/>
    </row>
    <row r="57" spans="4:15" ht="18.600000000000001" customHeight="1" x14ac:dyDescent="0.2">
      <c r="K57" s="17" t="s">
        <v>166</v>
      </c>
      <c r="L57" s="19" t="s">
        <v>66</v>
      </c>
    </row>
    <row r="58" spans="4:15" ht="18.600000000000001" customHeight="1" x14ac:dyDescent="0.2">
      <c r="K58" s="17" t="s">
        <v>167</v>
      </c>
      <c r="L58" s="19" t="s">
        <v>66</v>
      </c>
    </row>
    <row r="59" spans="4:15" ht="18.600000000000001" customHeight="1" x14ac:dyDescent="0.2">
      <c r="K59" s="17" t="s">
        <v>168</v>
      </c>
      <c r="L59" s="19" t="s">
        <v>66</v>
      </c>
    </row>
    <row r="60" spans="4:15" ht="18.600000000000001" customHeight="1" x14ac:dyDescent="0.2">
      <c r="K60" s="74" t="s">
        <v>169</v>
      </c>
      <c r="L60" s="75" t="s">
        <v>170</v>
      </c>
    </row>
    <row r="61" spans="4:15" ht="18.600000000000001" customHeight="1" x14ac:dyDescent="0.2">
      <c r="K61" s="74" t="s">
        <v>149</v>
      </c>
      <c r="L61" s="75" t="s">
        <v>149</v>
      </c>
    </row>
    <row r="62" spans="4:15" ht="18.600000000000001" customHeight="1" x14ac:dyDescent="0.2">
      <c r="K62" s="17" t="s">
        <v>153</v>
      </c>
      <c r="L62" s="19" t="s">
        <v>153</v>
      </c>
    </row>
    <row r="63" spans="4:15" ht="18.600000000000001" customHeight="1" x14ac:dyDescent="0.2">
      <c r="K63" s="19" t="s">
        <v>235</v>
      </c>
      <c r="L63" s="19" t="s">
        <v>234</v>
      </c>
    </row>
    <row r="64" spans="4:15" ht="18.600000000000001" customHeight="1" x14ac:dyDescent="0.2">
      <c r="K64" s="74" t="s">
        <v>223</v>
      </c>
      <c r="L64" s="75" t="s">
        <v>171</v>
      </c>
    </row>
    <row r="65" spans="11:12" ht="18.600000000000001" customHeight="1" x14ac:dyDescent="0.2">
      <c r="K65" s="74" t="s">
        <v>82</v>
      </c>
      <c r="L65" s="75" t="s">
        <v>82</v>
      </c>
    </row>
    <row r="66" spans="11:12" ht="18.600000000000001" customHeight="1" x14ac:dyDescent="0.2">
      <c r="K66" s="74" t="s">
        <v>153</v>
      </c>
      <c r="L66" s="75" t="s">
        <v>153</v>
      </c>
    </row>
    <row r="67" spans="11:12" ht="18.600000000000001" customHeight="1" x14ac:dyDescent="0.2">
      <c r="K67" s="17" t="s">
        <v>150</v>
      </c>
      <c r="L67" s="19" t="s">
        <v>26</v>
      </c>
    </row>
    <row r="68" spans="11:12" ht="18.600000000000001" customHeight="1" x14ac:dyDescent="0.2">
      <c r="K68" s="17" t="s">
        <v>148</v>
      </c>
      <c r="L68" s="19" t="s">
        <v>197</v>
      </c>
    </row>
    <row r="69" spans="11:12" ht="18.600000000000001" customHeight="1" x14ac:dyDescent="0.2">
      <c r="K69" s="74"/>
      <c r="L69" s="75" t="s">
        <v>198</v>
      </c>
    </row>
    <row r="70" spans="11:12" ht="18.600000000000001" customHeight="1" x14ac:dyDescent="0.2">
      <c r="K70" s="74"/>
      <c r="L70" s="76" t="s">
        <v>154</v>
      </c>
    </row>
    <row r="71" spans="11:12" ht="18.600000000000001" customHeight="1" x14ac:dyDescent="0.2">
      <c r="K71" s="74"/>
      <c r="L71" s="23" t="s">
        <v>65</v>
      </c>
    </row>
    <row r="72" spans="11:12" ht="18.600000000000001" customHeight="1" x14ac:dyDescent="0.2">
      <c r="K72" s="74"/>
      <c r="L72" s="75" t="s">
        <v>30</v>
      </c>
    </row>
    <row r="73" spans="11:12" ht="18.600000000000001" customHeight="1" x14ac:dyDescent="0.2">
      <c r="K73" s="74" t="s">
        <v>32</v>
      </c>
      <c r="L73" s="74" t="s">
        <v>32</v>
      </c>
    </row>
  </sheetData>
  <dataValidations count="1">
    <dataValidation type="list" allowBlank="1" showInputMessage="1" showErrorMessage="1" sqref="L9 L40:L43 L46:L59 L2:L6 L11:L37" xr:uid="{1AFA2636-504F-494E-B99C-7D16B14FAFA3}">
      <formula1>$D$2:$D$53</formula1>
    </dataValidation>
  </dataValidations>
  <pageMargins left="0.511811024" right="0.511811024" top="0.78740157499999996" bottom="0.78740157499999996" header="0.31496062000000002" footer="0.31496062000000002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8EDB8-B0C9-4DF5-8EB1-1E8EC4CF5357}">
  <dimension ref="A1:AP1024"/>
  <sheetViews>
    <sheetView showGridLines="0" tabSelected="1" topLeftCell="O1" zoomScale="85" zoomScaleNormal="85" workbookViewId="0">
      <pane ySplit="3" topLeftCell="A1016" activePane="bottomLeft" state="frozen"/>
      <selection activeCell="E1" sqref="E1"/>
      <selection pane="bottomLeft" activeCell="Y1018" sqref="Y1018"/>
    </sheetView>
  </sheetViews>
  <sheetFormatPr defaultRowHeight="50.1" customHeight="1" outlineLevelCol="2" x14ac:dyDescent="0.25"/>
  <cols>
    <col min="2" max="2" width="14.140625" style="44" customWidth="1" outlineLevel="1"/>
    <col min="3" max="3" width="10.85546875" style="44" customWidth="1" outlineLevel="1"/>
    <col min="4" max="4" width="12.140625" style="44" customWidth="1" outlineLevel="1"/>
    <col min="5" max="5" width="13.85546875" style="44" customWidth="1" outlineLevel="1"/>
    <col min="6" max="6" width="13.140625" style="44" customWidth="1" outlineLevel="1"/>
    <col min="7" max="7" width="13.140625" style="45" customWidth="1" outlineLevel="1"/>
    <col min="8" max="8" width="25" style="45" customWidth="1" outlineLevel="1"/>
    <col min="9" max="9" width="13.140625" style="45" bestFit="1" customWidth="1"/>
    <col min="10" max="10" width="14.5703125" style="45" bestFit="1" customWidth="1"/>
    <col min="11" max="11" width="16.42578125" style="45" bestFit="1" customWidth="1"/>
    <col min="12" max="13" width="10.140625" style="44" customWidth="1"/>
    <col min="14" max="14" width="9" style="6" customWidth="1"/>
    <col min="15" max="15" width="14.140625" style="6" customWidth="1"/>
    <col min="16" max="16" width="22.5703125" style="6" customWidth="1"/>
    <col min="17" max="17" width="13" style="6" customWidth="1"/>
    <col min="18" max="18" width="11.85546875" style="6" bestFit="1" customWidth="1"/>
    <col min="19" max="19" width="9.85546875" style="6" customWidth="1" outlineLevel="1"/>
    <col min="20" max="20" width="9.85546875" style="55" customWidth="1" outlineLevel="1"/>
    <col min="21" max="24" width="9.85546875" style="6" customWidth="1" outlineLevel="1"/>
    <col min="25" max="26" width="19.85546875" style="49" customWidth="1"/>
    <col min="27" max="27" width="16.28515625" style="49" bestFit="1" customWidth="1"/>
    <col min="28" max="28" width="15.140625" style="49" customWidth="1" outlineLevel="1"/>
    <col min="29" max="29" width="12.140625" style="49" customWidth="1" outlineLevel="1"/>
    <col min="30" max="30" width="25" style="49" customWidth="1"/>
    <col min="31" max="31" width="20.85546875" style="49" customWidth="1"/>
    <col min="32" max="32" width="9" style="49" customWidth="1" outlineLevel="2"/>
    <col min="33" max="33" width="7.85546875" style="99" customWidth="1" outlineLevel="2"/>
    <col min="34" max="34" width="59.42578125" style="59" customWidth="1"/>
    <col min="35" max="35" width="18.140625" style="49" bestFit="1" customWidth="1"/>
    <col min="36" max="36" width="20" style="49" customWidth="1"/>
    <col min="37" max="37" width="20.140625" style="49" customWidth="1"/>
    <col min="38" max="38" width="20.42578125" style="49" bestFit="1" customWidth="1"/>
    <col min="39" max="39" width="18.140625" style="49" bestFit="1" customWidth="1"/>
    <col min="40" max="40" width="13.5703125" customWidth="1" outlineLevel="1"/>
    <col min="41" max="41" width="19" customWidth="1" outlineLevel="1"/>
    <col min="42" max="42" width="14.42578125" customWidth="1" outlineLevel="1"/>
    <col min="43" max="43" width="8.85546875"/>
  </cols>
  <sheetData>
    <row r="1" spans="1:42" ht="0.95" customHeight="1" x14ac:dyDescent="0.25">
      <c r="B1" s="6"/>
      <c r="C1" s="6"/>
      <c r="D1" s="6"/>
      <c r="E1" s="6"/>
      <c r="F1" s="6"/>
      <c r="G1" s="38"/>
      <c r="H1" s="38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52"/>
      <c r="U1" s="37"/>
      <c r="V1" s="37"/>
      <c r="W1" s="37"/>
      <c r="X1" s="37"/>
      <c r="Y1" s="2"/>
      <c r="Z1" s="3"/>
      <c r="AA1" s="4"/>
      <c r="AB1" s="1"/>
      <c r="AC1" s="1"/>
      <c r="AD1" s="1"/>
      <c r="AE1" s="5"/>
      <c r="AF1" s="1"/>
      <c r="AG1" s="97"/>
      <c r="AH1" s="57"/>
      <c r="AI1" s="4"/>
      <c r="AJ1" s="1"/>
      <c r="AK1" s="1"/>
      <c r="AL1" s="1"/>
      <c r="AM1" s="1"/>
    </row>
    <row r="2" spans="1:42" s="6" customFormat="1" ht="50.1" customHeight="1" x14ac:dyDescent="0.25">
      <c r="B2" s="155" t="s">
        <v>107</v>
      </c>
      <c r="C2" s="156"/>
      <c r="D2" s="156"/>
      <c r="E2" s="157"/>
      <c r="F2" s="158" t="s">
        <v>124</v>
      </c>
      <c r="G2" s="158"/>
      <c r="H2" s="40"/>
      <c r="I2" s="152" t="s">
        <v>0</v>
      </c>
      <c r="J2" s="152"/>
      <c r="K2" s="152"/>
      <c r="L2" s="152"/>
      <c r="M2" s="152"/>
      <c r="N2" s="153" t="s">
        <v>92</v>
      </c>
      <c r="O2" s="153"/>
      <c r="P2" s="153"/>
      <c r="Q2" s="153"/>
      <c r="R2" s="153"/>
      <c r="S2" s="154" t="s">
        <v>109</v>
      </c>
      <c r="T2" s="154"/>
      <c r="U2" s="154"/>
      <c r="V2" s="154"/>
      <c r="W2" s="159" t="s">
        <v>115</v>
      </c>
      <c r="X2" s="159"/>
      <c r="Y2" s="151" t="s">
        <v>1</v>
      </c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</row>
    <row r="3" spans="1:42" s="31" customFormat="1" ht="50.1" customHeight="1" x14ac:dyDescent="0.25">
      <c r="A3" s="102" t="s">
        <v>206</v>
      </c>
      <c r="B3" s="28" t="s">
        <v>94</v>
      </c>
      <c r="C3" s="32" t="s">
        <v>111</v>
      </c>
      <c r="D3" s="28" t="s">
        <v>20</v>
      </c>
      <c r="E3" s="32" t="s">
        <v>112</v>
      </c>
      <c r="F3" s="28" t="s">
        <v>95</v>
      </c>
      <c r="G3" s="32" t="s">
        <v>114</v>
      </c>
      <c r="H3" s="41" t="s">
        <v>125</v>
      </c>
      <c r="I3" s="39" t="s">
        <v>93</v>
      </c>
      <c r="J3" s="39" t="s">
        <v>2</v>
      </c>
      <c r="K3" s="39" t="s">
        <v>3</v>
      </c>
      <c r="L3" s="39" t="s">
        <v>121</v>
      </c>
      <c r="M3" s="80" t="s">
        <v>119</v>
      </c>
      <c r="N3" s="29" t="s">
        <v>106</v>
      </c>
      <c r="O3" s="29" t="s">
        <v>118</v>
      </c>
      <c r="P3" s="29" t="s">
        <v>117</v>
      </c>
      <c r="Q3" s="29" t="s">
        <v>4</v>
      </c>
      <c r="R3" s="30" t="s">
        <v>116</v>
      </c>
      <c r="S3" s="36" t="s">
        <v>110</v>
      </c>
      <c r="T3" s="53" t="s">
        <v>103</v>
      </c>
      <c r="U3" s="36" t="s">
        <v>108</v>
      </c>
      <c r="V3" s="36" t="s">
        <v>105</v>
      </c>
      <c r="W3" s="36" t="s">
        <v>113</v>
      </c>
      <c r="X3" s="36" t="s">
        <v>126</v>
      </c>
      <c r="Y3" s="33" t="s">
        <v>6</v>
      </c>
      <c r="Z3" s="33" t="s">
        <v>7</v>
      </c>
      <c r="AA3" s="34" t="s">
        <v>8</v>
      </c>
      <c r="AB3" s="35" t="s">
        <v>9</v>
      </c>
      <c r="AC3" s="35" t="s">
        <v>10</v>
      </c>
      <c r="AD3" s="33" t="s">
        <v>11</v>
      </c>
      <c r="AE3" s="33" t="s">
        <v>12</v>
      </c>
      <c r="AF3" s="35" t="s">
        <v>13</v>
      </c>
      <c r="AG3" s="98" t="s">
        <v>203</v>
      </c>
      <c r="AH3" s="33" t="s">
        <v>14</v>
      </c>
      <c r="AI3" s="33" t="s">
        <v>15</v>
      </c>
      <c r="AJ3" s="33" t="s">
        <v>16</v>
      </c>
      <c r="AK3" s="33" t="s">
        <v>17</v>
      </c>
      <c r="AL3" s="33" t="s">
        <v>18</v>
      </c>
      <c r="AM3" s="33" t="s">
        <v>19</v>
      </c>
      <c r="AN3" s="106" t="s">
        <v>219</v>
      </c>
      <c r="AO3" s="106" t="s">
        <v>220</v>
      </c>
      <c r="AP3" s="106" t="s">
        <v>221</v>
      </c>
    </row>
    <row r="4" spans="1:42" ht="50.1" customHeight="1" x14ac:dyDescent="0.25">
      <c r="A4" s="43">
        <f>MONTH(TAB_HISTORICO_MANUT[[#This Row],[Hora Final]])-MONTH(TAB_HISTORICO_MANUT[[#This Row],[Hora Inicio]])</f>
        <v>0</v>
      </c>
      <c r="B4" s="42"/>
      <c r="C4" s="43"/>
      <c r="D4" s="42"/>
      <c r="E4" s="42"/>
      <c r="F4" s="42"/>
      <c r="G4" s="42"/>
      <c r="H4" s="42"/>
      <c r="I4" s="42"/>
      <c r="J4" s="42"/>
      <c r="K4" s="42"/>
      <c r="L4" s="42">
        <v>0</v>
      </c>
      <c r="M4" s="42"/>
      <c r="N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Inicio]]=#REF!,TAB_HISTORICO_MANUT[[#This Row],[Equipamento]]=#REF!,TAB_HISTORICO_MANUT[[#This Row],[Descricao Despacho]]=#REF!),0,1)))</f>
        <v>0</v>
      </c>
      <c r="O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4" s="50" t="str">
        <f>IF(TAB_HISTORICO_MANUT[[#This Row],[CONT. OCOR.]]="","",IF(TAB_HISTORICO_MANUT[[#This Row],[Ajuste - Cod. Despacho]]="",TAB_HISTORICO_MANUT[[#This Row],[Descricao Despacho]],TAB_HISTORICO_MANUT[[#This Row],[Ajuste - Cod. Despacho]]))</f>
        <v>HAC - Hora Acidente</v>
      </c>
      <c r="Q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Acidente operacional</v>
      </c>
      <c r="R4" s="50">
        <f>IF($Q4="","",(TAB_HISTORICO_MANUT[[#This Row],[Hora Final]]-TAB_HISTORICO_MANUT[[#This Row],[Hora Inicio]])*24)</f>
        <v>37.801388888969086</v>
      </c>
      <c r="S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4" s="54" t="str">
        <f>IF(AND(TAB_HISTORICO_MANUT[[#This Row],[EXPURGO Mãe]]="SIM",TAB_HISTORICO_MANUT[[#This Row],[Tipo]]="MÃE"),"EXP.MAE",IF(TAB_HISTORICO_MANUT[[#This Row],[EXPURGO Mãe]]="NÃO","NÃO EXP.MAE",#REF!))</f>
        <v>EXP.MAE</v>
      </c>
      <c r="U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" s="56">
        <f>IF(TAB_HISTORICO_MANUT[[#This Row],[EXPURGO Filhas]]="SIM",MAX(TAB_HISTORICO_MANUT[[#This Row],[Hora Final]]-TAB_HISTORICO_MANUT[[#This Row],[Hora Inicio]],0),0)</f>
        <v>0</v>
      </c>
      <c r="W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" s="111">
        <v>46023</v>
      </c>
      <c r="Z4" s="47">
        <v>46024.575057870374</v>
      </c>
      <c r="AA4" s="48" t="s">
        <v>209</v>
      </c>
      <c r="AB4" s="48"/>
      <c r="AC4" s="43" t="s">
        <v>243</v>
      </c>
      <c r="AD4" s="46" t="s">
        <v>147</v>
      </c>
      <c r="AE4" s="46" t="s">
        <v>244</v>
      </c>
      <c r="AF4" s="88" t="s">
        <v>210</v>
      </c>
      <c r="AG4" s="105">
        <f>IF(TAB_HISTORICO_MANUT[[#This Row],[Hora Inicio]]="","",MONTH(TAB_HISTORICO_MANUT[[#This Row],[Hora Inicio]]))</f>
        <v>1</v>
      </c>
      <c r="AH4" s="58" t="s">
        <v>245</v>
      </c>
      <c r="AI4" s="43" t="s">
        <v>28</v>
      </c>
      <c r="AJ4" s="43" t="s">
        <v>237</v>
      </c>
      <c r="AK4" s="43" t="s">
        <v>246</v>
      </c>
      <c r="AL4" s="43" t="s">
        <v>70</v>
      </c>
      <c r="AM4" s="114" t="s">
        <v>238</v>
      </c>
      <c r="AN4" s="43"/>
      <c r="AO4" s="43"/>
      <c r="AP4" s="43"/>
    </row>
    <row r="5" spans="1:42" ht="50.1" customHeight="1" x14ac:dyDescent="0.25">
      <c r="A5" s="43">
        <f>MONTH(TAB_HISTORICO_MANUT[[#This Row],[Hora Final]])-MONTH(TAB_HISTORICO_MANUT[[#This Row],[Hora Inicio]])</f>
        <v>0</v>
      </c>
      <c r="B5" s="42"/>
      <c r="C5" s="43"/>
      <c r="D5" s="42"/>
      <c r="E5" s="42"/>
      <c r="F5" s="42"/>
      <c r="G5" s="42"/>
      <c r="H5" s="42"/>
      <c r="I5" s="42"/>
      <c r="J5" s="42"/>
      <c r="K5" s="42"/>
      <c r="L5" s="42"/>
      <c r="M5" s="42"/>
      <c r="N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Inicio]]=Z4,TAB_HISTORICO_MANUT[[#This Row],[Equipamento]]=AA4,TAB_HISTORICO_MANUT[[#This Row],[Descricao Despacho]]=AD4),0,1)))</f>
        <v>1</v>
      </c>
      <c r="O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5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5" s="50">
        <f>IF($Q5="","",(TAB_HISTORICO_MANUT[[#This Row],[Hora Final]]-TAB_HISTORICO_MANUT[[#This Row],[Hora Inicio]])*24)</f>
        <v>1.1855555553920567</v>
      </c>
      <c r="S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" s="54" t="str">
        <f>IF(AND(TAB_HISTORICO_MANUT[[#This Row],[EXPURGO Mãe]]="SIM",TAB_HISTORICO_MANUT[[#This Row],[Tipo]]="MÃE"),"EXP.MAE",IF(TAB_HISTORICO_MANUT[[#This Row],[EXPURGO Mãe]]="NÃO","NÃO EXP.MAE",T4))</f>
        <v>NÃO EXP.MAE</v>
      </c>
      <c r="U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" s="56">
        <f>IF(TAB_HISTORICO_MANUT[[#This Row],[EXPURGO Filhas]]="SIM",MAX(TAB_HISTORICO_MANUT[[#This Row],[Hora Final]]-TAB_HISTORICO_MANUT[[#This Row],[Hora Inicio]],0),0)</f>
        <v>0</v>
      </c>
      <c r="W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" s="46">
        <v>46025.391574074078</v>
      </c>
      <c r="Z5" s="47">
        <v>46025.440972222219</v>
      </c>
      <c r="AA5" s="48" t="s">
        <v>209</v>
      </c>
      <c r="AB5" s="48"/>
      <c r="AC5" s="43" t="s">
        <v>205</v>
      </c>
      <c r="AD5" s="46" t="s">
        <v>145</v>
      </c>
      <c r="AE5" s="46" t="s">
        <v>173</v>
      </c>
      <c r="AF5" s="88" t="s">
        <v>210</v>
      </c>
      <c r="AG5" s="105">
        <f>IF(TAB_HISTORICO_MANUT[[#This Row],[Hora Inicio]]="","",MONTH(TAB_HISTORICO_MANUT[[#This Row],[Hora Inicio]]))</f>
        <v>1</v>
      </c>
      <c r="AH5" s="58"/>
      <c r="AI5" s="43" t="s">
        <v>21</v>
      </c>
      <c r="AJ5" s="43"/>
      <c r="AK5" s="43"/>
      <c r="AL5" s="43"/>
      <c r="AM5" s="114"/>
      <c r="AN5" s="43"/>
      <c r="AO5" s="43"/>
      <c r="AP5" s="43"/>
    </row>
    <row r="6" spans="1:42" ht="50.1" customHeight="1" x14ac:dyDescent="0.25">
      <c r="A6" s="43">
        <f>MONTH(TAB_HISTORICO_MANUT[[#This Row],[Hora Final]])-MONTH(TAB_HISTORICO_MANUT[[#This Row],[Hora Inicio]])</f>
        <v>0</v>
      </c>
      <c r="B6" s="42"/>
      <c r="C6" s="43"/>
      <c r="D6" s="42"/>
      <c r="E6" s="42"/>
      <c r="F6" s="42"/>
      <c r="G6" s="42"/>
      <c r="H6" s="42"/>
      <c r="I6" s="42"/>
      <c r="J6" s="42"/>
      <c r="K6" s="42"/>
      <c r="L6" s="42"/>
      <c r="M6" s="42" t="s">
        <v>98</v>
      </c>
      <c r="N6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Inicio]]=Z5,TAB_HISTORICO_MANUT[[#This Row],[Equipamento]]=AA5,TAB_HISTORICO_MANUT[[#This Row],[Descricao Despacho]]=AD5),0,1)))</f>
        <v/>
      </c>
      <c r="O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6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6" s="50" t="str">
        <f>IF($Q6="","",(TAB_HISTORICO_MANUT[[#This Row],[Hora Final]]-TAB_HISTORICO_MANUT[[#This Row],[Hora Inicio]])*24)</f>
        <v/>
      </c>
      <c r="S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6" s="54" t="str">
        <f>IF(AND(TAB_HISTORICO_MANUT[[#This Row],[EXPURGO Mãe]]="SIM",TAB_HISTORICO_MANUT[[#This Row],[Tipo]]="MÃE"),"EXP.MAE",IF(TAB_HISTORICO_MANUT[[#This Row],[EXPURGO Mãe]]="NÃO","NÃO EXP.MAE",T5))</f>
        <v>NÃO EXP.MAE</v>
      </c>
      <c r="U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6" s="56">
        <f>IF(TAB_HISTORICO_MANUT[[#This Row],[EXPURGO Filhas]]="SIM",MAX(TAB_HISTORICO_MANUT[[#This Row],[Hora Final]]-TAB_HISTORICO_MANUT[[#This Row],[Hora Inicio]],0),0)</f>
        <v>3.9666712960752193E-2</v>
      </c>
      <c r="W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" s="46">
        <v>46025.401305509258</v>
      </c>
      <c r="Z6" s="47">
        <v>46025.440972222219</v>
      </c>
      <c r="AA6" s="48" t="s">
        <v>209</v>
      </c>
      <c r="AB6" s="48"/>
      <c r="AC6" s="43" t="s">
        <v>205</v>
      </c>
      <c r="AD6" s="46" t="s">
        <v>145</v>
      </c>
      <c r="AE6" s="46" t="s">
        <v>173</v>
      </c>
      <c r="AF6" s="88" t="s">
        <v>767</v>
      </c>
      <c r="AG6" s="105">
        <f>IF(TAB_HISTORICO_MANUT[[#This Row],[Hora Inicio]]="","",MONTH(TAB_HISTORICO_MANUT[[#This Row],[Hora Inicio]]))</f>
        <v>1</v>
      </c>
      <c r="AH6" s="58"/>
      <c r="AI6" s="43" t="s">
        <v>21</v>
      </c>
      <c r="AJ6" s="43"/>
      <c r="AK6" s="43"/>
      <c r="AL6" s="43"/>
      <c r="AM6" s="114"/>
      <c r="AN6" s="43"/>
      <c r="AO6" s="43"/>
      <c r="AP6" s="43"/>
    </row>
    <row r="7" spans="1:42" ht="50.1" customHeight="1" x14ac:dyDescent="0.25">
      <c r="A7" s="115">
        <f>MONTH(TAB_HISTORICO_MANUT[[#This Row],[Hora Final]])-MONTH(TAB_HISTORICO_MANUT[[#This Row],[Hora Inicio]])</f>
        <v>0</v>
      </c>
      <c r="B7" s="116"/>
      <c r="C7" s="115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Inicio]]=Z6,TAB_HISTORICO_MANUT[[#This Row],[Equipamento]]=AA6,TAB_HISTORICO_MANUT[[#This Row],[Descricao Despacho]]=AD6),0,1)))</f>
        <v>1</v>
      </c>
      <c r="O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7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" s="50">
        <f>IF($Q7="","",(TAB_HISTORICO_MANUT[[#This Row],[Hora Final]]-TAB_HISTORICO_MANUT[[#This Row],[Hora Inicio]])*24)</f>
        <v>4.3983333333162591</v>
      </c>
      <c r="S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" s="54" t="str">
        <f>IF(AND(TAB_HISTORICO_MANUT[[#This Row],[EXPURGO Mãe]]="SIM",TAB_HISTORICO_MANUT[[#This Row],[Tipo]]="MÃE"),"EXP.MAE",IF(TAB_HISTORICO_MANUT[[#This Row],[EXPURGO Mãe]]="NÃO","NÃO EXP.MAE",T6))</f>
        <v>NÃO EXP.MAE</v>
      </c>
      <c r="U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" s="56">
        <f>IF(TAB_HISTORICO_MANUT[[#This Row],[EXPURGO Filhas]]="SIM",MAX(TAB_HISTORICO_MANUT[[#This Row],[Hora Final]]-TAB_HISTORICO_MANUT[[#This Row],[Hora Inicio]],0),0)</f>
        <v>0</v>
      </c>
      <c r="W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" s="117">
        <v>46025.486111111109</v>
      </c>
      <c r="Z7" s="118">
        <v>46025.669374999998</v>
      </c>
      <c r="AA7" s="119" t="s">
        <v>209</v>
      </c>
      <c r="AB7" s="119" t="s">
        <v>240</v>
      </c>
      <c r="AC7" s="115" t="s">
        <v>204</v>
      </c>
      <c r="AD7" s="117" t="s">
        <v>144</v>
      </c>
      <c r="AE7" s="117" t="s">
        <v>172</v>
      </c>
      <c r="AF7" s="88" t="s">
        <v>210</v>
      </c>
      <c r="AG7" s="105">
        <f>IF(TAB_HISTORICO_MANUT[[#This Row],[Hora Inicio]]="","",MONTH(TAB_HISTORICO_MANUT[[#This Row],[Hora Inicio]]))</f>
        <v>1</v>
      </c>
      <c r="AH7" s="120" t="s">
        <v>265</v>
      </c>
      <c r="AI7" s="115" t="s">
        <v>22</v>
      </c>
      <c r="AJ7" s="115" t="s">
        <v>46</v>
      </c>
      <c r="AK7" s="115" t="s">
        <v>287</v>
      </c>
      <c r="AL7" s="115" t="s">
        <v>275</v>
      </c>
      <c r="AM7" s="121" t="s">
        <v>276</v>
      </c>
      <c r="AN7" s="115" t="s">
        <v>215</v>
      </c>
      <c r="AO7" s="115" t="s">
        <v>254</v>
      </c>
      <c r="AP7" s="115" t="s">
        <v>255</v>
      </c>
    </row>
    <row r="8" spans="1:42" ht="50.1" customHeight="1" x14ac:dyDescent="0.25">
      <c r="A8" s="115">
        <f>MONTH(TAB_HISTORICO_MANUT[[#This Row],[Hora Final]])-MONTH(TAB_HISTORICO_MANUT[[#This Row],[Hora Inicio]])</f>
        <v>0</v>
      </c>
      <c r="B8" s="116"/>
      <c r="C8" s="115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Inicio]]=Z7,TAB_HISTORICO_MANUT[[#This Row],[Equipamento]]=AA7,TAB_HISTORICO_MANUT[[#This Row],[Descricao Despacho]]=AD7),0,1)))</f>
        <v>1</v>
      </c>
      <c r="O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8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8" s="50">
        <f>IF($Q8="","",(TAB_HISTORICO_MANUT[[#This Row],[Hora Final]]-TAB_HISTORICO_MANUT[[#This Row],[Hora Inicio]])*24)</f>
        <v>1.4047222223016433</v>
      </c>
      <c r="S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" s="54" t="str">
        <f>IF(AND(TAB_HISTORICO_MANUT[[#This Row],[EXPURGO Mãe]]="SIM",TAB_HISTORICO_MANUT[[#This Row],[Tipo]]="MÃE"),"EXP.MAE",IF(TAB_HISTORICO_MANUT[[#This Row],[EXPURGO Mãe]]="NÃO","NÃO EXP.MAE",T7))</f>
        <v>NÃO EXP.MAE</v>
      </c>
      <c r="U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" s="56">
        <f>IF(TAB_HISTORICO_MANUT[[#This Row],[EXPURGO Filhas]]="SIM",MAX(TAB_HISTORICO_MANUT[[#This Row],[Hora Final]]-TAB_HISTORICO_MANUT[[#This Row],[Hora Inicio]],0),0)</f>
        <v>0</v>
      </c>
      <c r="W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" s="117">
        <v>46026.856944444444</v>
      </c>
      <c r="Z8" s="118">
        <v>46026.91547453704</v>
      </c>
      <c r="AA8" s="119" t="s">
        <v>209</v>
      </c>
      <c r="AB8" s="119" t="s">
        <v>247</v>
      </c>
      <c r="AC8" s="115" t="s">
        <v>211</v>
      </c>
      <c r="AD8" s="117" t="s">
        <v>144</v>
      </c>
      <c r="AE8" s="117" t="s">
        <v>213</v>
      </c>
      <c r="AF8" s="88" t="s">
        <v>210</v>
      </c>
      <c r="AG8" s="105">
        <f>IF(TAB_HISTORICO_MANUT[[#This Row],[Hora Inicio]]="","",MONTH(TAB_HISTORICO_MANUT[[#This Row],[Hora Inicio]]))</f>
        <v>1</v>
      </c>
      <c r="AH8" s="120" t="s">
        <v>268</v>
      </c>
      <c r="AI8" s="115" t="s">
        <v>21</v>
      </c>
      <c r="AJ8" s="115" t="s">
        <v>293</v>
      </c>
      <c r="AK8" s="115" t="s">
        <v>291</v>
      </c>
      <c r="AL8" s="115" t="s">
        <v>292</v>
      </c>
      <c r="AM8" s="121" t="s">
        <v>294</v>
      </c>
      <c r="AN8" s="115" t="s">
        <v>229</v>
      </c>
      <c r="AO8" s="115" t="s">
        <v>256</v>
      </c>
      <c r="AP8" s="115" t="s">
        <v>242</v>
      </c>
    </row>
    <row r="9" spans="1:42" ht="50.1" customHeight="1" x14ac:dyDescent="0.25">
      <c r="A9" s="43">
        <f>MONTH(TAB_HISTORICO_MANUT[[#This Row],[Hora Final]])-MONTH(TAB_HISTORICO_MANUT[[#This Row],[Hora Inicio]])</f>
        <v>0</v>
      </c>
      <c r="B9" s="42"/>
      <c r="C9" s="43"/>
      <c r="D9" s="42"/>
      <c r="E9" s="42"/>
      <c r="F9" s="42"/>
      <c r="G9" s="42"/>
      <c r="H9" s="42"/>
      <c r="I9" s="42"/>
      <c r="J9" s="42"/>
      <c r="K9" s="42"/>
      <c r="L9" s="42"/>
      <c r="M9" s="42" t="s">
        <v>98</v>
      </c>
      <c r="N9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Inicio]]=Z8,TAB_HISTORICO_MANUT[[#This Row],[Equipamento]]=AA8,TAB_HISTORICO_MANUT[[#This Row],[Descricao Despacho]]=AD8),0,1)))</f>
        <v/>
      </c>
      <c r="O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9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9" s="50" t="str">
        <f>IF($Q9="","",(TAB_HISTORICO_MANUT[[#This Row],[Hora Final]]-TAB_HISTORICO_MANUT[[#This Row],[Hora Inicio]])*24)</f>
        <v/>
      </c>
      <c r="S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9" s="54" t="str">
        <f>IF(AND(TAB_HISTORICO_MANUT[[#This Row],[EXPURGO Mãe]]="SIM",TAB_HISTORICO_MANUT[[#This Row],[Tipo]]="MÃE"),"EXP.MAE",IF(TAB_HISTORICO_MANUT[[#This Row],[EXPURGO Mãe]]="NÃO","NÃO EXP.MAE",T8))</f>
        <v>NÃO EXP.MAE</v>
      </c>
      <c r="U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9" s="56">
        <f>IF(TAB_HISTORICO_MANUT[[#This Row],[EXPURGO Filhas]]="SIM",MAX(TAB_HISTORICO_MANUT[[#This Row],[Hora Final]]-TAB_HISTORICO_MANUT[[#This Row],[Hora Inicio]],0),0)</f>
        <v>4.6999664351460524E-2</v>
      </c>
      <c r="W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" s="46">
        <v>46026.868474872688</v>
      </c>
      <c r="Z9" s="47">
        <v>46026.91547453704</v>
      </c>
      <c r="AA9" s="48" t="s">
        <v>209</v>
      </c>
      <c r="AB9" s="48" t="s">
        <v>247</v>
      </c>
      <c r="AC9" s="43" t="s">
        <v>211</v>
      </c>
      <c r="AD9" s="46" t="s">
        <v>144</v>
      </c>
      <c r="AE9" s="46" t="s">
        <v>213</v>
      </c>
      <c r="AF9" s="88" t="s">
        <v>767</v>
      </c>
      <c r="AG9" s="105">
        <f>IF(TAB_HISTORICO_MANUT[[#This Row],[Hora Inicio]]="","",MONTH(TAB_HISTORICO_MANUT[[#This Row],[Hora Inicio]]))</f>
        <v>1</v>
      </c>
      <c r="AH9" s="58" t="s">
        <v>268</v>
      </c>
      <c r="AI9" s="43" t="s">
        <v>21</v>
      </c>
      <c r="AJ9" s="43" t="s">
        <v>293</v>
      </c>
      <c r="AK9" s="43" t="s">
        <v>291</v>
      </c>
      <c r="AL9" s="43" t="s">
        <v>292</v>
      </c>
      <c r="AM9" s="114" t="s">
        <v>294</v>
      </c>
      <c r="AN9" s="43" t="s">
        <v>229</v>
      </c>
      <c r="AO9" s="43" t="s">
        <v>256</v>
      </c>
      <c r="AP9" s="43" t="s">
        <v>242</v>
      </c>
    </row>
    <row r="10" spans="1:42" ht="50.1" customHeight="1" x14ac:dyDescent="0.25">
      <c r="A10" s="43">
        <f>MONTH(TAB_HISTORICO_MANUT[[#This Row],[Hora Final]])-MONTH(TAB_HISTORICO_MANUT[[#This Row],[Hora Inicio]])</f>
        <v>0</v>
      </c>
      <c r="B10" s="42"/>
      <c r="C10" s="43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Inicio]]=Z9,TAB_HISTORICO_MANUT[[#This Row],[Equipamento]]=AA9,TAB_HISTORICO_MANUT[[#This Row],[Descricao Despacho]]=AD9),0,1)))</f>
        <v>1</v>
      </c>
      <c r="O1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DE FREIO</v>
      </c>
      <c r="P10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0" s="50">
        <f>IF($Q10="","",(TAB_HISTORICO_MANUT[[#This Row],[Hora Final]]-TAB_HISTORICO_MANUT[[#This Row],[Hora Inicio]])*24)</f>
        <v>6.154444444400724</v>
      </c>
      <c r="S1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0" s="54" t="str">
        <f>IF(AND(TAB_HISTORICO_MANUT[[#This Row],[EXPURGO Mãe]]="SIM",TAB_HISTORICO_MANUT[[#This Row],[Tipo]]="MÃE"),"EXP.MAE",IF(TAB_HISTORICO_MANUT[[#This Row],[EXPURGO Mãe]]="NÃO","NÃO EXP.MAE",T9))</f>
        <v>NÃO EXP.MAE</v>
      </c>
      <c r="U1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" s="56">
        <f>IF(TAB_HISTORICO_MANUT[[#This Row],[EXPURGO Filhas]]="SIM",MAX(TAB_HISTORICO_MANUT[[#This Row],[Hora Final]]-TAB_HISTORICO_MANUT[[#This Row],[Hora Inicio]],0),0)</f>
        <v>0</v>
      </c>
      <c r="W1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" s="46">
        <v>46027.3434375</v>
      </c>
      <c r="Z10" s="47">
        <v>46027.599872685183</v>
      </c>
      <c r="AA10" s="48" t="s">
        <v>209</v>
      </c>
      <c r="AB10" s="48" t="s">
        <v>248</v>
      </c>
      <c r="AC10" s="43" t="s">
        <v>204</v>
      </c>
      <c r="AD10" s="46" t="s">
        <v>144</v>
      </c>
      <c r="AE10" s="46" t="s">
        <v>172</v>
      </c>
      <c r="AF10" s="88" t="s">
        <v>210</v>
      </c>
      <c r="AG10" s="105">
        <f>IF(TAB_HISTORICO_MANUT[[#This Row],[Hora Inicio]]="","",MONTH(TAB_HISTORICO_MANUT[[#This Row],[Hora Inicio]]))</f>
        <v>1</v>
      </c>
      <c r="AH10" s="58" t="s">
        <v>269</v>
      </c>
      <c r="AI10" s="43" t="s">
        <v>46</v>
      </c>
      <c r="AJ10" s="43" t="s">
        <v>295</v>
      </c>
      <c r="AK10" s="43" t="s">
        <v>296</v>
      </c>
      <c r="AL10" s="43" t="s">
        <v>297</v>
      </c>
      <c r="AM10" s="114" t="s">
        <v>276</v>
      </c>
      <c r="AN10" s="43" t="s">
        <v>217</v>
      </c>
      <c r="AO10" s="43" t="s">
        <v>257</v>
      </c>
      <c r="AP10" s="43" t="s">
        <v>258</v>
      </c>
    </row>
    <row r="11" spans="1:42" ht="50.1" customHeight="1" x14ac:dyDescent="0.25">
      <c r="A11" s="43">
        <f>MONTH(TAB_HISTORICO_MANUT[[#This Row],[Hora Final]])-MONTH(TAB_HISTORICO_MANUT[[#This Row],[Hora Inicio]])</f>
        <v>0</v>
      </c>
      <c r="B11" s="42"/>
      <c r="C11" s="43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Inicio]]=Z10,TAB_HISTORICO_MANUT[[#This Row],[Equipamento]]=AA10,TAB_HISTORICO_MANUT[[#This Row],[Descricao Despacho]]=AD10),0,1)))</f>
        <v>1</v>
      </c>
      <c r="O1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AR CONDICIONADO</v>
      </c>
      <c r="P11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1" s="50">
        <f>IF($Q11="","",(TAB_HISTORICO_MANUT[[#This Row],[Hora Final]]-TAB_HISTORICO_MANUT[[#This Row],[Hora Inicio]])*24)</f>
        <v>9.1774999999324791</v>
      </c>
      <c r="S1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1" s="54" t="str">
        <f>IF(AND(TAB_HISTORICO_MANUT[[#This Row],[EXPURGO Mãe]]="SIM",TAB_HISTORICO_MANUT[[#This Row],[Tipo]]="MÃE"),"EXP.MAE",IF(TAB_HISTORICO_MANUT[[#This Row],[EXPURGO Mãe]]="NÃO","NÃO EXP.MAE",T10))</f>
        <v>NÃO EXP.MAE</v>
      </c>
      <c r="U1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1" s="56">
        <f>IF(TAB_HISTORICO_MANUT[[#This Row],[EXPURGO Filhas]]="SIM",MAX(TAB_HISTORICO_MANUT[[#This Row],[Hora Final]]-TAB_HISTORICO_MANUT[[#This Row],[Hora Inicio]],0),0)</f>
        <v>0</v>
      </c>
      <c r="W1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1" s="46">
        <v>46027.775590277779</v>
      </c>
      <c r="Z11" s="47">
        <v>46028.157986111109</v>
      </c>
      <c r="AA11" s="48" t="s">
        <v>209</v>
      </c>
      <c r="AB11" s="48" t="s">
        <v>249</v>
      </c>
      <c r="AC11" s="43" t="s">
        <v>204</v>
      </c>
      <c r="AD11" s="46" t="s">
        <v>144</v>
      </c>
      <c r="AE11" s="46" t="s">
        <v>172</v>
      </c>
      <c r="AF11" s="88" t="s">
        <v>210</v>
      </c>
      <c r="AG11" s="105">
        <f>IF(TAB_HISTORICO_MANUT[[#This Row],[Hora Inicio]]="","",MONTH(TAB_HISTORICO_MANUT[[#This Row],[Hora Inicio]]))</f>
        <v>1</v>
      </c>
      <c r="AH11" s="58" t="s">
        <v>271</v>
      </c>
      <c r="AI11" s="43" t="s">
        <v>37</v>
      </c>
      <c r="AJ11" s="43" t="s">
        <v>273</v>
      </c>
      <c r="AK11" s="43" t="s">
        <v>274</v>
      </c>
      <c r="AL11" s="43" t="s">
        <v>275</v>
      </c>
      <c r="AM11" s="114" t="s">
        <v>276</v>
      </c>
      <c r="AN11" s="43" t="s">
        <v>217</v>
      </c>
      <c r="AO11" s="43" t="s">
        <v>216</v>
      </c>
      <c r="AP11" s="43" t="s">
        <v>251</v>
      </c>
    </row>
    <row r="12" spans="1:42" ht="50.1" customHeight="1" x14ac:dyDescent="0.25">
      <c r="A12" s="115">
        <f>MONTH(TAB_HISTORICO_MANUT[[#This Row],[Hora Final]])-MONTH(TAB_HISTORICO_MANUT[[#This Row],[Hora Inicio]])</f>
        <v>0</v>
      </c>
      <c r="B12" s="116"/>
      <c r="C12" s="115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Inicio]]=Z11,TAB_HISTORICO_MANUT[[#This Row],[Equipamento]]=AA11,TAB_HISTORICO_MANUT[[#This Row],[Descricao Despacho]]=AD11),0,1)))</f>
        <v>1</v>
      </c>
      <c r="O1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AR CONDICIONADO</v>
      </c>
      <c r="P12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2" s="50">
        <f>IF($Q12="","",(TAB_HISTORICO_MANUT[[#This Row],[Hora Final]]-TAB_HISTORICO_MANUT[[#This Row],[Hora Inicio]])*24)</f>
        <v>3.3641666665789671</v>
      </c>
      <c r="S1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2" s="54" t="str">
        <f>IF(AND(TAB_HISTORICO_MANUT[[#This Row],[EXPURGO Mãe]]="SIM",TAB_HISTORICO_MANUT[[#This Row],[Tipo]]="MÃE"),"EXP.MAE",IF(TAB_HISTORICO_MANUT[[#This Row],[EXPURGO Mãe]]="NÃO","NÃO EXP.MAE",T11))</f>
        <v>NÃO EXP.MAE</v>
      </c>
      <c r="U1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2" s="56">
        <f>IF(TAB_HISTORICO_MANUT[[#This Row],[EXPURGO Filhas]]="SIM",MAX(TAB_HISTORICO_MANUT[[#This Row],[Hora Final]]-TAB_HISTORICO_MANUT[[#This Row],[Hora Inicio]],0),0)</f>
        <v>0</v>
      </c>
      <c r="W1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2" s="117">
        <v>46028.558935185189</v>
      </c>
      <c r="Z12" s="118">
        <v>46028.699108796296</v>
      </c>
      <c r="AA12" s="119" t="s">
        <v>209</v>
      </c>
      <c r="AB12" s="119" t="s">
        <v>304</v>
      </c>
      <c r="AC12" s="115" t="s">
        <v>204</v>
      </c>
      <c r="AD12" s="117" t="s">
        <v>144</v>
      </c>
      <c r="AE12" s="117" t="s">
        <v>172</v>
      </c>
      <c r="AF12" s="88" t="s">
        <v>210</v>
      </c>
      <c r="AG12" s="105">
        <f>IF(TAB_HISTORICO_MANUT[[#This Row],[Hora Inicio]]="","",MONTH(TAB_HISTORICO_MANUT[[#This Row],[Hora Inicio]]))</f>
        <v>1</v>
      </c>
      <c r="AH12" s="120" t="s">
        <v>323</v>
      </c>
      <c r="AI12" s="43" t="s">
        <v>37</v>
      </c>
      <c r="AJ12" s="43" t="s">
        <v>332</v>
      </c>
      <c r="AK12" s="43" t="s">
        <v>331</v>
      </c>
      <c r="AL12" s="43" t="s">
        <v>333</v>
      </c>
      <c r="AM12" s="114" t="s">
        <v>276</v>
      </c>
      <c r="AN12" s="115" t="s">
        <v>217</v>
      </c>
      <c r="AO12" s="115" t="s">
        <v>314</v>
      </c>
      <c r="AP12" s="115" t="s">
        <v>315</v>
      </c>
    </row>
    <row r="13" spans="1:42" ht="50.1" customHeight="1" x14ac:dyDescent="0.25">
      <c r="A13" s="115">
        <f>MONTH(TAB_HISTORICO_MANUT[[#This Row],[Hora Final]])-MONTH(TAB_HISTORICO_MANUT[[#This Row],[Hora Inicio]])</f>
        <v>0</v>
      </c>
      <c r="B13" s="116"/>
      <c r="C13" s="115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Inicio]]=Z12,TAB_HISTORICO_MANUT[[#This Row],[Equipamento]]=AA12,TAB_HISTORICO_MANUT[[#This Row],[Descricao Despacho]]=AD12),0,1)))</f>
        <v>1</v>
      </c>
      <c r="O1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13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13" s="50">
        <f>IF($Q13="","",(TAB_HISTORICO_MANUT[[#This Row],[Hora Final]]-TAB_HISTORICO_MANUT[[#This Row],[Hora Inicio]])*24)</f>
        <v>1.6947222221642733</v>
      </c>
      <c r="S1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3" s="54" t="str">
        <f>IF(AND(TAB_HISTORICO_MANUT[[#This Row],[EXPURGO Mãe]]="SIM",TAB_HISTORICO_MANUT[[#This Row],[Tipo]]="MÃE"),"EXP.MAE",IF(TAB_HISTORICO_MANUT[[#This Row],[EXPURGO Mãe]]="NÃO","NÃO EXP.MAE",T12))</f>
        <v>NÃO EXP.MAE</v>
      </c>
      <c r="U1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3" s="56">
        <f>IF(TAB_HISTORICO_MANUT[[#This Row],[EXPURGO Filhas]]="SIM",MAX(TAB_HISTORICO_MANUT[[#This Row],[Hora Final]]-TAB_HISTORICO_MANUT[[#This Row],[Hora Inicio]],0),0)</f>
        <v>0</v>
      </c>
      <c r="W1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3" s="117">
        <v>46028.768518518518</v>
      </c>
      <c r="Z13" s="118">
        <v>46028.839131944442</v>
      </c>
      <c r="AA13" s="119" t="s">
        <v>209</v>
      </c>
      <c r="AB13" s="119" t="s">
        <v>305</v>
      </c>
      <c r="AC13" s="115" t="s">
        <v>211</v>
      </c>
      <c r="AD13" s="117" t="s">
        <v>144</v>
      </c>
      <c r="AE13" s="117" t="s">
        <v>213</v>
      </c>
      <c r="AF13" s="88" t="s">
        <v>210</v>
      </c>
      <c r="AG13" s="105">
        <f>IF(TAB_HISTORICO_MANUT[[#This Row],[Hora Inicio]]="","",MONTH(TAB_HISTORICO_MANUT[[#This Row],[Hora Inicio]]))</f>
        <v>1</v>
      </c>
      <c r="AH13" s="120" t="s">
        <v>324</v>
      </c>
      <c r="AI13" s="43" t="s">
        <v>21</v>
      </c>
      <c r="AJ13" s="43" t="s">
        <v>293</v>
      </c>
      <c r="AK13" s="43" t="s">
        <v>291</v>
      </c>
      <c r="AL13" s="43" t="s">
        <v>292</v>
      </c>
      <c r="AM13" s="114" t="s">
        <v>294</v>
      </c>
      <c r="AN13" s="115" t="s">
        <v>229</v>
      </c>
      <c r="AO13" s="115" t="s">
        <v>256</v>
      </c>
      <c r="AP13" s="115" t="s">
        <v>242</v>
      </c>
    </row>
    <row r="14" spans="1:42" ht="50.1" customHeight="1" x14ac:dyDescent="0.25">
      <c r="A14" s="43">
        <f>MONTH(TAB_HISTORICO_MANUT[[#This Row],[Hora Final]])-MONTH(TAB_HISTORICO_MANUT[[#This Row],[Hora Inicio]])</f>
        <v>0</v>
      </c>
      <c r="B14" s="42"/>
      <c r="C14" s="43"/>
      <c r="D14" s="42"/>
      <c r="E14" s="42"/>
      <c r="F14" s="42"/>
      <c r="G14" s="42"/>
      <c r="H14" s="42"/>
      <c r="I14" s="42"/>
      <c r="J14" s="42"/>
      <c r="K14" s="42"/>
      <c r="L14" s="42"/>
      <c r="M14" s="42" t="s">
        <v>98</v>
      </c>
      <c r="N14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Inicio]]=Z13,TAB_HISTORICO_MANUT[[#This Row],[Equipamento]]=AA13,TAB_HISTORICO_MANUT[[#This Row],[Descricao Despacho]]=AD13),0,1)))</f>
        <v/>
      </c>
      <c r="O1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14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1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14" s="50" t="str">
        <f>IF($Q14="","",(TAB_HISTORICO_MANUT[[#This Row],[Hora Final]]-TAB_HISTORICO_MANUT[[#This Row],[Hora Inicio]])*24)</f>
        <v/>
      </c>
      <c r="S1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14" s="54" t="str">
        <f>IF(AND(TAB_HISTORICO_MANUT[[#This Row],[EXPURGO Mãe]]="SIM",TAB_HISTORICO_MANUT[[#This Row],[Tipo]]="MÃE"),"EXP.MAE",IF(TAB_HISTORICO_MANUT[[#This Row],[EXPURGO Mãe]]="NÃO","NÃO EXP.MAE",T13))</f>
        <v>NÃO EXP.MAE</v>
      </c>
      <c r="U1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14" s="56">
        <f>IF(TAB_HISTORICO_MANUT[[#This Row],[EXPURGO Filhas]]="SIM",MAX(TAB_HISTORICO_MANUT[[#This Row],[Hora Final]]-TAB_HISTORICO_MANUT[[#This Row],[Hora Inicio]],0),0)</f>
        <v>5.6702581015997566E-2</v>
      </c>
      <c r="W1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4" s="46">
        <v>46028.782429363426</v>
      </c>
      <c r="Z14" s="47">
        <v>46028.839131944442</v>
      </c>
      <c r="AA14" s="48" t="s">
        <v>209</v>
      </c>
      <c r="AB14" s="48" t="s">
        <v>305</v>
      </c>
      <c r="AC14" s="43" t="s">
        <v>211</v>
      </c>
      <c r="AD14" s="46" t="s">
        <v>144</v>
      </c>
      <c r="AE14" s="46" t="s">
        <v>213</v>
      </c>
      <c r="AF14" s="88" t="s">
        <v>767</v>
      </c>
      <c r="AG14" s="105">
        <f>IF(TAB_HISTORICO_MANUT[[#This Row],[Hora Inicio]]="","",MONTH(TAB_HISTORICO_MANUT[[#This Row],[Hora Inicio]]))</f>
        <v>1</v>
      </c>
      <c r="AH14" s="58" t="s">
        <v>324</v>
      </c>
      <c r="AI14" s="43" t="s">
        <v>21</v>
      </c>
      <c r="AJ14" s="43" t="s">
        <v>293</v>
      </c>
      <c r="AK14" s="43" t="s">
        <v>291</v>
      </c>
      <c r="AL14" s="43" t="s">
        <v>292</v>
      </c>
      <c r="AM14" s="114" t="s">
        <v>294</v>
      </c>
      <c r="AN14" s="43" t="s">
        <v>229</v>
      </c>
      <c r="AO14" s="43" t="s">
        <v>256</v>
      </c>
      <c r="AP14" s="43" t="s">
        <v>242</v>
      </c>
    </row>
    <row r="15" spans="1:42" ht="50.1" customHeight="1" x14ac:dyDescent="0.25">
      <c r="A15" s="43">
        <f>MONTH(TAB_HISTORICO_MANUT[[#This Row],[Hora Final]])-MONTH(TAB_HISTORICO_MANUT[[#This Row],[Hora Inicio]])</f>
        <v>0</v>
      </c>
      <c r="B15" s="42"/>
      <c r="C15" s="43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Inicio]]=Z14,TAB_HISTORICO_MANUT[[#This Row],[Equipamento]]=AA14,TAB_HISTORICO_MANUT[[#This Row],[Descricao Despacho]]=AD14),0,1)))</f>
        <v>1</v>
      </c>
      <c r="O1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15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1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15" s="50">
        <f>IF($Q15="","",(TAB_HISTORICO_MANUT[[#This Row],[Hora Final]]-TAB_HISTORICO_MANUT[[#This Row],[Hora Inicio]])*24)</f>
        <v>0.46694444445893168</v>
      </c>
      <c r="S1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5" s="54" t="str">
        <f>IF(AND(TAB_HISTORICO_MANUT[[#This Row],[EXPURGO Mãe]]="SIM",TAB_HISTORICO_MANUT[[#This Row],[Tipo]]="MÃE"),"EXP.MAE",IF(TAB_HISTORICO_MANUT[[#This Row],[EXPURGO Mãe]]="NÃO","NÃO EXP.MAE",T14))</f>
        <v>NÃO EXP.MAE</v>
      </c>
      <c r="U1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5" s="56">
        <f>IF(TAB_HISTORICO_MANUT[[#This Row],[EXPURGO Filhas]]="SIM",MAX(TAB_HISTORICO_MANUT[[#This Row],[Hora Final]]-TAB_HISTORICO_MANUT[[#This Row],[Hora Inicio]],0),0)</f>
        <v>0</v>
      </c>
      <c r="W1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5" s="46">
        <v>46031.931342592594</v>
      </c>
      <c r="Z15" s="47">
        <v>46031.950798611113</v>
      </c>
      <c r="AA15" s="48" t="s">
        <v>209</v>
      </c>
      <c r="AB15" s="48"/>
      <c r="AC15" s="43" t="s">
        <v>205</v>
      </c>
      <c r="AD15" s="46" t="s">
        <v>145</v>
      </c>
      <c r="AE15" s="46" t="s">
        <v>173</v>
      </c>
      <c r="AF15" s="88" t="s">
        <v>210</v>
      </c>
      <c r="AG15" s="105">
        <f>IF(TAB_HISTORICO_MANUT[[#This Row],[Hora Inicio]]="","",MONTH(TAB_HISTORICO_MANUT[[#This Row],[Hora Inicio]]))</f>
        <v>1</v>
      </c>
      <c r="AH15" s="58"/>
      <c r="AI15" s="43" t="s">
        <v>21</v>
      </c>
      <c r="AJ15" s="43"/>
      <c r="AK15" s="43"/>
      <c r="AL15" s="43"/>
      <c r="AM15" s="114"/>
      <c r="AN15" s="43"/>
      <c r="AO15" s="43"/>
      <c r="AP15" s="43"/>
    </row>
    <row r="16" spans="1:42" ht="50.1" customHeight="1" x14ac:dyDescent="0.25">
      <c r="A16" s="43">
        <f>MONTH(TAB_HISTORICO_MANUT[[#This Row],[Hora Final]])-MONTH(TAB_HISTORICO_MANUT[[#This Row],[Hora Inicio]])</f>
        <v>0</v>
      </c>
      <c r="B16" s="42"/>
      <c r="C16" s="43"/>
      <c r="D16" s="42"/>
      <c r="E16" s="42"/>
      <c r="F16" s="42"/>
      <c r="G16" s="42"/>
      <c r="H16" s="42"/>
      <c r="I16" s="42"/>
      <c r="J16" s="42"/>
      <c r="K16" s="42"/>
      <c r="L16" s="42"/>
      <c r="M16" s="42" t="s">
        <v>98</v>
      </c>
      <c r="N16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Inicio]]=Z15,TAB_HISTORICO_MANUT[[#This Row],[Equipamento]]=AA15,TAB_HISTORICO_MANUT[[#This Row],[Descricao Despacho]]=AD15),0,1)))</f>
        <v/>
      </c>
      <c r="O1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16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1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16" s="50" t="str">
        <f>IF($Q16="","",(TAB_HISTORICO_MANUT[[#This Row],[Hora Final]]-TAB_HISTORICO_MANUT[[#This Row],[Hora Inicio]])*24)</f>
        <v/>
      </c>
      <c r="S1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16" s="54" t="str">
        <f>IF(AND(TAB_HISTORICO_MANUT[[#This Row],[EXPURGO Mãe]]="SIM",TAB_HISTORICO_MANUT[[#This Row],[Tipo]]="MÃE"),"EXP.MAE",IF(TAB_HISTORICO_MANUT[[#This Row],[EXPURGO Mãe]]="NÃO","NÃO EXP.MAE",T15))</f>
        <v>NÃO EXP.MAE</v>
      </c>
      <c r="U1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16" s="56">
        <f>IF(TAB_HISTORICO_MANUT[[#This Row],[EXPURGO Filhas]]="SIM",MAX(TAB_HISTORICO_MANUT[[#This Row],[Hora Final]]-TAB_HISTORICO_MANUT[[#This Row],[Hora Inicio]],0),0)</f>
        <v>1.5623182873241603E-2</v>
      </c>
      <c r="W1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6" s="46">
        <v>46031.93517542824</v>
      </c>
      <c r="Z16" s="47">
        <v>46031.950798611113</v>
      </c>
      <c r="AA16" s="48" t="s">
        <v>209</v>
      </c>
      <c r="AB16" s="48"/>
      <c r="AC16" s="43" t="s">
        <v>205</v>
      </c>
      <c r="AD16" s="46" t="s">
        <v>145</v>
      </c>
      <c r="AE16" s="46" t="s">
        <v>173</v>
      </c>
      <c r="AF16" s="88" t="s">
        <v>767</v>
      </c>
      <c r="AG16" s="105">
        <f>IF(TAB_HISTORICO_MANUT[[#This Row],[Hora Inicio]]="","",MONTH(TAB_HISTORICO_MANUT[[#This Row],[Hora Inicio]]))</f>
        <v>1</v>
      </c>
      <c r="AH16" s="58"/>
      <c r="AI16" s="43" t="s">
        <v>21</v>
      </c>
      <c r="AJ16" s="43"/>
      <c r="AK16" s="43"/>
      <c r="AL16" s="43"/>
      <c r="AM16" s="114"/>
      <c r="AN16" s="43"/>
      <c r="AO16" s="43"/>
      <c r="AP16" s="43"/>
    </row>
    <row r="17" spans="1:42" ht="50.1" customHeight="1" x14ac:dyDescent="0.25">
      <c r="A17" s="43">
        <f>MONTH(TAB_HISTORICO_MANUT[[#This Row],[Hora Final]])-MONTH(TAB_HISTORICO_MANUT[[#This Row],[Hora Inicio]])</f>
        <v>0</v>
      </c>
      <c r="B17" s="42"/>
      <c r="C17" s="43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Inicio]]=Z16,TAB_HISTORICO_MANUT[[#This Row],[Equipamento]]=AA16,TAB_HISTORICO_MANUT[[#This Row],[Descricao Despacho]]=AD16),0,1)))</f>
        <v>1</v>
      </c>
      <c r="O1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17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17" s="50">
        <f>IF($Q17="","",(TAB_HISTORICO_MANUT[[#This Row],[Hora Final]]-TAB_HISTORICO_MANUT[[#This Row],[Hora Inicio]])*24)</f>
        <v>6.2930555556085892</v>
      </c>
      <c r="S1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7" s="54" t="str">
        <f>IF(AND(TAB_HISTORICO_MANUT[[#This Row],[EXPURGO Mãe]]="SIM",TAB_HISTORICO_MANUT[[#This Row],[Tipo]]="MÃE"),"EXP.MAE",IF(TAB_HISTORICO_MANUT[[#This Row],[EXPURGO Mãe]]="NÃO","NÃO EXP.MAE",T16))</f>
        <v>NÃO EXP.MAE</v>
      </c>
      <c r="U1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7" s="56">
        <f>IF(TAB_HISTORICO_MANUT[[#This Row],[EXPURGO Filhas]]="SIM",MAX(TAB_HISTORICO_MANUT[[#This Row],[Hora Final]]-TAB_HISTORICO_MANUT[[#This Row],[Hora Inicio]],0),0)</f>
        <v>0</v>
      </c>
      <c r="W1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7" s="46">
        <v>46033.834745370368</v>
      </c>
      <c r="Z17" s="47">
        <v>46034.096956018519</v>
      </c>
      <c r="AA17" s="48" t="s">
        <v>209</v>
      </c>
      <c r="AB17" s="48"/>
      <c r="AC17" s="43" t="s">
        <v>211</v>
      </c>
      <c r="AD17" s="46" t="s">
        <v>144</v>
      </c>
      <c r="AE17" s="46" t="s">
        <v>213</v>
      </c>
      <c r="AF17" s="88" t="s">
        <v>210</v>
      </c>
      <c r="AG17" s="105">
        <f>IF(TAB_HISTORICO_MANUT[[#This Row],[Hora Inicio]]="","",MONTH(TAB_HISTORICO_MANUT[[#This Row],[Hora Inicio]]))</f>
        <v>1</v>
      </c>
      <c r="AH17" s="58" t="s">
        <v>330</v>
      </c>
      <c r="AI17" s="43" t="s">
        <v>21</v>
      </c>
      <c r="AJ17" s="43" t="s">
        <v>293</v>
      </c>
      <c r="AK17" s="43" t="s">
        <v>291</v>
      </c>
      <c r="AL17" s="43" t="s">
        <v>292</v>
      </c>
      <c r="AM17" s="114" t="s">
        <v>294</v>
      </c>
      <c r="AN17" s="43"/>
      <c r="AO17" s="43"/>
      <c r="AP17" s="43"/>
    </row>
    <row r="18" spans="1:42" ht="50.1" customHeight="1" x14ac:dyDescent="0.25">
      <c r="A18" s="43">
        <f>MONTH(TAB_HISTORICO_MANUT[[#This Row],[Hora Final]])-MONTH(TAB_HISTORICO_MANUT[[#This Row],[Hora Inicio]])</f>
        <v>0</v>
      </c>
      <c r="B18" s="42"/>
      <c r="C18" s="43"/>
      <c r="D18" s="42"/>
      <c r="E18" s="42"/>
      <c r="F18" s="42"/>
      <c r="G18" s="42"/>
      <c r="H18" s="42"/>
      <c r="I18" s="42"/>
      <c r="J18" s="42"/>
      <c r="K18" s="42"/>
      <c r="L18" s="42"/>
      <c r="M18" s="42" t="s">
        <v>98</v>
      </c>
      <c r="N18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Inicio]]=Z17,TAB_HISTORICO_MANUT[[#This Row],[Equipamento]]=AA17,TAB_HISTORICO_MANUT[[#This Row],[Descricao Despacho]]=AD17),0,1)))</f>
        <v/>
      </c>
      <c r="O1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18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1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18" s="50" t="str">
        <f>IF($Q18="","",(TAB_HISTORICO_MANUT[[#This Row],[Hora Final]]-TAB_HISTORICO_MANUT[[#This Row],[Hora Inicio]])*24)</f>
        <v/>
      </c>
      <c r="S1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18" s="54" t="str">
        <f>IF(AND(TAB_HISTORICO_MANUT[[#This Row],[EXPURGO Mãe]]="SIM",TAB_HISTORICO_MANUT[[#This Row],[Tipo]]="MÃE"),"EXP.MAE",IF(TAB_HISTORICO_MANUT[[#This Row],[EXPURGO Mãe]]="NÃO","NÃO EXP.MAE",T17))</f>
        <v>NÃO EXP.MAE</v>
      </c>
      <c r="U1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18" s="56">
        <f>IF(TAB_HISTORICO_MANUT[[#This Row],[EXPURGO Filhas]]="SIM",MAX(TAB_HISTORICO_MANUT[[#This Row],[Hora Final]]-TAB_HISTORICO_MANUT[[#This Row],[Hora Inicio]],0),0)</f>
        <v>0.21055515046464279</v>
      </c>
      <c r="W1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8" s="46">
        <v>46033.886400868054</v>
      </c>
      <c r="Z18" s="47">
        <v>46034.096956018519</v>
      </c>
      <c r="AA18" s="48" t="s">
        <v>209</v>
      </c>
      <c r="AB18" s="48"/>
      <c r="AC18" s="43" t="s">
        <v>211</v>
      </c>
      <c r="AD18" s="46" t="s">
        <v>144</v>
      </c>
      <c r="AE18" s="46" t="s">
        <v>213</v>
      </c>
      <c r="AF18" s="88" t="s">
        <v>767</v>
      </c>
      <c r="AG18" s="105">
        <f>IF(TAB_HISTORICO_MANUT[[#This Row],[Hora Inicio]]="","",MONTH(TAB_HISTORICO_MANUT[[#This Row],[Hora Inicio]]))</f>
        <v>1</v>
      </c>
      <c r="AH18" s="58" t="s">
        <v>330</v>
      </c>
      <c r="AI18" s="43" t="s">
        <v>21</v>
      </c>
      <c r="AJ18" s="43" t="s">
        <v>293</v>
      </c>
      <c r="AK18" s="43" t="s">
        <v>291</v>
      </c>
      <c r="AL18" s="43" t="s">
        <v>292</v>
      </c>
      <c r="AM18" s="114" t="s">
        <v>294</v>
      </c>
      <c r="AN18" s="43"/>
      <c r="AO18" s="43"/>
      <c r="AP18" s="43"/>
    </row>
    <row r="19" spans="1:42" ht="50.1" customHeight="1" x14ac:dyDescent="0.25">
      <c r="A19" s="43">
        <f>MONTH(TAB_HISTORICO_MANUT[[#This Row],[Hora Final]])-MONTH(TAB_HISTORICO_MANUT[[#This Row],[Hora Inicio]])</f>
        <v>0</v>
      </c>
      <c r="B19" s="42"/>
      <c r="C19" s="43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Inicio]]=Z18,TAB_HISTORICO_MANUT[[#This Row],[Equipamento]]=AA18,TAB_HISTORICO_MANUT[[#This Row],[Descricao Despacho]]=AD18),0,1)))</f>
        <v>1</v>
      </c>
      <c r="O1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19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19" s="50">
        <f>IF($Q19="","",(TAB_HISTORICO_MANUT[[#This Row],[Hora Final]]-TAB_HISTORICO_MANUT[[#This Row],[Hora Inicio]])*24)</f>
        <v>1.4705555554828607</v>
      </c>
      <c r="S1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19" s="54" t="str">
        <f>IF(AND(TAB_HISTORICO_MANUT[[#This Row],[EXPURGO Mãe]]="SIM",TAB_HISTORICO_MANUT[[#This Row],[Tipo]]="MÃE"),"EXP.MAE",IF(TAB_HISTORICO_MANUT[[#This Row],[EXPURGO Mãe]]="NÃO","NÃO EXP.MAE",T18))</f>
        <v>EXP.MAE</v>
      </c>
      <c r="U1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9" s="56">
        <f>IF(TAB_HISTORICO_MANUT[[#This Row],[EXPURGO Filhas]]="SIM",MAX(TAB_HISTORICO_MANUT[[#This Row],[Hora Final]]-TAB_HISTORICO_MANUT[[#This Row],[Hora Inicio]],0),0)</f>
        <v>0</v>
      </c>
      <c r="W1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9" s="46">
        <v>46035.980856481481</v>
      </c>
      <c r="Z19" s="47">
        <v>46036.042129629626</v>
      </c>
      <c r="AA19" s="48" t="s">
        <v>209</v>
      </c>
      <c r="AB19" s="48" t="s">
        <v>352</v>
      </c>
      <c r="AC19" s="43" t="s">
        <v>212</v>
      </c>
      <c r="AD19" s="46" t="s">
        <v>144</v>
      </c>
      <c r="AE19" s="46" t="s">
        <v>214</v>
      </c>
      <c r="AF19" s="88" t="s">
        <v>210</v>
      </c>
      <c r="AG19" s="105">
        <f>IF(TAB_HISTORICO_MANUT[[#This Row],[Hora Inicio]]="","",MONTH(TAB_HISTORICO_MANUT[[#This Row],[Hora Inicio]]))</f>
        <v>1</v>
      </c>
      <c r="AH19" s="58" t="s">
        <v>345</v>
      </c>
      <c r="AI19" s="43" t="s">
        <v>82</v>
      </c>
      <c r="AJ19" s="43" t="s">
        <v>82</v>
      </c>
      <c r="AK19" s="43" t="s">
        <v>353</v>
      </c>
      <c r="AL19" s="43" t="s">
        <v>354</v>
      </c>
      <c r="AM19" s="114" t="s">
        <v>355</v>
      </c>
      <c r="AN19" s="43" t="s">
        <v>241</v>
      </c>
      <c r="AO19" s="43" t="s">
        <v>312</v>
      </c>
      <c r="AP19" s="43" t="s">
        <v>313</v>
      </c>
    </row>
    <row r="20" spans="1:42" ht="50.1" customHeight="1" x14ac:dyDescent="0.25">
      <c r="A20" s="43">
        <f>MONTH(TAB_HISTORICO_MANUT[[#This Row],[Hora Final]])-MONTH(TAB_HISTORICO_MANUT[[#This Row],[Hora Inicio]])</f>
        <v>0</v>
      </c>
      <c r="B20" s="42"/>
      <c r="C20" s="43"/>
      <c r="D20" s="42"/>
      <c r="E20" s="42"/>
      <c r="F20" s="42"/>
      <c r="G20" s="42"/>
      <c r="H20" s="42"/>
      <c r="I20" s="42"/>
      <c r="J20" s="42"/>
      <c r="K20" s="42"/>
      <c r="L20" s="42"/>
      <c r="M20" s="42" t="s">
        <v>99</v>
      </c>
      <c r="N2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Inicio]]=Z19,TAB_HISTORICO_MANUT[[#This Row],[Equipamento]]=AA19,TAB_HISTORICO_MANUT[[#This Row],[Descricao Despacho]]=AD19),0,1)))</f>
        <v>1</v>
      </c>
      <c r="O2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20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2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20" s="50">
        <f>IF($Q20="","",(TAB_HISTORICO_MANUT[[#This Row],[Hora Final]]-TAB_HISTORICO_MANUT[[#This Row],[Hora Inicio]])*24)</f>
        <v>3.1433333333116025</v>
      </c>
      <c r="S2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0" s="54" t="str">
        <f>IF(AND(TAB_HISTORICO_MANUT[[#This Row],[EXPURGO Mãe]]="SIM",TAB_HISTORICO_MANUT[[#This Row],[Tipo]]="MÃE"),"EXP.MAE",IF(TAB_HISTORICO_MANUT[[#This Row],[EXPURGO Mãe]]="NÃO","NÃO EXP.MAE",T19))</f>
        <v>NÃO EXP.MAE</v>
      </c>
      <c r="U2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0" s="56">
        <f>IF(TAB_HISTORICO_MANUT[[#This Row],[EXPURGO Filhas]]="SIM",MAX(TAB_HISTORICO_MANUT[[#This Row],[Hora Final]]-TAB_HISTORICO_MANUT[[#This Row],[Hora Inicio]],0),0)</f>
        <v>0</v>
      </c>
      <c r="W2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0" s="46">
        <v>46037.955497685187</v>
      </c>
      <c r="Z20" s="47">
        <v>46038.086469907408</v>
      </c>
      <c r="AA20" s="48" t="s">
        <v>209</v>
      </c>
      <c r="AB20" s="48"/>
      <c r="AC20" s="43" t="s">
        <v>343</v>
      </c>
      <c r="AD20" s="46" t="s">
        <v>145</v>
      </c>
      <c r="AE20" s="46" t="s">
        <v>188</v>
      </c>
      <c r="AF20" s="88" t="s">
        <v>210</v>
      </c>
      <c r="AG20" s="105">
        <f>IF(TAB_HISTORICO_MANUT[[#This Row],[Hora Inicio]]="","",MONTH(TAB_HISTORICO_MANUT[[#This Row],[Hora Inicio]]))</f>
        <v>1</v>
      </c>
      <c r="AH20" s="58" t="s">
        <v>348</v>
      </c>
      <c r="AI20" s="43" t="s">
        <v>21</v>
      </c>
      <c r="AJ20" s="43" t="s">
        <v>298</v>
      </c>
      <c r="AK20" s="43" t="s">
        <v>291</v>
      </c>
      <c r="AL20" s="43" t="s">
        <v>292</v>
      </c>
      <c r="AM20" s="114" t="s">
        <v>294</v>
      </c>
      <c r="AN20" s="43"/>
      <c r="AO20" s="43"/>
      <c r="AP20" s="43"/>
    </row>
    <row r="21" spans="1:42" ht="50.1" customHeight="1" x14ac:dyDescent="0.25">
      <c r="A21" s="43">
        <f>MONTH(TAB_HISTORICO_MANUT[[#This Row],[Hora Final]])-MONTH(TAB_HISTORICO_MANUT[[#This Row],[Hora Inicio]])</f>
        <v>0</v>
      </c>
      <c r="B21" s="42"/>
      <c r="C21" s="43"/>
      <c r="D21" s="42"/>
      <c r="E21" s="42"/>
      <c r="F21" s="42"/>
      <c r="G21" s="42"/>
      <c r="H21" s="42"/>
      <c r="I21" s="42"/>
      <c r="J21" s="42"/>
      <c r="K21" s="42"/>
      <c r="L21" s="42"/>
      <c r="M21" s="42" t="s">
        <v>98</v>
      </c>
      <c r="N21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Inicio]]=Z20,TAB_HISTORICO_MANUT[[#This Row],[Equipamento]]=AA20,TAB_HISTORICO_MANUT[[#This Row],[Descricao Despacho]]=AD20),0,1)))</f>
        <v/>
      </c>
      <c r="O2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21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2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21" s="50" t="str">
        <f>IF($Q21="","",(TAB_HISTORICO_MANUT[[#This Row],[Hora Final]]-TAB_HISTORICO_MANUT[[#This Row],[Hora Inicio]])*24)</f>
        <v/>
      </c>
      <c r="S2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21" s="54" t="str">
        <f>IF(AND(TAB_HISTORICO_MANUT[[#This Row],[EXPURGO Mãe]]="SIM",TAB_HISTORICO_MANUT[[#This Row],[Tipo]]="MÃE"),"EXP.MAE",IF(TAB_HISTORICO_MANUT[[#This Row],[EXPURGO Mãe]]="NÃO","NÃO EXP.MAE",T20))</f>
        <v>NÃO EXP.MAE</v>
      </c>
      <c r="U2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21" s="56">
        <f>IF(TAB_HISTORICO_MANUT[[#This Row],[EXPURGO Filhas]]="SIM",MAX(TAB_HISTORICO_MANUT[[#This Row],[Hora Final]]-TAB_HISTORICO_MANUT[[#This Row],[Hora Inicio]],0),0)</f>
        <v>0.10517069444176741</v>
      </c>
      <c r="W2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1" s="46">
        <v>46037.981299212966</v>
      </c>
      <c r="Z21" s="47">
        <v>46038.086469907408</v>
      </c>
      <c r="AA21" s="48" t="s">
        <v>209</v>
      </c>
      <c r="AB21" s="48"/>
      <c r="AC21" s="43" t="s">
        <v>343</v>
      </c>
      <c r="AD21" s="46" t="s">
        <v>145</v>
      </c>
      <c r="AE21" s="46" t="s">
        <v>188</v>
      </c>
      <c r="AF21" s="88" t="s">
        <v>767</v>
      </c>
      <c r="AG21" s="105">
        <f>IF(TAB_HISTORICO_MANUT[[#This Row],[Hora Inicio]]="","",MONTH(TAB_HISTORICO_MANUT[[#This Row],[Hora Inicio]]))</f>
        <v>1</v>
      </c>
      <c r="AH21" s="58" t="s">
        <v>348</v>
      </c>
      <c r="AI21" s="43" t="s">
        <v>21</v>
      </c>
      <c r="AJ21" s="43" t="s">
        <v>298</v>
      </c>
      <c r="AK21" s="43" t="s">
        <v>291</v>
      </c>
      <c r="AL21" s="43" t="s">
        <v>292</v>
      </c>
      <c r="AM21" s="114" t="s">
        <v>294</v>
      </c>
      <c r="AN21" s="43"/>
      <c r="AO21" s="43"/>
      <c r="AP21" s="43"/>
    </row>
    <row r="22" spans="1:42" ht="50.1" customHeight="1" x14ac:dyDescent="0.25">
      <c r="A22" s="43">
        <f>MONTH(TAB_HISTORICO_MANUT[[#This Row],[Hora Final]])-MONTH(TAB_HISTORICO_MANUT[[#This Row],[Hora Inicio]])</f>
        <v>0</v>
      </c>
      <c r="B22" s="42"/>
      <c r="C22" s="43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Inicio]]=Z21,TAB_HISTORICO_MANUT[[#This Row],[Equipamento]]=AA21,TAB_HISTORICO_MANUT[[#This Row],[Descricao Despacho]]=AD21),0,1)))</f>
        <v>1</v>
      </c>
      <c r="O2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22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2" s="50">
        <f>IF($Q22="","",(TAB_HISTORICO_MANUT[[#This Row],[Hora Final]]-TAB_HISTORICO_MANUT[[#This Row],[Hora Inicio]])*24)</f>
        <v>3.4966666666441597</v>
      </c>
      <c r="S2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2" s="54" t="str">
        <f>IF(AND(TAB_HISTORICO_MANUT[[#This Row],[EXPURGO Mãe]]="SIM",TAB_HISTORICO_MANUT[[#This Row],[Tipo]]="MÃE"),"EXP.MAE",IF(TAB_HISTORICO_MANUT[[#This Row],[EXPURGO Mãe]]="NÃO","NÃO EXP.MAE",T21))</f>
        <v>NÃO EXP.MAE</v>
      </c>
      <c r="U2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2" s="56">
        <f>IF(TAB_HISTORICO_MANUT[[#This Row],[EXPURGO Filhas]]="SIM",MAX(TAB_HISTORICO_MANUT[[#This Row],[Hora Final]]-TAB_HISTORICO_MANUT[[#This Row],[Hora Inicio]],0),0)</f>
        <v>0</v>
      </c>
      <c r="W2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2" s="46">
        <v>46039.773159722223</v>
      </c>
      <c r="Z22" s="47">
        <v>46039.918854166666</v>
      </c>
      <c r="AA22" s="48" t="s">
        <v>209</v>
      </c>
      <c r="AB22" s="48" t="s">
        <v>366</v>
      </c>
      <c r="AC22" s="43" t="s">
        <v>204</v>
      </c>
      <c r="AD22" s="46" t="s">
        <v>144</v>
      </c>
      <c r="AE22" s="46" t="s">
        <v>172</v>
      </c>
      <c r="AF22" s="88" t="s">
        <v>210</v>
      </c>
      <c r="AG22" s="105">
        <f>IF(TAB_HISTORICO_MANUT[[#This Row],[Hora Inicio]]="","",MONTH(TAB_HISTORICO_MANUT[[#This Row],[Hora Inicio]]))</f>
        <v>1</v>
      </c>
      <c r="AH22" s="58" t="s">
        <v>378</v>
      </c>
      <c r="AI22" s="43" t="s">
        <v>23</v>
      </c>
      <c r="AJ22" s="43" t="s">
        <v>223</v>
      </c>
      <c r="AK22" s="43" t="s">
        <v>422</v>
      </c>
      <c r="AL22" s="43" t="s">
        <v>279</v>
      </c>
      <c r="AM22" s="114" t="s">
        <v>280</v>
      </c>
      <c r="AN22" s="43" t="s">
        <v>217</v>
      </c>
      <c r="AO22" s="43" t="s">
        <v>230</v>
      </c>
      <c r="AP22" s="43" t="s">
        <v>218</v>
      </c>
    </row>
    <row r="23" spans="1:42" ht="50.1" customHeight="1" x14ac:dyDescent="0.25">
      <c r="A23" s="43">
        <f>MONTH(TAB_HISTORICO_MANUT[[#This Row],[Hora Final]])-MONTH(TAB_HISTORICO_MANUT[[#This Row],[Hora Inicio]])</f>
        <v>0</v>
      </c>
      <c r="B23" s="42"/>
      <c r="C23" s="43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Inicio]]=Z22,TAB_HISTORICO_MANUT[[#This Row],[Equipamento]]=AA22,TAB_HISTORICO_MANUT[[#This Row],[Descricao Despacho]]=AD22),0,1)))</f>
        <v/>
      </c>
      <c r="O2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23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2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23" s="50" t="str">
        <f>IF($Q23="","",(TAB_HISTORICO_MANUT[[#This Row],[Hora Final]]-TAB_HISTORICO_MANUT[[#This Row],[Hora Inicio]])*24)</f>
        <v/>
      </c>
      <c r="S2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23" s="54" t="str">
        <f>IF(AND(TAB_HISTORICO_MANUT[[#This Row],[EXPURGO Mãe]]="SIM",TAB_HISTORICO_MANUT[[#This Row],[Tipo]]="MÃE"),"EXP.MAE",IF(TAB_HISTORICO_MANUT[[#This Row],[EXPURGO Mãe]]="NÃO","NÃO EXP.MAE",T22))</f>
        <v>NÃO EXP.MAE</v>
      </c>
      <c r="U2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23" s="56">
        <f>IF(TAB_HISTORICO_MANUT[[#This Row],[EXPURGO Filhas]]="SIM",MAX(TAB_HISTORICO_MANUT[[#This Row],[Hora Final]]-TAB_HISTORICO_MANUT[[#This Row],[Hora Inicio]],0),0)</f>
        <v>5.9999999997671694E-2</v>
      </c>
      <c r="W2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3" s="46">
        <v>46039.833333333336</v>
      </c>
      <c r="Z23" s="47">
        <v>46039.893333333333</v>
      </c>
      <c r="AA23" s="48" t="s">
        <v>209</v>
      </c>
      <c r="AB23" s="48" t="s">
        <v>366</v>
      </c>
      <c r="AC23" s="43" t="s">
        <v>204</v>
      </c>
      <c r="AD23" s="46" t="s">
        <v>144</v>
      </c>
      <c r="AE23" s="46" t="s">
        <v>765</v>
      </c>
      <c r="AF23" s="88" t="s">
        <v>767</v>
      </c>
      <c r="AG23" s="105">
        <f>IF(TAB_HISTORICO_MANUT[[#This Row],[Hora Inicio]]="","",MONTH(TAB_HISTORICO_MANUT[[#This Row],[Hora Inicio]]))</f>
        <v>1</v>
      </c>
      <c r="AH23" s="58" t="s">
        <v>378</v>
      </c>
      <c r="AI23" s="43" t="s">
        <v>23</v>
      </c>
      <c r="AJ23" s="43" t="s">
        <v>223</v>
      </c>
      <c r="AK23" s="43" t="s">
        <v>422</v>
      </c>
      <c r="AL23" s="43" t="s">
        <v>279</v>
      </c>
      <c r="AM23" s="114" t="s">
        <v>280</v>
      </c>
      <c r="AN23" s="43" t="s">
        <v>217</v>
      </c>
      <c r="AO23" s="43" t="s">
        <v>230</v>
      </c>
      <c r="AP23" s="43" t="s">
        <v>218</v>
      </c>
    </row>
    <row r="24" spans="1:42" ht="50.1" customHeight="1" x14ac:dyDescent="0.25">
      <c r="A24" s="43">
        <f>MONTH(TAB_HISTORICO_MANUT[[#This Row],[Hora Final]])-MONTH(TAB_HISTORICO_MANUT[[#This Row],[Hora Inicio]])</f>
        <v>0</v>
      </c>
      <c r="B24" s="42"/>
      <c r="C24" s="43"/>
      <c r="D24" s="42"/>
      <c r="E24" s="42"/>
      <c r="F24" s="42"/>
      <c r="G24" s="42"/>
      <c r="H24" s="42"/>
      <c r="I24" s="42"/>
      <c r="J24" s="42"/>
      <c r="K24" s="42"/>
      <c r="L24" s="42"/>
      <c r="M24" s="42" t="s">
        <v>99</v>
      </c>
      <c r="N2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Inicio]]=Z23,TAB_HISTORICO_MANUT[[#This Row],[Equipamento]]=AA23,TAB_HISTORICO_MANUT[[#This Row],[Descricao Despacho]]=AD23),0,1)))</f>
        <v>1</v>
      </c>
      <c r="O2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24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24" s="50">
        <f>IF($Q24="","",(TAB_HISTORICO_MANUT[[#This Row],[Hora Final]]-TAB_HISTORICO_MANUT[[#This Row],[Hora Inicio]])*24)</f>
        <v>0.72638888895744458</v>
      </c>
      <c r="S2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4" s="54" t="str">
        <f>IF(AND(TAB_HISTORICO_MANUT[[#This Row],[EXPURGO Mãe]]="SIM",TAB_HISTORICO_MANUT[[#This Row],[Tipo]]="MÃE"),"EXP.MAE",IF(TAB_HISTORICO_MANUT[[#This Row],[EXPURGO Mãe]]="NÃO","NÃO EXP.MAE",T23))</f>
        <v>NÃO EXP.MAE</v>
      </c>
      <c r="U2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4" s="56">
        <f>IF(TAB_HISTORICO_MANUT[[#This Row],[EXPURGO Filhas]]="SIM",MAX(TAB_HISTORICO_MANUT[[#This Row],[Hora Final]]-TAB_HISTORICO_MANUT[[#This Row],[Hora Inicio]],0),0)</f>
        <v>0</v>
      </c>
      <c r="W2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4" s="46">
        <v>46040.134016203701</v>
      </c>
      <c r="Z24" s="47">
        <v>46040.164282407408</v>
      </c>
      <c r="AA24" s="48" t="s">
        <v>209</v>
      </c>
      <c r="AB24" s="48"/>
      <c r="AC24" s="43" t="s">
        <v>300</v>
      </c>
      <c r="AD24" s="46" t="s">
        <v>146</v>
      </c>
      <c r="AE24" s="46" t="s">
        <v>178</v>
      </c>
      <c r="AF24" s="88" t="s">
        <v>210</v>
      </c>
      <c r="AG24" s="105">
        <f>IF(TAB_HISTORICO_MANUT[[#This Row],[Hora Inicio]]="","",MONTH(TAB_HISTORICO_MANUT[[#This Row],[Hora Inicio]]))</f>
        <v>1</v>
      </c>
      <c r="AH24" s="58" t="s">
        <v>380</v>
      </c>
      <c r="AI24" s="43" t="s">
        <v>340</v>
      </c>
      <c r="AJ24" s="43" t="s">
        <v>432</v>
      </c>
      <c r="AK24" s="43"/>
      <c r="AL24" s="43"/>
      <c r="AM24" s="114"/>
      <c r="AN24" s="43"/>
      <c r="AO24" s="43"/>
      <c r="AP24" s="43"/>
    </row>
    <row r="25" spans="1:42" ht="50.1" customHeight="1" x14ac:dyDescent="0.25">
      <c r="A25" s="43">
        <f>MONTH(TAB_HISTORICO_MANUT[[#This Row],[Hora Final]])-MONTH(TAB_HISTORICO_MANUT[[#This Row],[Hora Inicio]])</f>
        <v>0</v>
      </c>
      <c r="B25" s="42"/>
      <c r="C25" s="43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Inicio]]=Z24,TAB_HISTORICO_MANUT[[#This Row],[Equipamento]]=AA24,TAB_HISTORICO_MANUT[[#This Row],[Descricao Despacho]]=AD24),0,1)))</f>
        <v>0</v>
      </c>
      <c r="O2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25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25" s="50">
        <f>IF($Q25="","",(TAB_HISTORICO_MANUT[[#This Row],[Hora Final]]-TAB_HISTORICO_MANUT[[#This Row],[Hora Inicio]])*24)</f>
        <v>1.2286111110588536</v>
      </c>
      <c r="S2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5" s="54" t="str">
        <f>IF(AND(TAB_HISTORICO_MANUT[[#This Row],[EXPURGO Mãe]]="SIM",TAB_HISTORICO_MANUT[[#This Row],[Tipo]]="MÃE"),"EXP.MAE",IF(TAB_HISTORICO_MANUT[[#This Row],[EXPURGO Mãe]]="NÃO","NÃO EXP.MAE",T24))</f>
        <v>NÃO EXP.MAE</v>
      </c>
      <c r="U2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5" s="56">
        <f>IF(TAB_HISTORICO_MANUT[[#This Row],[EXPURGO Filhas]]="SIM",MAX(TAB_HISTORICO_MANUT[[#This Row],[Hora Final]]-TAB_HISTORICO_MANUT[[#This Row],[Hora Inicio]],0),0)</f>
        <v>0</v>
      </c>
      <c r="W2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5" s="46">
        <v>46040.164282407408</v>
      </c>
      <c r="Z25" s="47">
        <v>46040.215474537035</v>
      </c>
      <c r="AA25" s="48" t="s">
        <v>209</v>
      </c>
      <c r="AB25" s="48"/>
      <c r="AC25" s="43" t="s">
        <v>301</v>
      </c>
      <c r="AD25" s="46" t="s">
        <v>146</v>
      </c>
      <c r="AE25" s="46" t="s">
        <v>310</v>
      </c>
      <c r="AF25" s="88" t="s">
        <v>210</v>
      </c>
      <c r="AG25" s="105">
        <f>IF(TAB_HISTORICO_MANUT[[#This Row],[Hora Inicio]]="","",MONTH(TAB_HISTORICO_MANUT[[#This Row],[Hora Inicio]]))</f>
        <v>1</v>
      </c>
      <c r="AH25" s="58" t="s">
        <v>433</v>
      </c>
      <c r="AI25" s="43" t="s">
        <v>340</v>
      </c>
      <c r="AJ25" s="43" t="s">
        <v>432</v>
      </c>
      <c r="AK25" s="43"/>
      <c r="AL25" s="43"/>
      <c r="AM25" s="114"/>
      <c r="AN25" s="43"/>
      <c r="AO25" s="43"/>
      <c r="AP25" s="43"/>
    </row>
    <row r="26" spans="1:42" ht="50.1" customHeight="1" x14ac:dyDescent="0.25">
      <c r="A26" s="43">
        <f>MONTH(TAB_HISTORICO_MANUT[[#This Row],[Hora Final]])-MONTH(TAB_HISTORICO_MANUT[[#This Row],[Hora Inicio]])</f>
        <v>0</v>
      </c>
      <c r="B26" s="42"/>
      <c r="C26" s="43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Inicio]]=Z25,TAB_HISTORICO_MANUT[[#This Row],[Equipamento]]=AA25,TAB_HISTORICO_MANUT[[#This Row],[Descricao Despacho]]=AD25),0,1)))</f>
        <v>0</v>
      </c>
      <c r="O2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26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26" s="50">
        <f>IF($Q26="","",(TAB_HISTORICO_MANUT[[#This Row],[Hora Final]]-TAB_HISTORICO_MANUT[[#This Row],[Hora Inicio]])*24)</f>
        <v>4.7952777778264135</v>
      </c>
      <c r="S2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26" s="54" t="str">
        <f>IF(AND(TAB_HISTORICO_MANUT[[#This Row],[EXPURGO Mãe]]="SIM",TAB_HISTORICO_MANUT[[#This Row],[Tipo]]="MÃE"),"EXP.MAE",IF(TAB_HISTORICO_MANUT[[#This Row],[EXPURGO Mãe]]="NÃO","NÃO EXP.MAE",T25))</f>
        <v>EXP.MAE</v>
      </c>
      <c r="U2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6" s="56">
        <f>IF(TAB_HISTORICO_MANUT[[#This Row],[EXPURGO Filhas]]="SIM",MAX(TAB_HISTORICO_MANUT[[#This Row],[Hora Final]]-TAB_HISTORICO_MANUT[[#This Row],[Hora Inicio]],0),0)</f>
        <v>0</v>
      </c>
      <c r="W2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6" s="46">
        <v>46040.215474537035</v>
      </c>
      <c r="Z26" s="47">
        <v>46040.415277777778</v>
      </c>
      <c r="AA26" s="48" t="s">
        <v>209</v>
      </c>
      <c r="AB26" s="48"/>
      <c r="AC26" s="43" t="s">
        <v>362</v>
      </c>
      <c r="AD26" s="46" t="s">
        <v>146</v>
      </c>
      <c r="AE26" s="46" t="s">
        <v>175</v>
      </c>
      <c r="AF26" s="88" t="s">
        <v>210</v>
      </c>
      <c r="AG26" s="105">
        <f>IF(TAB_HISTORICO_MANUT[[#This Row],[Hora Inicio]]="","",MONTH(TAB_HISTORICO_MANUT[[#This Row],[Hora Inicio]]))</f>
        <v>1</v>
      </c>
      <c r="AH26" s="58" t="s">
        <v>433</v>
      </c>
      <c r="AI26" s="43" t="s">
        <v>340</v>
      </c>
      <c r="AJ26" s="43" t="s">
        <v>432</v>
      </c>
      <c r="AK26" s="43"/>
      <c r="AL26" s="43"/>
      <c r="AM26" s="114"/>
      <c r="AN26" s="43"/>
      <c r="AO26" s="43"/>
      <c r="AP26" s="43"/>
    </row>
    <row r="27" spans="1:42" ht="50.1" customHeight="1" x14ac:dyDescent="0.25">
      <c r="A27" s="43">
        <f>MONTH(TAB_HISTORICO_MANUT[[#This Row],[Hora Final]])-MONTH(TAB_HISTORICO_MANUT[[#This Row],[Hora Inicio]])</f>
        <v>0</v>
      </c>
      <c r="B27" s="42"/>
      <c r="C27" s="43"/>
      <c r="D27" s="42"/>
      <c r="E27" s="42"/>
      <c r="F27" s="42"/>
      <c r="G27" s="42"/>
      <c r="H27" s="42"/>
      <c r="I27" s="42"/>
      <c r="J27" s="42"/>
      <c r="K27" s="42"/>
      <c r="L27" s="42"/>
      <c r="M27" s="42" t="s">
        <v>99</v>
      </c>
      <c r="N2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Inicio]]=Z26,TAB_HISTORICO_MANUT[[#This Row],[Equipamento]]=AA26,TAB_HISTORICO_MANUT[[#This Row],[Descricao Despacho]]=AD26),0,1)))</f>
        <v>0</v>
      </c>
      <c r="O2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27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27" s="50">
        <f>IF($Q27="","",(TAB_HISTORICO_MANUT[[#This Row],[Hora Final]]-TAB_HISTORICO_MANUT[[#This Row],[Hora Inicio]])*24)</f>
        <v>0.11972222226904705</v>
      </c>
      <c r="S2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7" s="54" t="str">
        <f>IF(AND(TAB_HISTORICO_MANUT[[#This Row],[EXPURGO Mãe]]="SIM",TAB_HISTORICO_MANUT[[#This Row],[Tipo]]="MÃE"),"EXP.MAE",IF(TAB_HISTORICO_MANUT[[#This Row],[EXPURGO Mãe]]="NÃO","NÃO EXP.MAE",T26))</f>
        <v>NÃO EXP.MAE</v>
      </c>
      <c r="U2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7" s="56">
        <f>IF(TAB_HISTORICO_MANUT[[#This Row],[EXPURGO Filhas]]="SIM",MAX(TAB_HISTORICO_MANUT[[#This Row],[Hora Final]]-TAB_HISTORICO_MANUT[[#This Row],[Hora Inicio]],0),0)</f>
        <v>0</v>
      </c>
      <c r="W2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7" s="46">
        <v>46040.415277777778</v>
      </c>
      <c r="Z27" s="47">
        <v>46040.420266203706</v>
      </c>
      <c r="AA27" s="48" t="s">
        <v>209</v>
      </c>
      <c r="AB27" s="48"/>
      <c r="AC27" s="43" t="s">
        <v>362</v>
      </c>
      <c r="AD27" s="46" t="s">
        <v>146</v>
      </c>
      <c r="AE27" s="46" t="s">
        <v>175</v>
      </c>
      <c r="AF27" s="88" t="s">
        <v>210</v>
      </c>
      <c r="AG27" s="105">
        <f>IF(TAB_HISTORICO_MANUT[[#This Row],[Hora Inicio]]="","",MONTH(TAB_HISTORICO_MANUT[[#This Row],[Hora Inicio]]))</f>
        <v>1</v>
      </c>
      <c r="AH27" s="58" t="s">
        <v>433</v>
      </c>
      <c r="AI27" s="43" t="s">
        <v>340</v>
      </c>
      <c r="AJ27" s="43" t="s">
        <v>432</v>
      </c>
      <c r="AK27" s="43"/>
      <c r="AL27" s="43"/>
      <c r="AM27" s="114"/>
      <c r="AN27" s="43"/>
      <c r="AO27" s="43"/>
      <c r="AP27" s="43"/>
    </row>
    <row r="28" spans="1:42" ht="50.1" customHeight="1" x14ac:dyDescent="0.25">
      <c r="A28" s="43">
        <f>MONTH(TAB_HISTORICO_MANUT[[#This Row],[Hora Final]])-MONTH(TAB_HISTORICO_MANUT[[#This Row],[Hora Inicio]])</f>
        <v>0</v>
      </c>
      <c r="B28" s="42"/>
      <c r="C28" s="43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Inicio]]=Z27,TAB_HISTORICO_MANUT[[#This Row],[Equipamento]]=AA27,TAB_HISTORICO_MANUT[[#This Row],[Descricao Despacho]]=AD27),0,1)))</f>
        <v>0</v>
      </c>
      <c r="O2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28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28" s="50">
        <f>IF($Q28="","",(TAB_HISTORICO_MANUT[[#This Row],[Hora Final]]-TAB_HISTORICO_MANUT[[#This Row],[Hora Inicio]])*24)</f>
        <v>2.904999999969732</v>
      </c>
      <c r="S2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8" s="54" t="str">
        <f>IF(AND(TAB_HISTORICO_MANUT[[#This Row],[EXPURGO Mãe]]="SIM",TAB_HISTORICO_MANUT[[#This Row],[Tipo]]="MÃE"),"EXP.MAE",IF(TAB_HISTORICO_MANUT[[#This Row],[EXPURGO Mãe]]="NÃO","NÃO EXP.MAE",T27))</f>
        <v>NÃO EXP.MAE</v>
      </c>
      <c r="U2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8" s="56">
        <f>IF(TAB_HISTORICO_MANUT[[#This Row],[EXPURGO Filhas]]="SIM",MAX(TAB_HISTORICO_MANUT[[#This Row],[Hora Final]]-TAB_HISTORICO_MANUT[[#This Row],[Hora Inicio]],0),0)</f>
        <v>0</v>
      </c>
      <c r="W2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8" s="46">
        <v>46040.420266203706</v>
      </c>
      <c r="Z28" s="47">
        <v>46040.541307870371</v>
      </c>
      <c r="AA28" s="48" t="s">
        <v>209</v>
      </c>
      <c r="AB28" s="48"/>
      <c r="AC28" s="43" t="s">
        <v>302</v>
      </c>
      <c r="AD28" s="46" t="s">
        <v>146</v>
      </c>
      <c r="AE28" s="46" t="s">
        <v>311</v>
      </c>
      <c r="AF28" s="88" t="s">
        <v>210</v>
      </c>
      <c r="AG28" s="105">
        <f>IF(TAB_HISTORICO_MANUT[[#This Row],[Hora Inicio]]="","",MONTH(TAB_HISTORICO_MANUT[[#This Row],[Hora Inicio]]))</f>
        <v>1</v>
      </c>
      <c r="AH28" s="58" t="s">
        <v>433</v>
      </c>
      <c r="AI28" s="43" t="s">
        <v>340</v>
      </c>
      <c r="AJ28" s="43" t="s">
        <v>432</v>
      </c>
      <c r="AK28" s="43"/>
      <c r="AL28" s="43"/>
      <c r="AM28" s="114"/>
      <c r="AN28" s="43"/>
      <c r="AO28" s="43"/>
      <c r="AP28" s="43"/>
    </row>
    <row r="29" spans="1:42" ht="50.1" customHeight="1" x14ac:dyDescent="0.25">
      <c r="A29" s="43">
        <f>MONTH(TAB_HISTORICO_MANUT[[#This Row],[Hora Final]])-MONTH(TAB_HISTORICO_MANUT[[#This Row],[Hora Inicio]])</f>
        <v>0</v>
      </c>
      <c r="B29" s="42"/>
      <c r="C29" s="43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Inicio]]=Z28,TAB_HISTORICO_MANUT[[#This Row],[Equipamento]]=AA28,TAB_HISTORICO_MANUT[[#This Row],[Descricao Despacho]]=AD28),0,1)))</f>
        <v>0</v>
      </c>
      <c r="O2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29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29" s="50">
        <f>IF($Q29="","",(TAB_HISTORICO_MANUT[[#This Row],[Hora Final]]-TAB_HISTORICO_MANUT[[#This Row],[Hora Inicio]])*24)</f>
        <v>12.292222222255077</v>
      </c>
      <c r="S2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9" s="54" t="str">
        <f>IF(AND(TAB_HISTORICO_MANUT[[#This Row],[EXPURGO Mãe]]="SIM",TAB_HISTORICO_MANUT[[#This Row],[Tipo]]="MÃE"),"EXP.MAE",IF(TAB_HISTORICO_MANUT[[#This Row],[EXPURGO Mãe]]="NÃO","NÃO EXP.MAE",T28))</f>
        <v>NÃO EXP.MAE</v>
      </c>
      <c r="U2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9" s="56">
        <f>IF(TAB_HISTORICO_MANUT[[#This Row],[EXPURGO Filhas]]="SIM",MAX(TAB_HISTORICO_MANUT[[#This Row],[Hora Final]]-TAB_HISTORICO_MANUT[[#This Row],[Hora Inicio]],0),0)</f>
        <v>0</v>
      </c>
      <c r="W2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9" s="46">
        <v>46040.541307870371</v>
      </c>
      <c r="Z29" s="47">
        <v>46041.053483796299</v>
      </c>
      <c r="AA29" s="48" t="s">
        <v>209</v>
      </c>
      <c r="AB29" s="48"/>
      <c r="AC29" s="43" t="s">
        <v>301</v>
      </c>
      <c r="AD29" s="46" t="s">
        <v>146</v>
      </c>
      <c r="AE29" s="46" t="s">
        <v>310</v>
      </c>
      <c r="AF29" s="88" t="s">
        <v>210</v>
      </c>
      <c r="AG29" s="105">
        <f>IF(TAB_HISTORICO_MANUT[[#This Row],[Hora Inicio]]="","",MONTH(TAB_HISTORICO_MANUT[[#This Row],[Hora Inicio]]))</f>
        <v>1</v>
      </c>
      <c r="AH29" s="58" t="s">
        <v>433</v>
      </c>
      <c r="AI29" s="43" t="s">
        <v>340</v>
      </c>
      <c r="AJ29" s="43" t="s">
        <v>432</v>
      </c>
      <c r="AK29" s="43"/>
      <c r="AL29" s="43"/>
      <c r="AM29" s="114"/>
      <c r="AN29" s="43"/>
      <c r="AO29" s="43"/>
      <c r="AP29" s="43"/>
    </row>
    <row r="30" spans="1:42" ht="50.1" customHeight="1" x14ac:dyDescent="0.25">
      <c r="A30" s="43">
        <f>MONTH(TAB_HISTORICO_MANUT[[#This Row],[Hora Final]])-MONTH(TAB_HISTORICO_MANUT[[#This Row],[Hora Inicio]])</f>
        <v>0</v>
      </c>
      <c r="B30" s="42"/>
      <c r="C30" s="43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Inicio]]=Z29,TAB_HISTORICO_MANUT[[#This Row],[Equipamento]]=AA29,TAB_HISTORICO_MANUT[[#This Row],[Descricao Despacho]]=AD29),0,1)))</f>
        <v>1</v>
      </c>
      <c r="O3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30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30" s="50">
        <f>IF($Q30="","",(TAB_HISTORICO_MANUT[[#This Row],[Hora Final]]-TAB_HISTORICO_MANUT[[#This Row],[Hora Inicio]])*24)</f>
        <v>12.427777777716983</v>
      </c>
      <c r="S3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0" s="54" t="str">
        <f>IF(AND(TAB_HISTORICO_MANUT[[#This Row],[EXPURGO Mãe]]="SIM",TAB_HISTORICO_MANUT[[#This Row],[Tipo]]="MÃE"),"EXP.MAE",IF(TAB_HISTORICO_MANUT[[#This Row],[EXPURGO Mãe]]="NÃO","NÃO EXP.MAE",T29))</f>
        <v>NÃO EXP.MAE</v>
      </c>
      <c r="U3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0" s="56">
        <f>IF(TAB_HISTORICO_MANUT[[#This Row],[EXPURGO Filhas]]="SIM",MAX(TAB_HISTORICO_MANUT[[#This Row],[Hora Final]]-TAB_HISTORICO_MANUT[[#This Row],[Hora Inicio]],0),0)</f>
        <v>0</v>
      </c>
      <c r="W3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0" s="46">
        <v>46041.189085648148</v>
      </c>
      <c r="Z30" s="47">
        <v>46041.706909722219</v>
      </c>
      <c r="AA30" s="48" t="s">
        <v>209</v>
      </c>
      <c r="AB30" s="48" t="s">
        <v>369</v>
      </c>
      <c r="AC30" s="43" t="s">
        <v>211</v>
      </c>
      <c r="AD30" s="46" t="s">
        <v>144</v>
      </c>
      <c r="AE30" s="46" t="s">
        <v>213</v>
      </c>
      <c r="AF30" s="88" t="s">
        <v>210</v>
      </c>
      <c r="AG30" s="105">
        <f>IF(TAB_HISTORICO_MANUT[[#This Row],[Hora Inicio]]="","",MONTH(TAB_HISTORICO_MANUT[[#This Row],[Hora Inicio]]))</f>
        <v>1</v>
      </c>
      <c r="AH30" s="58" t="s">
        <v>382</v>
      </c>
      <c r="AI30" s="43" t="s">
        <v>21</v>
      </c>
      <c r="AJ30" s="43" t="s">
        <v>293</v>
      </c>
      <c r="AK30" s="43" t="s">
        <v>291</v>
      </c>
      <c r="AL30" s="43" t="s">
        <v>292</v>
      </c>
      <c r="AM30" s="114" t="s">
        <v>294</v>
      </c>
      <c r="AN30" s="43" t="s">
        <v>229</v>
      </c>
      <c r="AO30" s="43" t="s">
        <v>256</v>
      </c>
      <c r="AP30" s="43" t="s">
        <v>242</v>
      </c>
    </row>
    <row r="31" spans="1:42" ht="50.1" customHeight="1" x14ac:dyDescent="0.25">
      <c r="A31" s="43">
        <f>MONTH(TAB_HISTORICO_MANUT[[#This Row],[Hora Final]])-MONTH(TAB_HISTORICO_MANUT[[#This Row],[Hora Inicio]])</f>
        <v>0</v>
      </c>
      <c r="B31" s="42"/>
      <c r="C31" s="43"/>
      <c r="D31" s="42"/>
      <c r="E31" s="42"/>
      <c r="F31" s="42"/>
      <c r="G31" s="42"/>
      <c r="H31" s="42"/>
      <c r="I31" s="42"/>
      <c r="J31" s="42"/>
      <c r="K31" s="42"/>
      <c r="L31" s="42"/>
      <c r="M31" s="42" t="s">
        <v>98</v>
      </c>
      <c r="N31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Inicio]]=Z30,TAB_HISTORICO_MANUT[[#This Row],[Equipamento]]=AA30,TAB_HISTORICO_MANUT[[#This Row],[Descricao Despacho]]=AD30),0,1)))</f>
        <v/>
      </c>
      <c r="O3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1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1" s="50" t="str">
        <f>IF($Q31="","",(TAB_HISTORICO_MANUT[[#This Row],[Hora Final]]-TAB_HISTORICO_MANUT[[#This Row],[Hora Inicio]])*24)</f>
        <v/>
      </c>
      <c r="S3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1" s="54" t="str">
        <f>IF(AND(TAB_HISTORICO_MANUT[[#This Row],[EXPURGO Mãe]]="SIM",TAB_HISTORICO_MANUT[[#This Row],[Tipo]]="MÃE"),"EXP.MAE",IF(TAB_HISTORICO_MANUT[[#This Row],[EXPURGO Mãe]]="NÃO","NÃO EXP.MAE",T30))</f>
        <v>NÃO EXP.MAE</v>
      </c>
      <c r="U3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1" s="56">
        <f>IF(TAB_HISTORICO_MANUT[[#This Row],[EXPURGO Filhas]]="SIM",MAX(TAB_HISTORICO_MANUT[[#This Row],[Hora Final]]-TAB_HISTORICO_MANUT[[#This Row],[Hora Inicio]],0),0)</f>
        <v>0.41581273148040054</v>
      </c>
      <c r="W3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1" s="46">
        <v>46041.291096990739</v>
      </c>
      <c r="Z31" s="47">
        <v>46041.706909722219</v>
      </c>
      <c r="AA31" s="48" t="s">
        <v>209</v>
      </c>
      <c r="AB31" s="48" t="s">
        <v>369</v>
      </c>
      <c r="AC31" s="43" t="s">
        <v>211</v>
      </c>
      <c r="AD31" s="46" t="s">
        <v>144</v>
      </c>
      <c r="AE31" s="46" t="s">
        <v>213</v>
      </c>
      <c r="AF31" s="88" t="s">
        <v>767</v>
      </c>
      <c r="AG31" s="105">
        <f>IF(TAB_HISTORICO_MANUT[[#This Row],[Hora Inicio]]="","",MONTH(TAB_HISTORICO_MANUT[[#This Row],[Hora Inicio]]))</f>
        <v>1</v>
      </c>
      <c r="AH31" s="58" t="s">
        <v>382</v>
      </c>
      <c r="AI31" s="43" t="s">
        <v>21</v>
      </c>
      <c r="AJ31" s="43" t="s">
        <v>293</v>
      </c>
      <c r="AK31" s="43" t="s">
        <v>291</v>
      </c>
      <c r="AL31" s="43" t="s">
        <v>292</v>
      </c>
      <c r="AM31" s="114" t="s">
        <v>294</v>
      </c>
      <c r="AN31" s="43" t="s">
        <v>229</v>
      </c>
      <c r="AO31" s="43" t="s">
        <v>256</v>
      </c>
      <c r="AP31" s="43" t="s">
        <v>242</v>
      </c>
    </row>
    <row r="32" spans="1:42" ht="50.1" customHeight="1" x14ac:dyDescent="0.25">
      <c r="A32" s="43">
        <f>MONTH(TAB_HISTORICO_MANUT[[#This Row],[Hora Final]])-MONTH(TAB_HISTORICO_MANUT[[#This Row],[Hora Inicio]])</f>
        <v>0</v>
      </c>
      <c r="B32" s="42"/>
      <c r="C32" s="43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Inicio]]=Z31,TAB_HISTORICO_MANUT[[#This Row],[Equipamento]]=AA31,TAB_HISTORICO_MANUT[[#This Row],[Descricao Despacho]]=AD31),0,1)))</f>
        <v>1</v>
      </c>
      <c r="O3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32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3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32" s="50">
        <f>IF($Q32="","",(TAB_HISTORICO_MANUT[[#This Row],[Hora Final]]-TAB_HISTORICO_MANUT[[#This Row],[Hora Inicio]])*24)</f>
        <v>1.4266666666371748</v>
      </c>
      <c r="S3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2" s="54" t="str">
        <f>IF(AND(TAB_HISTORICO_MANUT[[#This Row],[EXPURGO Mãe]]="SIM",TAB_HISTORICO_MANUT[[#This Row],[Tipo]]="MÃE"),"EXP.MAE",IF(TAB_HISTORICO_MANUT[[#This Row],[EXPURGO Mãe]]="NÃO","NÃO EXP.MAE",T31))</f>
        <v>NÃO EXP.MAE</v>
      </c>
      <c r="U3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2" s="56">
        <f>IF(TAB_HISTORICO_MANUT[[#This Row],[EXPURGO Filhas]]="SIM",MAX(TAB_HISTORICO_MANUT[[#This Row],[Hora Final]]-TAB_HISTORICO_MANUT[[#This Row],[Hora Inicio]],0),0)</f>
        <v>0</v>
      </c>
      <c r="W3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2" s="46">
        <v>46042.555636574078</v>
      </c>
      <c r="Z32" s="47">
        <v>46042.615081018521</v>
      </c>
      <c r="AA32" s="48" t="s">
        <v>209</v>
      </c>
      <c r="AB32" s="48"/>
      <c r="AC32" s="43" t="s">
        <v>363</v>
      </c>
      <c r="AD32" s="46" t="s">
        <v>145</v>
      </c>
      <c r="AE32" s="46" t="s">
        <v>359</v>
      </c>
      <c r="AF32" s="88" t="s">
        <v>210</v>
      </c>
      <c r="AG32" s="105">
        <f>IF(TAB_HISTORICO_MANUT[[#This Row],[Hora Inicio]]="","",MONTH(TAB_HISTORICO_MANUT[[#This Row],[Hora Inicio]]))</f>
        <v>1</v>
      </c>
      <c r="AH32" s="58" t="s">
        <v>383</v>
      </c>
      <c r="AI32" s="43" t="s">
        <v>25</v>
      </c>
      <c r="AJ32" s="43"/>
      <c r="AK32" s="43"/>
      <c r="AL32" s="43"/>
      <c r="AM32" s="114"/>
      <c r="AN32" s="43"/>
      <c r="AO32" s="43"/>
      <c r="AP32" s="43"/>
    </row>
    <row r="33" spans="1:42" ht="50.1" customHeight="1" x14ac:dyDescent="0.25">
      <c r="A33" s="43">
        <f>MONTH(TAB_HISTORICO_MANUT[[#This Row],[Hora Final]])-MONTH(TAB_HISTORICO_MANUT[[#This Row],[Hora Inicio]])</f>
        <v>0</v>
      </c>
      <c r="B33" s="42"/>
      <c r="C33" s="43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Inicio]]=Z32,TAB_HISTORICO_MANUT[[#This Row],[Equipamento]]=AA32,TAB_HISTORICO_MANUT[[#This Row],[Descricao Despacho]]=AD32),0,1)))</f>
        <v>1</v>
      </c>
      <c r="O3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33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3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33" s="50">
        <f>IF($Q33="","",(TAB_HISTORICO_MANUT[[#This Row],[Hora Final]]-TAB_HISTORICO_MANUT[[#This Row],[Hora Inicio]])*24)</f>
        <v>0.5249999999650754</v>
      </c>
      <c r="S3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3" s="54" t="str">
        <f>IF(AND(TAB_HISTORICO_MANUT[[#This Row],[EXPURGO Mãe]]="SIM",TAB_HISTORICO_MANUT[[#This Row],[Tipo]]="MÃE"),"EXP.MAE",IF(TAB_HISTORICO_MANUT[[#This Row],[EXPURGO Mãe]]="NÃO","NÃO EXP.MAE",T32))</f>
        <v>NÃO EXP.MAE</v>
      </c>
      <c r="U3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3" s="56">
        <f>IF(TAB_HISTORICO_MANUT[[#This Row],[EXPURGO Filhas]]="SIM",MAX(TAB_HISTORICO_MANUT[[#This Row],[Hora Final]]-TAB_HISTORICO_MANUT[[#This Row],[Hora Inicio]],0),0)</f>
        <v>0</v>
      </c>
      <c r="W3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3" s="46">
        <v>46042.646157407406</v>
      </c>
      <c r="Z33" s="47">
        <v>46042.668032407404</v>
      </c>
      <c r="AA33" s="48" t="s">
        <v>209</v>
      </c>
      <c r="AB33" s="48"/>
      <c r="AC33" s="43" t="s">
        <v>205</v>
      </c>
      <c r="AD33" s="46" t="s">
        <v>145</v>
      </c>
      <c r="AE33" s="46" t="s">
        <v>173</v>
      </c>
      <c r="AF33" s="88" t="s">
        <v>210</v>
      </c>
      <c r="AG33" s="105">
        <f>IF(TAB_HISTORICO_MANUT[[#This Row],[Hora Inicio]]="","",MONTH(TAB_HISTORICO_MANUT[[#This Row],[Hora Inicio]]))</f>
        <v>1</v>
      </c>
      <c r="AH33" s="58" t="s">
        <v>326</v>
      </c>
      <c r="AI33" s="43" t="s">
        <v>21</v>
      </c>
      <c r="AJ33" s="43"/>
      <c r="AK33" s="43"/>
      <c r="AL33" s="43"/>
      <c r="AM33" s="114"/>
      <c r="AN33" s="43"/>
      <c r="AO33" s="43"/>
      <c r="AP33" s="43"/>
    </row>
    <row r="34" spans="1:42" ht="50.1" customHeight="1" x14ac:dyDescent="0.25">
      <c r="A34" s="43">
        <f>MONTH(TAB_HISTORICO_MANUT[[#This Row],[Hora Final]])-MONTH(TAB_HISTORICO_MANUT[[#This Row],[Hora Inicio]])</f>
        <v>0</v>
      </c>
      <c r="B34" s="42"/>
      <c r="C34" s="43"/>
      <c r="D34" s="42"/>
      <c r="E34" s="42"/>
      <c r="F34" s="42"/>
      <c r="G34" s="42"/>
      <c r="H34" s="42"/>
      <c r="I34" s="42"/>
      <c r="J34" s="42"/>
      <c r="K34" s="42"/>
      <c r="L34" s="42"/>
      <c r="M34" s="42" t="s">
        <v>98</v>
      </c>
      <c r="N34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Inicio]]=Z33,TAB_HISTORICO_MANUT[[#This Row],[Equipamento]]=AA33,TAB_HISTORICO_MANUT[[#This Row],[Descricao Despacho]]=AD33),0,1)))</f>
        <v/>
      </c>
      <c r="O3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4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4" s="50" t="str">
        <f>IF($Q34="","",(TAB_HISTORICO_MANUT[[#This Row],[Hora Final]]-TAB_HISTORICO_MANUT[[#This Row],[Hora Inicio]])*24)</f>
        <v/>
      </c>
      <c r="S3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4" s="54" t="str">
        <f>IF(AND(TAB_HISTORICO_MANUT[[#This Row],[EXPURGO Mãe]]="SIM",TAB_HISTORICO_MANUT[[#This Row],[Tipo]]="MÃE"),"EXP.MAE",IF(TAB_HISTORICO_MANUT[[#This Row],[EXPURGO Mãe]]="NÃO","NÃO EXP.MAE",T33))</f>
        <v>NÃO EXP.MAE</v>
      </c>
      <c r="U3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4" s="56">
        <f>IF(TAB_HISTORICO_MANUT[[#This Row],[EXPURGO Filhas]]="SIM",MAX(TAB_HISTORICO_MANUT[[#This Row],[Hora Final]]-TAB_HISTORICO_MANUT[[#This Row],[Hora Inicio]],0),0)</f>
        <v>1.7565624999406282E-2</v>
      </c>
      <c r="W3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4" s="46">
        <v>46042.650466782405</v>
      </c>
      <c r="Z34" s="47">
        <v>46042.668032407404</v>
      </c>
      <c r="AA34" s="48" t="s">
        <v>209</v>
      </c>
      <c r="AB34" s="48"/>
      <c r="AC34" s="43" t="s">
        <v>205</v>
      </c>
      <c r="AD34" s="46" t="s">
        <v>145</v>
      </c>
      <c r="AE34" s="46" t="s">
        <v>173</v>
      </c>
      <c r="AF34" s="88" t="s">
        <v>767</v>
      </c>
      <c r="AG34" s="105">
        <f>IF(TAB_HISTORICO_MANUT[[#This Row],[Hora Inicio]]="","",MONTH(TAB_HISTORICO_MANUT[[#This Row],[Hora Inicio]]))</f>
        <v>1</v>
      </c>
      <c r="AH34" s="58" t="s">
        <v>326</v>
      </c>
      <c r="AI34" s="43" t="s">
        <v>21</v>
      </c>
      <c r="AJ34" s="43"/>
      <c r="AK34" s="43"/>
      <c r="AL34" s="43"/>
      <c r="AM34" s="114"/>
      <c r="AN34" s="43"/>
      <c r="AO34" s="43"/>
      <c r="AP34" s="43"/>
    </row>
    <row r="35" spans="1:42" ht="50.1" customHeight="1" x14ac:dyDescent="0.25">
      <c r="A35" s="43">
        <f>MONTH(TAB_HISTORICO_MANUT[[#This Row],[Hora Final]])-MONTH(TAB_HISTORICO_MANUT[[#This Row],[Hora Inicio]])</f>
        <v>0</v>
      </c>
      <c r="B35" s="42"/>
      <c r="C35" s="43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Inicio]]=Z34,TAB_HISTORICO_MANUT[[#This Row],[Equipamento]]=AA34,TAB_HISTORICO_MANUT[[#This Row],[Descricao Despacho]]=AD34),0,1)))</f>
        <v>1</v>
      </c>
      <c r="O3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35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5" s="50">
        <f>IF($Q35="","",(TAB_HISTORICO_MANUT[[#This Row],[Hora Final]]-TAB_HISTORICO_MANUT[[#This Row],[Hora Inicio]])*24)</f>
        <v>12.159166666679084</v>
      </c>
      <c r="S3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5" s="54" t="str">
        <f>IF(AND(TAB_HISTORICO_MANUT[[#This Row],[EXPURGO Mãe]]="SIM",TAB_HISTORICO_MANUT[[#This Row],[Tipo]]="MÃE"),"EXP.MAE",IF(TAB_HISTORICO_MANUT[[#This Row],[EXPURGO Mãe]]="NÃO","NÃO EXP.MAE",T34))</f>
        <v>NÃO EXP.MAE</v>
      </c>
      <c r="U3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5" s="56">
        <f>IF(TAB_HISTORICO_MANUT[[#This Row],[EXPURGO Filhas]]="SIM",MAX(TAB_HISTORICO_MANUT[[#This Row],[Hora Final]]-TAB_HISTORICO_MANUT[[#This Row],[Hora Inicio]],0),0)</f>
        <v>0</v>
      </c>
      <c r="W3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5" s="46">
        <v>46043.665532407409</v>
      </c>
      <c r="Z35" s="47">
        <v>46044.172164351854</v>
      </c>
      <c r="AA35" s="48" t="s">
        <v>209</v>
      </c>
      <c r="AB35" s="48" t="s">
        <v>370</v>
      </c>
      <c r="AC35" s="43" t="s">
        <v>204</v>
      </c>
      <c r="AD35" s="46" t="s">
        <v>144</v>
      </c>
      <c r="AE35" s="46" t="s">
        <v>172</v>
      </c>
      <c r="AF35" s="88" t="s">
        <v>210</v>
      </c>
      <c r="AG35" s="105">
        <f>IF(TAB_HISTORICO_MANUT[[#This Row],[Hora Inicio]]="","",MONTH(TAB_HISTORICO_MANUT[[#This Row],[Hora Inicio]]))</f>
        <v>1</v>
      </c>
      <c r="AH35" s="58" t="s">
        <v>384</v>
      </c>
      <c r="AI35" s="43" t="s">
        <v>22</v>
      </c>
      <c r="AJ35" s="43" t="s">
        <v>284</v>
      </c>
      <c r="AK35" s="43" t="s">
        <v>284</v>
      </c>
      <c r="AL35" s="43" t="s">
        <v>336</v>
      </c>
      <c r="AM35" s="114" t="s">
        <v>276</v>
      </c>
      <c r="AN35" s="43" t="s">
        <v>215</v>
      </c>
      <c r="AO35" s="43" t="s">
        <v>224</v>
      </c>
      <c r="AP35" s="43" t="s">
        <v>225</v>
      </c>
    </row>
    <row r="36" spans="1:42" ht="50.1" customHeight="1" x14ac:dyDescent="0.25">
      <c r="A36" s="43">
        <f>MONTH(TAB_HISTORICO_MANUT[[#This Row],[Hora Final]])-MONTH(TAB_HISTORICO_MANUT[[#This Row],[Hora Inicio]])</f>
        <v>0</v>
      </c>
      <c r="B36" s="42"/>
      <c r="C36" s="43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Inicio]]=Z35,TAB_HISTORICO_MANUT[[#This Row],[Equipamento]]=AA35,TAB_HISTORICO_MANUT[[#This Row],[Descricao Despacho]]=AD35),0,1)))</f>
        <v>1</v>
      </c>
      <c r="O3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36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3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36" s="50">
        <f>IF($Q36="","",(TAB_HISTORICO_MANUT[[#This Row],[Hora Final]]-TAB_HISTORICO_MANUT[[#This Row],[Hora Inicio]])*24)</f>
        <v>0.55583333334652707</v>
      </c>
      <c r="S3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6" s="54" t="str">
        <f>IF(AND(TAB_HISTORICO_MANUT[[#This Row],[EXPURGO Mãe]]="SIM",TAB_HISTORICO_MANUT[[#This Row],[Tipo]]="MÃE"),"EXP.MAE",IF(TAB_HISTORICO_MANUT[[#This Row],[EXPURGO Mãe]]="NÃO","NÃO EXP.MAE",T35))</f>
        <v>NÃO EXP.MAE</v>
      </c>
      <c r="U3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6" s="56">
        <f>IF(TAB_HISTORICO_MANUT[[#This Row],[EXPURGO Filhas]]="SIM",MAX(TAB_HISTORICO_MANUT[[#This Row],[Hora Final]]-TAB_HISTORICO_MANUT[[#This Row],[Hora Inicio]],0),0)</f>
        <v>0</v>
      </c>
      <c r="W3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6" s="46">
        <v>46052.46533564815</v>
      </c>
      <c r="Z36" s="47">
        <v>46052.488495370373</v>
      </c>
      <c r="AA36" s="48" t="s">
        <v>209</v>
      </c>
      <c r="AB36" s="48"/>
      <c r="AC36" s="43" t="s">
        <v>363</v>
      </c>
      <c r="AD36" s="46" t="s">
        <v>145</v>
      </c>
      <c r="AE36" s="46" t="s">
        <v>359</v>
      </c>
      <c r="AF36" s="88" t="s">
        <v>210</v>
      </c>
      <c r="AG36" s="105">
        <f>IF(TAB_HISTORICO_MANUT[[#This Row],[Hora Inicio]]="","",MONTH(TAB_HISTORICO_MANUT[[#This Row],[Hora Inicio]]))</f>
        <v>1</v>
      </c>
      <c r="AH36" s="58" t="s">
        <v>445</v>
      </c>
      <c r="AI36" s="43" t="s">
        <v>25</v>
      </c>
      <c r="AJ36" s="43"/>
      <c r="AK36" s="43"/>
      <c r="AL36" s="43"/>
      <c r="AM36" s="114"/>
      <c r="AN36" s="43"/>
      <c r="AO36" s="43"/>
      <c r="AP36" s="43"/>
    </row>
    <row r="37" spans="1:42" ht="50.1" customHeight="1" x14ac:dyDescent="0.25">
      <c r="A37" s="43">
        <f>MONTH(TAB_HISTORICO_MANUT[[#This Row],[Hora Final]])-MONTH(TAB_HISTORICO_MANUT[[#This Row],[Hora Inicio]])</f>
        <v>0</v>
      </c>
      <c r="B37" s="42"/>
      <c r="C37" s="43"/>
      <c r="D37" s="42"/>
      <c r="E37" s="42"/>
      <c r="F37" s="42"/>
      <c r="G37" s="42"/>
      <c r="H37" s="42"/>
      <c r="I37" s="42"/>
      <c r="J37" s="42"/>
      <c r="K37" s="42"/>
      <c r="L37" s="42"/>
      <c r="M37" s="42" t="s">
        <v>99</v>
      </c>
      <c r="N3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Inicio]]=Z36,TAB_HISTORICO_MANUT[[#This Row],[Equipamento]]=AA36,TAB_HISTORICO_MANUT[[#This Row],[Descricao Despacho]]=AD36),0,1)))</f>
        <v>1</v>
      </c>
      <c r="O3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37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3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37" s="50">
        <f>IF($Q37="","",(TAB_HISTORICO_MANUT[[#This Row],[Hora Final]]-TAB_HISTORICO_MANUT[[#This Row],[Hora Inicio]])*24)</f>
        <v>0.42638888902729377</v>
      </c>
      <c r="S3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7" s="54" t="str">
        <f>IF(AND(TAB_HISTORICO_MANUT[[#This Row],[EXPURGO Mãe]]="SIM",TAB_HISTORICO_MANUT[[#This Row],[Tipo]]="MÃE"),"EXP.MAE",IF(TAB_HISTORICO_MANUT[[#This Row],[EXPURGO Mãe]]="NÃO","NÃO EXP.MAE",T36))</f>
        <v>NÃO EXP.MAE</v>
      </c>
      <c r="U3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7" s="56">
        <f>IF(TAB_HISTORICO_MANUT[[#This Row],[EXPURGO Filhas]]="SIM",MAX(TAB_HISTORICO_MANUT[[#This Row],[Hora Final]]-TAB_HISTORICO_MANUT[[#This Row],[Hora Inicio]],0),0)</f>
        <v>0</v>
      </c>
      <c r="W3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7" s="46">
        <v>46055.577488425923</v>
      </c>
      <c r="Z37" s="47">
        <v>46055.595254629632</v>
      </c>
      <c r="AA37" s="48" t="s">
        <v>209</v>
      </c>
      <c r="AB37" s="48"/>
      <c r="AC37" s="43" t="s">
        <v>300</v>
      </c>
      <c r="AD37" s="46" t="s">
        <v>146</v>
      </c>
      <c r="AE37" s="46" t="s">
        <v>178</v>
      </c>
      <c r="AF37" s="88" t="s">
        <v>210</v>
      </c>
      <c r="AG37" s="105">
        <f>IF(TAB_HISTORICO_MANUT[[#This Row],[Hora Inicio]]="","",MONTH(TAB_HISTORICO_MANUT[[#This Row],[Hora Inicio]]))</f>
        <v>2</v>
      </c>
      <c r="AH37" s="58" t="s">
        <v>500</v>
      </c>
      <c r="AI37" s="43" t="s">
        <v>340</v>
      </c>
      <c r="AJ37" s="43" t="s">
        <v>436</v>
      </c>
      <c r="AK37" s="43"/>
      <c r="AL37" s="43"/>
      <c r="AM37" s="114"/>
      <c r="AN37" s="43"/>
      <c r="AO37" s="43"/>
      <c r="AP37" s="43"/>
    </row>
    <row r="38" spans="1:42" ht="50.1" customHeight="1" x14ac:dyDescent="0.25">
      <c r="A38" s="43">
        <f>MONTH(TAB_HISTORICO_MANUT[[#This Row],[Hora Final]])-MONTH(TAB_HISTORICO_MANUT[[#This Row],[Hora Inicio]])</f>
        <v>0</v>
      </c>
      <c r="B38" s="42"/>
      <c r="C38" s="43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Inicio]]=Z37,TAB_HISTORICO_MANUT[[#This Row],[Equipamento]]=AA37,TAB_HISTORICO_MANUT[[#This Row],[Descricao Despacho]]=AD37),0,1)))</f>
        <v>0</v>
      </c>
      <c r="O3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38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3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38" s="50">
        <f>IF($Q38="","",(TAB_HISTORICO_MANUT[[#This Row],[Hora Final]]-TAB_HISTORICO_MANUT[[#This Row],[Hora Inicio]])*24)</f>
        <v>10.174722222145647</v>
      </c>
      <c r="S3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8" s="54" t="str">
        <f>IF(AND(TAB_HISTORICO_MANUT[[#This Row],[EXPURGO Mãe]]="SIM",TAB_HISTORICO_MANUT[[#This Row],[Tipo]]="MÃE"),"EXP.MAE",IF(TAB_HISTORICO_MANUT[[#This Row],[EXPURGO Mãe]]="NÃO","NÃO EXP.MAE",T37))</f>
        <v>NÃO EXP.MAE</v>
      </c>
      <c r="U3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8" s="56">
        <f>IF(TAB_HISTORICO_MANUT[[#This Row],[EXPURGO Filhas]]="SIM",MAX(TAB_HISTORICO_MANUT[[#This Row],[Hora Final]]-TAB_HISTORICO_MANUT[[#This Row],[Hora Inicio]],0),0)</f>
        <v>0</v>
      </c>
      <c r="W3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8" s="46">
        <v>46055.595254629632</v>
      </c>
      <c r="Z38" s="47">
        <v>46056.019201388888</v>
      </c>
      <c r="AA38" s="48" t="s">
        <v>209</v>
      </c>
      <c r="AB38" s="48"/>
      <c r="AC38" s="43" t="s">
        <v>301</v>
      </c>
      <c r="AD38" s="46" t="s">
        <v>146</v>
      </c>
      <c r="AE38" s="46" t="s">
        <v>310</v>
      </c>
      <c r="AF38" s="88" t="s">
        <v>210</v>
      </c>
      <c r="AG38" s="105">
        <f>IF(TAB_HISTORICO_MANUT[[#This Row],[Hora Inicio]]="","",MONTH(TAB_HISTORICO_MANUT[[#This Row],[Hora Inicio]]))</f>
        <v>2</v>
      </c>
      <c r="AH38" s="58" t="s">
        <v>500</v>
      </c>
      <c r="AI38" s="43" t="s">
        <v>340</v>
      </c>
      <c r="AJ38" s="43" t="s">
        <v>436</v>
      </c>
      <c r="AK38" s="43"/>
      <c r="AL38" s="43"/>
      <c r="AM38" s="114"/>
      <c r="AN38" s="43"/>
      <c r="AO38" s="43"/>
      <c r="AP38" s="43"/>
    </row>
    <row r="39" spans="1:42" ht="50.1" customHeight="1" x14ac:dyDescent="0.25">
      <c r="A39" s="43">
        <f>MONTH(TAB_HISTORICO_MANUT[[#This Row],[Hora Final]])-MONTH(TAB_HISTORICO_MANUT[[#This Row],[Hora Inicio]])</f>
        <v>0</v>
      </c>
      <c r="B39" s="42"/>
      <c r="C39" s="43"/>
      <c r="D39" s="42"/>
      <c r="E39" s="42"/>
      <c r="F39" s="42"/>
      <c r="G39" s="42"/>
      <c r="H39" s="42"/>
      <c r="I39" s="42"/>
      <c r="J39" s="42"/>
      <c r="K39" s="42"/>
      <c r="L39" s="42"/>
      <c r="M39" s="42" t="s">
        <v>98</v>
      </c>
      <c r="N39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Inicio]]=Z38,TAB_HISTORICO_MANUT[[#This Row],[Equipamento]]=AA38,TAB_HISTORICO_MANUT[[#This Row],[Descricao Despacho]]=AD38),0,1)))</f>
        <v/>
      </c>
      <c r="O3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9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9" s="50" t="str">
        <f>IF($Q39="","",(TAB_HISTORICO_MANUT[[#This Row],[Hora Final]]-TAB_HISTORICO_MANUT[[#This Row],[Hora Inicio]])*24)</f>
        <v/>
      </c>
      <c r="S3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9" s="54" t="str">
        <f>IF(AND(TAB_HISTORICO_MANUT[[#This Row],[EXPURGO Mãe]]="SIM",TAB_HISTORICO_MANUT[[#This Row],[Tipo]]="MÃE"),"EXP.MAE",IF(TAB_HISTORICO_MANUT[[#This Row],[EXPURGO Mãe]]="NÃO","NÃO EXP.MAE",T38))</f>
        <v>NÃO EXP.MAE</v>
      </c>
      <c r="U3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9" s="56">
        <f>IF(TAB_HISTORICO_MANUT[[#This Row],[EXPURGO Filhas]]="SIM",MAX(TAB_HISTORICO_MANUT[[#This Row],[Hora Final]]-TAB_HISTORICO_MANUT[[#This Row],[Hora Inicio]],0),0)</f>
        <v>0.12986000000091735</v>
      </c>
      <c r="W3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9" s="46">
        <v>46055.90625</v>
      </c>
      <c r="Z39" s="47">
        <v>46056.036110000001</v>
      </c>
      <c r="AA39" s="48" t="s">
        <v>209</v>
      </c>
      <c r="AB39" s="48"/>
      <c r="AC39" s="43" t="s">
        <v>301</v>
      </c>
      <c r="AD39" s="46" t="s">
        <v>146</v>
      </c>
      <c r="AE39" s="46" t="s">
        <v>310</v>
      </c>
      <c r="AF39" s="88" t="s">
        <v>767</v>
      </c>
      <c r="AG39" s="105">
        <f>IF(TAB_HISTORICO_MANUT[[#This Row],[Hora Inicio]]="","",MONTH(TAB_HISTORICO_MANUT[[#This Row],[Hora Inicio]]))</f>
        <v>2</v>
      </c>
      <c r="AH39" s="58" t="s">
        <v>1374</v>
      </c>
      <c r="AI39" s="43" t="s">
        <v>340</v>
      </c>
      <c r="AJ39" s="43" t="s">
        <v>436</v>
      </c>
      <c r="AK39" s="43"/>
      <c r="AL39" s="43"/>
      <c r="AM39" s="114"/>
      <c r="AN39" s="43"/>
      <c r="AO39" s="43"/>
      <c r="AP39" s="43"/>
    </row>
    <row r="40" spans="1:42" ht="50.1" customHeight="1" x14ac:dyDescent="0.25">
      <c r="A40" s="43">
        <f>MONTH(TAB_HISTORICO_MANUT[[#This Row],[Hora Final]])-MONTH(TAB_HISTORICO_MANUT[[#This Row],[Hora Inicio]])</f>
        <v>0</v>
      </c>
      <c r="B40" s="42"/>
      <c r="C40" s="43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Inicio]]=Z39,TAB_HISTORICO_MANUT[[#This Row],[Equipamento]]=AA39,TAB_HISTORICO_MANUT[[#This Row],[Descricao Despacho]]=AD39),0,1)))</f>
        <v>1</v>
      </c>
      <c r="O4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ALERTA DE FADIGA</v>
      </c>
      <c r="P40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4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40" s="50">
        <f>IF($Q40="","",(TAB_HISTORICO_MANUT[[#This Row],[Hora Final]]-TAB_HISTORICO_MANUT[[#This Row],[Hora Inicio]])*24)</f>
        <v>0.46250000002328306</v>
      </c>
      <c r="S4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40" s="54" t="str">
        <f>IF(AND(TAB_HISTORICO_MANUT[[#This Row],[EXPURGO Mãe]]="SIM",TAB_HISTORICO_MANUT[[#This Row],[Tipo]]="MÃE"),"EXP.MAE",IF(TAB_HISTORICO_MANUT[[#This Row],[EXPURGO Mãe]]="NÃO","NÃO EXP.MAE",T39))</f>
        <v>EXP.MAE</v>
      </c>
      <c r="U4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0" s="56">
        <f>IF(TAB_HISTORICO_MANUT[[#This Row],[EXPURGO Filhas]]="SIM",MAX(TAB_HISTORICO_MANUT[[#This Row],[Hora Final]]-TAB_HISTORICO_MANUT[[#This Row],[Hora Inicio]],0),0)</f>
        <v>0</v>
      </c>
      <c r="W4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0" s="46">
        <v>46056.704826388886</v>
      </c>
      <c r="Z40" s="47">
        <v>46056.724097222221</v>
      </c>
      <c r="AA40" s="48" t="s">
        <v>209</v>
      </c>
      <c r="AB40" s="48"/>
      <c r="AC40" s="43" t="s">
        <v>364</v>
      </c>
      <c r="AD40" s="46" t="s">
        <v>145</v>
      </c>
      <c r="AE40" s="46" t="s">
        <v>360</v>
      </c>
      <c r="AF40" s="88" t="s">
        <v>210</v>
      </c>
      <c r="AG40" s="105">
        <f>IF(TAB_HISTORICO_MANUT[[#This Row],[Hora Inicio]]="","",MONTH(TAB_HISTORICO_MANUT[[#This Row],[Hora Inicio]]))</f>
        <v>2</v>
      </c>
      <c r="AH40" s="58" t="s">
        <v>488</v>
      </c>
      <c r="AI40" s="43" t="s">
        <v>87</v>
      </c>
      <c r="AJ40" s="43" t="s">
        <v>386</v>
      </c>
      <c r="AK40" s="43" t="s">
        <v>386</v>
      </c>
      <c r="AL40" s="43" t="s">
        <v>282</v>
      </c>
      <c r="AM40" s="114" t="s">
        <v>283</v>
      </c>
      <c r="AN40" s="43"/>
      <c r="AO40" s="43"/>
      <c r="AP40" s="43"/>
    </row>
    <row r="41" spans="1:42" ht="50.1" customHeight="1" x14ac:dyDescent="0.25">
      <c r="A41" s="43">
        <f>MONTH(TAB_HISTORICO_MANUT[[#This Row],[Hora Final]])-MONTH(TAB_HISTORICO_MANUT[[#This Row],[Hora Inicio]])</f>
        <v>0</v>
      </c>
      <c r="B41" s="42"/>
      <c r="C41" s="43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Inicio]]=Z40,TAB_HISTORICO_MANUT[[#This Row],[Equipamento]]=AA40,TAB_HISTORICO_MANUT[[#This Row],[Descricao Despacho]]=AD40),0,1)))</f>
        <v>1</v>
      </c>
      <c r="O4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41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1" s="50">
        <f>IF($Q41="","",(TAB_HISTORICO_MANUT[[#This Row],[Hora Final]]-TAB_HISTORICO_MANUT[[#This Row],[Hora Inicio]])*24)</f>
        <v>3.1438888888224028</v>
      </c>
      <c r="S4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1" s="54" t="str">
        <f>IF(AND(TAB_HISTORICO_MANUT[[#This Row],[EXPURGO Mãe]]="SIM",TAB_HISTORICO_MANUT[[#This Row],[Tipo]]="MÃE"),"EXP.MAE",IF(TAB_HISTORICO_MANUT[[#This Row],[EXPURGO Mãe]]="NÃO","NÃO EXP.MAE",T40))</f>
        <v>NÃO EXP.MAE</v>
      </c>
      <c r="U4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1" s="56">
        <f>IF(TAB_HISTORICO_MANUT[[#This Row],[EXPURGO Filhas]]="SIM",MAX(TAB_HISTORICO_MANUT[[#This Row],[Hora Final]]-TAB_HISTORICO_MANUT[[#This Row],[Hora Inicio]],0),0)</f>
        <v>0</v>
      </c>
      <c r="W4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1" s="46">
        <v>46057.588437500002</v>
      </c>
      <c r="Z41" s="47">
        <v>46057.71943287037</v>
      </c>
      <c r="AA41" s="48" t="s">
        <v>209</v>
      </c>
      <c r="AB41" s="48"/>
      <c r="AC41" s="43" t="s">
        <v>204</v>
      </c>
      <c r="AD41" s="46" t="s">
        <v>144</v>
      </c>
      <c r="AE41" s="46" t="s">
        <v>172</v>
      </c>
      <c r="AF41" s="88" t="s">
        <v>210</v>
      </c>
      <c r="AG41" s="105">
        <f>IF(TAB_HISTORICO_MANUT[[#This Row],[Hora Inicio]]="","",MONTH(TAB_HISTORICO_MANUT[[#This Row],[Hora Inicio]]))</f>
        <v>2</v>
      </c>
      <c r="AH41" s="58" t="s">
        <v>501</v>
      </c>
      <c r="AI41" s="43" t="s">
        <v>22</v>
      </c>
      <c r="AJ41" s="43" t="s">
        <v>23</v>
      </c>
      <c r="AK41" s="43" t="s">
        <v>502</v>
      </c>
      <c r="AL41" s="43" t="s">
        <v>479</v>
      </c>
      <c r="AM41" s="114" t="s">
        <v>283</v>
      </c>
      <c r="AN41" s="43"/>
      <c r="AO41" s="43"/>
      <c r="AP41" s="43"/>
    </row>
    <row r="42" spans="1:42" ht="50.1" customHeight="1" x14ac:dyDescent="0.25">
      <c r="A42" s="43">
        <f>MONTH(TAB_HISTORICO_MANUT[[#This Row],[Hora Final]])-MONTH(TAB_HISTORICO_MANUT[[#This Row],[Hora Inicio]])</f>
        <v>0</v>
      </c>
      <c r="B42" s="42"/>
      <c r="C42" s="43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Inicio]]=Z41,TAB_HISTORICO_MANUT[[#This Row],[Equipamento]]=AA41,TAB_HISTORICO_MANUT[[#This Row],[Descricao Despacho]]=AD41),0,1)))</f>
        <v>1</v>
      </c>
      <c r="O4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42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4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42" s="50">
        <f>IF($Q42="","",(TAB_HISTORICO_MANUT[[#This Row],[Hora Final]]-TAB_HISTORICO_MANUT[[#This Row],[Hora Inicio]])*24)</f>
        <v>0.65750000003026798</v>
      </c>
      <c r="S4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2" s="54" t="str">
        <f>IF(AND(TAB_HISTORICO_MANUT[[#This Row],[EXPURGO Mãe]]="SIM",TAB_HISTORICO_MANUT[[#This Row],[Tipo]]="MÃE"),"EXP.MAE",IF(TAB_HISTORICO_MANUT[[#This Row],[EXPURGO Mãe]]="NÃO","NÃO EXP.MAE",T41))</f>
        <v>NÃO EXP.MAE</v>
      </c>
      <c r="U4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2" s="56">
        <f>IF(TAB_HISTORICO_MANUT[[#This Row],[EXPURGO Filhas]]="SIM",MAX(TAB_HISTORICO_MANUT[[#This Row],[Hora Final]]-TAB_HISTORICO_MANUT[[#This Row],[Hora Inicio]],0),0)</f>
        <v>0</v>
      </c>
      <c r="W4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2" s="46">
        <v>46062.100428240738</v>
      </c>
      <c r="Z42" s="47">
        <v>46062.127824074072</v>
      </c>
      <c r="AA42" s="48" t="s">
        <v>209</v>
      </c>
      <c r="AB42" s="48"/>
      <c r="AC42" s="43" t="s">
        <v>205</v>
      </c>
      <c r="AD42" s="46" t="s">
        <v>145</v>
      </c>
      <c r="AE42" s="46" t="s">
        <v>173</v>
      </c>
      <c r="AF42" s="88" t="s">
        <v>210</v>
      </c>
      <c r="AG42" s="105">
        <f>IF(TAB_HISTORICO_MANUT[[#This Row],[Hora Inicio]]="","",MONTH(TAB_HISTORICO_MANUT[[#This Row],[Hora Inicio]]))</f>
        <v>2</v>
      </c>
      <c r="AH42" s="58" t="s">
        <v>326</v>
      </c>
      <c r="AI42" s="43" t="s">
        <v>21</v>
      </c>
      <c r="AJ42" s="43"/>
      <c r="AK42" s="43"/>
      <c r="AL42" s="43"/>
      <c r="AM42" s="114"/>
      <c r="AN42" s="43"/>
      <c r="AO42" s="43"/>
      <c r="AP42" s="43"/>
    </row>
    <row r="43" spans="1:42" ht="50.1" customHeight="1" x14ac:dyDescent="0.25">
      <c r="A43" s="43">
        <f>MONTH(TAB_HISTORICO_MANUT[[#This Row],[Hora Final]])-MONTH(TAB_HISTORICO_MANUT[[#This Row],[Hora Inicio]])</f>
        <v>0</v>
      </c>
      <c r="B43" s="42"/>
      <c r="C43" s="43"/>
      <c r="D43" s="42"/>
      <c r="E43" s="42"/>
      <c r="F43" s="42"/>
      <c r="G43" s="42"/>
      <c r="H43" s="42"/>
      <c r="I43" s="42"/>
      <c r="J43" s="42"/>
      <c r="K43" s="42"/>
      <c r="L43" s="42"/>
      <c r="M43" s="42" t="s">
        <v>98</v>
      </c>
      <c r="N43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Inicio]]=Z42,TAB_HISTORICO_MANUT[[#This Row],[Equipamento]]=AA42,TAB_HISTORICO_MANUT[[#This Row],[Descricao Despacho]]=AD42),0,1)))</f>
        <v/>
      </c>
      <c r="O4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43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4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43" s="50" t="str">
        <f>IF($Q43="","",(TAB_HISTORICO_MANUT[[#This Row],[Hora Final]]-TAB_HISTORICO_MANUT[[#This Row],[Hora Inicio]])*24)</f>
        <v/>
      </c>
      <c r="S4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43" s="54" t="str">
        <f>IF(AND(TAB_HISTORICO_MANUT[[#This Row],[EXPURGO Mãe]]="SIM",TAB_HISTORICO_MANUT[[#This Row],[Tipo]]="MÃE"),"EXP.MAE",IF(TAB_HISTORICO_MANUT[[#This Row],[EXPURGO Mãe]]="NÃO","NÃO EXP.MAE",T42))</f>
        <v>NÃO EXP.MAE</v>
      </c>
      <c r="U4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43" s="56">
        <f>IF(TAB_HISTORICO_MANUT[[#This Row],[EXPURGO Filhas]]="SIM",MAX(TAB_HISTORICO_MANUT[[#This Row],[Hora Final]]-TAB_HISTORICO_MANUT[[#This Row],[Hora Inicio]],0),0)</f>
        <v>1.3314358802745119E-2</v>
      </c>
      <c r="W4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3" s="46">
        <v>46062.114509715269</v>
      </c>
      <c r="Z43" s="47">
        <v>46062.127824074072</v>
      </c>
      <c r="AA43" s="48" t="s">
        <v>209</v>
      </c>
      <c r="AB43" s="48"/>
      <c r="AC43" s="43" t="s">
        <v>205</v>
      </c>
      <c r="AD43" s="46" t="s">
        <v>145</v>
      </c>
      <c r="AE43" s="46" t="s">
        <v>173</v>
      </c>
      <c r="AF43" s="88" t="s">
        <v>767</v>
      </c>
      <c r="AG43" s="105">
        <f>IF(TAB_HISTORICO_MANUT[[#This Row],[Hora Inicio]]="","",MONTH(TAB_HISTORICO_MANUT[[#This Row],[Hora Inicio]]))</f>
        <v>2</v>
      </c>
      <c r="AH43" s="58" t="s">
        <v>326</v>
      </c>
      <c r="AI43" s="43" t="s">
        <v>21</v>
      </c>
      <c r="AJ43" s="43"/>
      <c r="AK43" s="43"/>
      <c r="AL43" s="43"/>
      <c r="AM43" s="114"/>
      <c r="AN43" s="43"/>
      <c r="AO43" s="43"/>
      <c r="AP43" s="43"/>
    </row>
    <row r="44" spans="1:42" ht="50.1" customHeight="1" x14ac:dyDescent="0.25">
      <c r="A44" s="43">
        <f>MONTH(TAB_HISTORICO_MANUT[[#This Row],[Hora Final]])-MONTH(TAB_HISTORICO_MANUT[[#This Row],[Hora Inicio]])</f>
        <v>0</v>
      </c>
      <c r="B44" s="42"/>
      <c r="C44" s="43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Inicio]]=Z43,TAB_HISTORICO_MANUT[[#This Row],[Equipamento]]=AA43,TAB_HISTORICO_MANUT[[#This Row],[Descricao Despacho]]=AD43),0,1)))</f>
        <v>1</v>
      </c>
      <c r="O4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DE FREIO</v>
      </c>
      <c r="P44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4" s="50">
        <f>IF($Q44="","",(TAB_HISTORICO_MANUT[[#This Row],[Hora Final]]-TAB_HISTORICO_MANUT[[#This Row],[Hora Inicio]])*24)</f>
        <v>3.1463888888829388</v>
      </c>
      <c r="S4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4" s="54" t="str">
        <f>IF(AND(TAB_HISTORICO_MANUT[[#This Row],[EXPURGO Mãe]]="SIM",TAB_HISTORICO_MANUT[[#This Row],[Tipo]]="MÃE"),"EXP.MAE",IF(TAB_HISTORICO_MANUT[[#This Row],[EXPURGO Mãe]]="NÃO","NÃO EXP.MAE",T43))</f>
        <v>NÃO EXP.MAE</v>
      </c>
      <c r="U4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4" s="56">
        <f>IF(TAB_HISTORICO_MANUT[[#This Row],[EXPURGO Filhas]]="SIM",MAX(TAB_HISTORICO_MANUT[[#This Row],[Hora Final]]-TAB_HISTORICO_MANUT[[#This Row],[Hora Inicio]],0),0)</f>
        <v>0</v>
      </c>
      <c r="W4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4" s="46">
        <v>46062.414363425924</v>
      </c>
      <c r="Z44" s="47">
        <v>46062.54546296296</v>
      </c>
      <c r="AA44" s="48" t="s">
        <v>209</v>
      </c>
      <c r="AB44" s="48" t="s">
        <v>240</v>
      </c>
      <c r="AC44" s="43" t="s">
        <v>204</v>
      </c>
      <c r="AD44" s="46" t="s">
        <v>144</v>
      </c>
      <c r="AE44" s="46" t="s">
        <v>172</v>
      </c>
      <c r="AF44" s="88" t="s">
        <v>210</v>
      </c>
      <c r="AG44" s="105">
        <f>IF(TAB_HISTORICO_MANUT[[#This Row],[Hora Inicio]]="","",MONTH(TAB_HISTORICO_MANUT[[#This Row],[Hora Inicio]]))</f>
        <v>2</v>
      </c>
      <c r="AH44" s="58" t="s">
        <v>517</v>
      </c>
      <c r="AI44" s="43" t="s">
        <v>46</v>
      </c>
      <c r="AJ44" s="43" t="s">
        <v>536</v>
      </c>
      <c r="AK44" s="43" t="s">
        <v>536</v>
      </c>
      <c r="AL44" s="43" t="s">
        <v>334</v>
      </c>
      <c r="AM44" s="114"/>
      <c r="AN44" s="43"/>
      <c r="AO44" s="43"/>
      <c r="AP44" s="43"/>
    </row>
    <row r="45" spans="1:42" ht="50.1" customHeight="1" x14ac:dyDescent="0.25">
      <c r="A45" s="43">
        <f>MONTH(TAB_HISTORICO_MANUT[[#This Row],[Hora Final]])-MONTH(TAB_HISTORICO_MANUT[[#This Row],[Hora Inicio]])</f>
        <v>0</v>
      </c>
      <c r="B45" s="42"/>
      <c r="C45" s="43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Inicio]]=Z44,TAB_HISTORICO_MANUT[[#This Row],[Equipamento]]=AA44,TAB_HISTORICO_MANUT[[#This Row],[Descricao Despacho]]=AD44),0,1)))</f>
        <v>1</v>
      </c>
      <c r="O4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45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5" s="50">
        <f>IF($Q45="","",(TAB_HISTORICO_MANUT[[#This Row],[Hora Final]]-TAB_HISTORICO_MANUT[[#This Row],[Hora Inicio]])*24)</f>
        <v>2.1661111110588536</v>
      </c>
      <c r="S4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5" s="54" t="str">
        <f>IF(AND(TAB_HISTORICO_MANUT[[#This Row],[EXPURGO Mãe]]="SIM",TAB_HISTORICO_MANUT[[#This Row],[Tipo]]="MÃE"),"EXP.MAE",IF(TAB_HISTORICO_MANUT[[#This Row],[EXPURGO Mãe]]="NÃO","NÃO EXP.MAE",T44))</f>
        <v>NÃO EXP.MAE</v>
      </c>
      <c r="U4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5" s="56">
        <f>IF(TAB_HISTORICO_MANUT[[#This Row],[EXPURGO Filhas]]="SIM",MAX(TAB_HISTORICO_MANUT[[#This Row],[Hora Final]]-TAB_HISTORICO_MANUT[[#This Row],[Hora Inicio]],0),0)</f>
        <v>0</v>
      </c>
      <c r="W4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5" s="46">
        <v>46063.333425925928</v>
      </c>
      <c r="Z45" s="47">
        <v>46063.423680555556</v>
      </c>
      <c r="AA45" s="48" t="s">
        <v>209</v>
      </c>
      <c r="AB45" s="48" t="s">
        <v>508</v>
      </c>
      <c r="AC45" s="43" t="s">
        <v>204</v>
      </c>
      <c r="AD45" s="46" t="s">
        <v>144</v>
      </c>
      <c r="AE45" s="46" t="s">
        <v>172</v>
      </c>
      <c r="AF45" s="88" t="s">
        <v>210</v>
      </c>
      <c r="AG45" s="105">
        <f>IF(TAB_HISTORICO_MANUT[[#This Row],[Hora Inicio]]="","",MONTH(TAB_HISTORICO_MANUT[[#This Row],[Hora Inicio]]))</f>
        <v>2</v>
      </c>
      <c r="AH45" s="58" t="s">
        <v>520</v>
      </c>
      <c r="AI45" s="43" t="s">
        <v>23</v>
      </c>
      <c r="AJ45" s="43" t="s">
        <v>43</v>
      </c>
      <c r="AK45" s="43" t="s">
        <v>539</v>
      </c>
      <c r="AL45" s="43" t="s">
        <v>540</v>
      </c>
      <c r="AM45" s="114" t="s">
        <v>541</v>
      </c>
      <c r="AN45" s="43"/>
      <c r="AO45" s="43"/>
      <c r="AP45" s="43"/>
    </row>
    <row r="46" spans="1:42" ht="50.1" customHeight="1" x14ac:dyDescent="0.25">
      <c r="A46" s="43">
        <f>MONTH(TAB_HISTORICO_MANUT[[#This Row],[Hora Final]])-MONTH(TAB_HISTORICO_MANUT[[#This Row],[Hora Inicio]])</f>
        <v>0</v>
      </c>
      <c r="B46" s="42"/>
      <c r="C46" s="43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Inicio]]=Z45,TAB_HISTORICO_MANUT[[#This Row],[Equipamento]]=AA45,TAB_HISTORICO_MANUT[[#This Row],[Descricao Despacho]]=AD45),0,1)))</f>
        <v>1</v>
      </c>
      <c r="O4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ELEVAÇÃO</v>
      </c>
      <c r="P4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6" s="50">
        <f>IF($Q46="","",(TAB_HISTORICO_MANUT[[#This Row],[Hora Final]]-TAB_HISTORICO_MANUT[[#This Row],[Hora Inicio]])*24)</f>
        <v>2.721666666737292</v>
      </c>
      <c r="S4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6" s="54" t="str">
        <f>IF(AND(TAB_HISTORICO_MANUT[[#This Row],[EXPURGO Mãe]]="SIM",TAB_HISTORICO_MANUT[[#This Row],[Tipo]]="MÃE"),"EXP.MAE",IF(TAB_HISTORICO_MANUT[[#This Row],[EXPURGO Mãe]]="NÃO","NÃO EXP.MAE",T45))</f>
        <v>NÃO EXP.MAE</v>
      </c>
      <c r="U4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6" s="56">
        <f>IF(TAB_HISTORICO_MANUT[[#This Row],[EXPURGO Filhas]]="SIM",MAX(TAB_HISTORICO_MANUT[[#This Row],[Hora Final]]-TAB_HISTORICO_MANUT[[#This Row],[Hora Inicio]],0),0)</f>
        <v>0</v>
      </c>
      <c r="W4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6" s="46">
        <v>46066.907835648148</v>
      </c>
      <c r="Z46" s="47">
        <v>46067.021238425928</v>
      </c>
      <c r="AA46" s="48" t="s">
        <v>209</v>
      </c>
      <c r="AB46" s="48" t="s">
        <v>561</v>
      </c>
      <c r="AC46" s="43" t="s">
        <v>204</v>
      </c>
      <c r="AD46" s="46" t="s">
        <v>144</v>
      </c>
      <c r="AE46" s="46" t="s">
        <v>172</v>
      </c>
      <c r="AF46" s="88" t="s">
        <v>210</v>
      </c>
      <c r="AG46" s="105">
        <f>IF(TAB_HISTORICO_MANUT[[#This Row],[Hora Inicio]]="","",MONTH(TAB_HISTORICO_MANUT[[#This Row],[Hora Inicio]]))</f>
        <v>2</v>
      </c>
      <c r="AH46" s="58" t="s">
        <v>587</v>
      </c>
      <c r="AI46" s="43" t="s">
        <v>44</v>
      </c>
      <c r="AJ46" s="43" t="s">
        <v>149</v>
      </c>
      <c r="AK46" s="43" t="s">
        <v>608</v>
      </c>
      <c r="AL46" s="43" t="s">
        <v>297</v>
      </c>
      <c r="AM46" s="114" t="s">
        <v>276</v>
      </c>
      <c r="AN46" s="43" t="s">
        <v>217</v>
      </c>
      <c r="AO46" s="43" t="s">
        <v>573</v>
      </c>
      <c r="AP46" s="43" t="s">
        <v>218</v>
      </c>
    </row>
    <row r="47" spans="1:42" ht="50.1" customHeight="1" x14ac:dyDescent="0.25">
      <c r="A47" s="43">
        <f>MONTH(TAB_HISTORICO_MANUT[[#This Row],[Hora Final]])-MONTH(TAB_HISTORICO_MANUT[[#This Row],[Hora Inicio]])</f>
        <v>0</v>
      </c>
      <c r="B47" s="42"/>
      <c r="C47" s="43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Inicio]]=Z46,TAB_HISTORICO_MANUT[[#This Row],[Equipamento]]=AA46,TAB_HISTORICO_MANUT[[#This Row],[Descricao Despacho]]=AD46),0,1)))</f>
        <v/>
      </c>
      <c r="O4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47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4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47" s="50" t="str">
        <f>IF($Q47="","",(TAB_HISTORICO_MANUT[[#This Row],[Hora Final]]-TAB_HISTORICO_MANUT[[#This Row],[Hora Inicio]])*24)</f>
        <v/>
      </c>
      <c r="S4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47" s="54" t="str">
        <f>IF(AND(TAB_HISTORICO_MANUT[[#This Row],[EXPURGO Mãe]]="SIM",TAB_HISTORICO_MANUT[[#This Row],[Tipo]]="MÃE"),"EXP.MAE",IF(TAB_HISTORICO_MANUT[[#This Row],[EXPURGO Mãe]]="NÃO","NÃO EXP.MAE",T46))</f>
        <v>NÃO EXP.MAE</v>
      </c>
      <c r="U4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47" s="56">
        <f>IF(TAB_HISTORICO_MANUT[[#This Row],[EXPURGO Filhas]]="SIM",MAX(TAB_HISTORICO_MANUT[[#This Row],[Hora Final]]-TAB_HISTORICO_MANUT[[#This Row],[Hora Inicio]],0),0)</f>
        <v>3.680555555911269E-2</v>
      </c>
      <c r="W4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7" s="46">
        <v>46066.907835648148</v>
      </c>
      <c r="Z47" s="47">
        <v>46066.944641203707</v>
      </c>
      <c r="AA47" s="48" t="s">
        <v>209</v>
      </c>
      <c r="AB47" s="48" t="s">
        <v>561</v>
      </c>
      <c r="AC47" s="43" t="s">
        <v>204</v>
      </c>
      <c r="AD47" s="46" t="s">
        <v>144</v>
      </c>
      <c r="AE47" s="46" t="s">
        <v>231</v>
      </c>
      <c r="AF47" s="88" t="s">
        <v>767</v>
      </c>
      <c r="AG47" s="105">
        <f>IF(TAB_HISTORICO_MANUT[[#This Row],[Hora Inicio]]="","",MONTH(TAB_HISTORICO_MANUT[[#This Row],[Hora Inicio]]))</f>
        <v>2</v>
      </c>
      <c r="AH47" s="58" t="s">
        <v>587</v>
      </c>
      <c r="AI47" s="43" t="s">
        <v>44</v>
      </c>
      <c r="AJ47" s="43" t="s">
        <v>149</v>
      </c>
      <c r="AK47" s="43" t="s">
        <v>608</v>
      </c>
      <c r="AL47" s="43" t="s">
        <v>25</v>
      </c>
      <c r="AM47" s="114" t="s">
        <v>276</v>
      </c>
      <c r="AN47" s="43" t="s">
        <v>217</v>
      </c>
      <c r="AO47" s="43" t="s">
        <v>573</v>
      </c>
      <c r="AP47" s="43" t="s">
        <v>218</v>
      </c>
    </row>
    <row r="48" spans="1:42" ht="50.1" customHeight="1" x14ac:dyDescent="0.25">
      <c r="A48" s="43">
        <f>MONTH(TAB_HISTORICO_MANUT[[#This Row],[Hora Final]])-MONTH(TAB_HISTORICO_MANUT[[#This Row],[Hora Inicio]])</f>
        <v>0</v>
      </c>
      <c r="B48" s="42"/>
      <c r="C48" s="43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Inicio]]=Z47,TAB_HISTORICO_MANUT[[#This Row],[Equipamento]]=AA47,TAB_HISTORICO_MANUT[[#This Row],[Descricao Despacho]]=AD47),0,1)))</f>
        <v>1</v>
      </c>
      <c r="O4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48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4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48" s="50">
        <f>IF($Q48="","",(TAB_HISTORICO_MANUT[[#This Row],[Hora Final]]-TAB_HISTORICO_MANUT[[#This Row],[Hora Inicio]])*24)</f>
        <v>2.1294444445520639</v>
      </c>
      <c r="S4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48" s="54" t="str">
        <f>IF(AND(TAB_HISTORICO_MANUT[[#This Row],[EXPURGO Mãe]]="SIM",TAB_HISTORICO_MANUT[[#This Row],[Tipo]]="MÃE"),"EXP.MAE",IF(TAB_HISTORICO_MANUT[[#This Row],[EXPURGO Mãe]]="NÃO","NÃO EXP.MAE",T47))</f>
        <v>EXP.MAE</v>
      </c>
      <c r="U4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8" s="56">
        <f>IF(TAB_HISTORICO_MANUT[[#This Row],[EXPURGO Filhas]]="SIM",MAX(TAB_HISTORICO_MANUT[[#This Row],[Hora Final]]-TAB_HISTORICO_MANUT[[#This Row],[Hora Inicio]],0),0)</f>
        <v>0</v>
      </c>
      <c r="W4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8" s="46">
        <v>46067.98909722222</v>
      </c>
      <c r="Z48" s="47">
        <v>46068.077824074076</v>
      </c>
      <c r="AA48" s="48" t="s">
        <v>209</v>
      </c>
      <c r="AB48" s="48"/>
      <c r="AC48" s="43" t="s">
        <v>364</v>
      </c>
      <c r="AD48" s="46" t="s">
        <v>145</v>
      </c>
      <c r="AE48" s="46" t="s">
        <v>360</v>
      </c>
      <c r="AF48" s="88" t="s">
        <v>210</v>
      </c>
      <c r="AG48" s="105">
        <f>IF(TAB_HISTORICO_MANUT[[#This Row],[Hora Inicio]]="","",MONTH(TAB_HISTORICO_MANUT[[#This Row],[Hora Inicio]]))</f>
        <v>2</v>
      </c>
      <c r="AH48" s="58"/>
      <c r="AI48" s="43" t="s">
        <v>82</v>
      </c>
      <c r="AJ48" s="43" t="s">
        <v>82</v>
      </c>
      <c r="AK48" s="43" t="s">
        <v>82</v>
      </c>
      <c r="AL48" s="43" t="s">
        <v>82</v>
      </c>
      <c r="AM48" s="114" t="s">
        <v>82</v>
      </c>
      <c r="AN48" s="43"/>
      <c r="AO48" s="43"/>
      <c r="AP48" s="43"/>
    </row>
    <row r="49" spans="1:42" ht="50.1" customHeight="1" x14ac:dyDescent="0.25">
      <c r="A49" s="43">
        <f>MONTH(TAB_HISTORICO_MANUT[[#This Row],[Hora Final]])-MONTH(TAB_HISTORICO_MANUT[[#This Row],[Hora Inicio]])</f>
        <v>0</v>
      </c>
      <c r="B49" s="42"/>
      <c r="C49" s="43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Inicio]]=Z48,TAB_HISTORICO_MANUT[[#This Row],[Equipamento]]=AA48,TAB_HISTORICO_MANUT[[#This Row],[Descricao Despacho]]=AD48),0,1)))</f>
        <v>1</v>
      </c>
      <c r="O4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49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9" s="50">
        <f>IF($Q49="","",(TAB_HISTORICO_MANUT[[#This Row],[Hora Final]]-TAB_HISTORICO_MANUT[[#This Row],[Hora Inicio]])*24)</f>
        <v>5.7933333333930932</v>
      </c>
      <c r="S4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9" s="54" t="str">
        <f>IF(AND(TAB_HISTORICO_MANUT[[#This Row],[EXPURGO Mãe]]="SIM",TAB_HISTORICO_MANUT[[#This Row],[Tipo]]="MÃE"),"EXP.MAE",IF(TAB_HISTORICO_MANUT[[#This Row],[EXPURGO Mãe]]="NÃO","NÃO EXP.MAE",T48))</f>
        <v>NÃO EXP.MAE</v>
      </c>
      <c r="U4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9" s="56">
        <f>IF(TAB_HISTORICO_MANUT[[#This Row],[EXPURGO Filhas]]="SIM",MAX(TAB_HISTORICO_MANUT[[#This Row],[Hora Final]]-TAB_HISTORICO_MANUT[[#This Row],[Hora Inicio]],0),0)</f>
        <v>0</v>
      </c>
      <c r="W4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9" s="46">
        <v>46069.406192129631</v>
      </c>
      <c r="Z49" s="47">
        <v>46069.647581018522</v>
      </c>
      <c r="AA49" s="48" t="s">
        <v>209</v>
      </c>
      <c r="AB49" s="48" t="s">
        <v>565</v>
      </c>
      <c r="AC49" s="43" t="s">
        <v>204</v>
      </c>
      <c r="AD49" s="46" t="s">
        <v>144</v>
      </c>
      <c r="AE49" s="46" t="s">
        <v>172</v>
      </c>
      <c r="AF49" s="88" t="s">
        <v>210</v>
      </c>
      <c r="AG49" s="105">
        <f>IF(TAB_HISTORICO_MANUT[[#This Row],[Hora Inicio]]="","",MONTH(TAB_HISTORICO_MANUT[[#This Row],[Hora Inicio]]))</f>
        <v>2</v>
      </c>
      <c r="AH49" s="58" t="s">
        <v>593</v>
      </c>
      <c r="AI49" s="43" t="s">
        <v>22</v>
      </c>
      <c r="AJ49" s="43" t="s">
        <v>46</v>
      </c>
      <c r="AK49" s="43" t="s">
        <v>458</v>
      </c>
      <c r="AL49" s="43" t="s">
        <v>275</v>
      </c>
      <c r="AM49" s="114" t="s">
        <v>276</v>
      </c>
      <c r="AN49" s="43" t="s">
        <v>217</v>
      </c>
      <c r="AO49" s="43" t="s">
        <v>579</v>
      </c>
      <c r="AP49" s="43" t="s">
        <v>580</v>
      </c>
    </row>
    <row r="50" spans="1:42" ht="50.1" customHeight="1" x14ac:dyDescent="0.25">
      <c r="A50" s="43">
        <f>MONTH(TAB_HISTORICO_MANUT[[#This Row],[Hora Final]])-MONTH(TAB_HISTORICO_MANUT[[#This Row],[Hora Inicio]])</f>
        <v>0</v>
      </c>
      <c r="B50" s="42"/>
      <c r="C50" s="43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Inicio]]=Z49,TAB_HISTORICO_MANUT[[#This Row],[Equipamento]]=AA49,TAB_HISTORICO_MANUT[[#This Row],[Descricao Despacho]]=AD49),0,1)))</f>
        <v>1</v>
      </c>
      <c r="O5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50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50" s="50">
        <f>IF($Q50="","",(TAB_HISTORICO_MANUT[[#This Row],[Hora Final]]-TAB_HISTORICO_MANUT[[#This Row],[Hora Inicio]])*24)</f>
        <v>2.283888888952788</v>
      </c>
      <c r="S5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0" s="54" t="str">
        <f>IF(AND(TAB_HISTORICO_MANUT[[#This Row],[EXPURGO Mãe]]="SIM",TAB_HISTORICO_MANUT[[#This Row],[Tipo]]="MÃE"),"EXP.MAE",IF(TAB_HISTORICO_MANUT[[#This Row],[EXPURGO Mãe]]="NÃO","NÃO EXP.MAE",T49))</f>
        <v>NÃO EXP.MAE</v>
      </c>
      <c r="U5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0" s="56">
        <f>IF(TAB_HISTORICO_MANUT[[#This Row],[EXPURGO Filhas]]="SIM",MAX(TAB_HISTORICO_MANUT[[#This Row],[Hora Final]]-TAB_HISTORICO_MANUT[[#This Row],[Hora Inicio]],0),0)</f>
        <v>0</v>
      </c>
      <c r="W5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0" s="46">
        <v>46069.836400462962</v>
      </c>
      <c r="Z50" s="47">
        <v>46069.931562500002</v>
      </c>
      <c r="AA50" s="48" t="s">
        <v>209</v>
      </c>
      <c r="AB50" s="48" t="s">
        <v>567</v>
      </c>
      <c r="AC50" s="43" t="s">
        <v>204</v>
      </c>
      <c r="AD50" s="46" t="s">
        <v>144</v>
      </c>
      <c r="AE50" s="46" t="s">
        <v>172</v>
      </c>
      <c r="AF50" s="88" t="s">
        <v>210</v>
      </c>
      <c r="AG50" s="105">
        <f>IF(TAB_HISTORICO_MANUT[[#This Row],[Hora Inicio]]="","",MONTH(TAB_HISTORICO_MANUT[[#This Row],[Hora Inicio]]))</f>
        <v>2</v>
      </c>
      <c r="AH50" s="58" t="s">
        <v>597</v>
      </c>
      <c r="AI50" s="43" t="s">
        <v>22</v>
      </c>
      <c r="AJ50" s="43" t="s">
        <v>284</v>
      </c>
      <c r="AK50" s="43" t="s">
        <v>284</v>
      </c>
      <c r="AL50" s="43" t="s">
        <v>612</v>
      </c>
      <c r="AM50" s="114" t="s">
        <v>337</v>
      </c>
      <c r="AN50" s="43" t="s">
        <v>215</v>
      </c>
      <c r="AO50" s="43" t="s">
        <v>224</v>
      </c>
      <c r="AP50" s="43" t="s">
        <v>225</v>
      </c>
    </row>
    <row r="51" spans="1:42" ht="50.1" customHeight="1" x14ac:dyDescent="0.25">
      <c r="A51" s="43">
        <f>MONTH(TAB_HISTORICO_MANUT[[#This Row],[Hora Final]])-MONTH(TAB_HISTORICO_MANUT[[#This Row],[Hora Inicio]])</f>
        <v>0</v>
      </c>
      <c r="B51" s="42"/>
      <c r="C51" s="43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Inicio]]=Z50,TAB_HISTORICO_MANUT[[#This Row],[Equipamento]]=AA50,TAB_HISTORICO_MANUT[[#This Row],[Descricao Despacho]]=AD50),0,1)))</f>
        <v>1</v>
      </c>
      <c r="O5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51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51" s="50">
        <f>IF($Q51="","",(TAB_HISTORICO_MANUT[[#This Row],[Hora Final]]-TAB_HISTORICO_MANUT[[#This Row],[Hora Inicio]])*24)</f>
        <v>7.536388888838701</v>
      </c>
      <c r="S5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1" s="54" t="str">
        <f>IF(AND(TAB_HISTORICO_MANUT[[#This Row],[EXPURGO Mãe]]="SIM",TAB_HISTORICO_MANUT[[#This Row],[Tipo]]="MÃE"),"EXP.MAE",IF(TAB_HISTORICO_MANUT[[#This Row],[EXPURGO Mãe]]="NÃO","NÃO EXP.MAE",T50))</f>
        <v>NÃO EXP.MAE</v>
      </c>
      <c r="U5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1" s="56">
        <f>IF(TAB_HISTORICO_MANUT[[#This Row],[EXPURGO Filhas]]="SIM",MAX(TAB_HISTORICO_MANUT[[#This Row],[Hora Final]]-TAB_HISTORICO_MANUT[[#This Row],[Hora Inicio]],0),0)</f>
        <v>0</v>
      </c>
      <c r="W5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1" s="46">
        <v>46070.406655092593</v>
      </c>
      <c r="Z51" s="47">
        <v>46070.720671296294</v>
      </c>
      <c r="AA51" s="48" t="s">
        <v>209</v>
      </c>
      <c r="AB51" s="48"/>
      <c r="AC51" s="43" t="s">
        <v>481</v>
      </c>
      <c r="AD51" s="46" t="s">
        <v>146</v>
      </c>
      <c r="AE51" s="46" t="s">
        <v>480</v>
      </c>
      <c r="AF51" s="88" t="s">
        <v>210</v>
      </c>
      <c r="AG51" s="105">
        <f>IF(TAB_HISTORICO_MANUT[[#This Row],[Hora Inicio]]="","",MONTH(TAB_HISTORICO_MANUT[[#This Row],[Hora Inicio]]))</f>
        <v>2</v>
      </c>
      <c r="AH51" s="58" t="s">
        <v>482</v>
      </c>
      <c r="AI51" s="43" t="s">
        <v>21</v>
      </c>
      <c r="AJ51" s="43"/>
      <c r="AK51" s="43"/>
      <c r="AL51" s="43"/>
      <c r="AM51" s="114"/>
      <c r="AN51" s="43"/>
      <c r="AO51" s="43"/>
      <c r="AP51" s="43"/>
    </row>
    <row r="52" spans="1:42" ht="50.1" customHeight="1" x14ac:dyDescent="0.25">
      <c r="A52" s="43">
        <f>MONTH(TAB_HISTORICO_MANUT[[#This Row],[Hora Final]])-MONTH(TAB_HISTORICO_MANUT[[#This Row],[Hora Inicio]])</f>
        <v>0</v>
      </c>
      <c r="B52" s="42"/>
      <c r="C52" s="43"/>
      <c r="D52" s="42"/>
      <c r="E52" s="42"/>
      <c r="F52" s="42"/>
      <c r="G52" s="42"/>
      <c r="H52" s="42"/>
      <c r="I52" s="42"/>
      <c r="J52" s="42"/>
      <c r="K52" s="42"/>
      <c r="L52" s="42"/>
      <c r="M52" s="42" t="s">
        <v>98</v>
      </c>
      <c r="N52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Inicio]]=Z51,TAB_HISTORICO_MANUT[[#This Row],[Equipamento]]=AA51,TAB_HISTORICO_MANUT[[#This Row],[Descricao Despacho]]=AD51),0,1)))</f>
        <v/>
      </c>
      <c r="O5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52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5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52" s="50" t="str">
        <f>IF($Q52="","",(TAB_HISTORICO_MANUT[[#This Row],[Hora Final]]-TAB_HISTORICO_MANUT[[#This Row],[Hora Inicio]])*24)</f>
        <v/>
      </c>
      <c r="S5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52" s="54" t="str">
        <f>IF(AND(TAB_HISTORICO_MANUT[[#This Row],[EXPURGO Mãe]]="SIM",TAB_HISTORICO_MANUT[[#This Row],[Tipo]]="MÃE"),"EXP.MAE",IF(TAB_HISTORICO_MANUT[[#This Row],[EXPURGO Mãe]]="NÃO","NÃO EXP.MAE",T51))</f>
        <v>NÃO EXP.MAE</v>
      </c>
      <c r="U5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52" s="56">
        <f>IF(TAB_HISTORICO_MANUT[[#This Row],[EXPURGO Filhas]]="SIM",MAX(TAB_HISTORICO_MANUT[[#This Row],[Hora Final]]-TAB_HISTORICO_MANUT[[#This Row],[Hora Inicio]],0),0)</f>
        <v>0.15261187319993041</v>
      </c>
      <c r="W5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2" s="46">
        <v>46070.568059423094</v>
      </c>
      <c r="Z52" s="47">
        <v>46070.720671296294</v>
      </c>
      <c r="AA52" s="48" t="s">
        <v>209</v>
      </c>
      <c r="AB52" s="48"/>
      <c r="AC52" s="43" t="s">
        <v>481</v>
      </c>
      <c r="AD52" s="46" t="s">
        <v>146</v>
      </c>
      <c r="AE52" s="46" t="s">
        <v>480</v>
      </c>
      <c r="AF52" s="88" t="s">
        <v>767</v>
      </c>
      <c r="AG52" s="105">
        <f>IF(TAB_HISTORICO_MANUT[[#This Row],[Hora Inicio]]="","",MONTH(TAB_HISTORICO_MANUT[[#This Row],[Hora Inicio]]))</f>
        <v>2</v>
      </c>
      <c r="AH52" s="58" t="s">
        <v>482</v>
      </c>
      <c r="AI52" s="43" t="s">
        <v>21</v>
      </c>
      <c r="AJ52" s="43"/>
      <c r="AK52" s="43"/>
      <c r="AL52" s="43"/>
      <c r="AM52" s="114"/>
      <c r="AN52" s="43"/>
      <c r="AO52" s="43"/>
      <c r="AP52" s="43"/>
    </row>
    <row r="53" spans="1:42" ht="50.1" customHeight="1" x14ac:dyDescent="0.25">
      <c r="A53" s="43">
        <f>MONTH(TAB_HISTORICO_MANUT[[#This Row],[Hora Final]])-MONTH(TAB_HISTORICO_MANUT[[#This Row],[Hora Inicio]])</f>
        <v>0</v>
      </c>
      <c r="B53" s="42"/>
      <c r="C53" s="43"/>
      <c r="D53" s="42"/>
      <c r="E53" s="42"/>
      <c r="F53" s="42"/>
      <c r="G53" s="42"/>
      <c r="H53" s="42"/>
      <c r="I53" s="42"/>
      <c r="J53" s="42"/>
      <c r="K53" s="42"/>
      <c r="L53" s="42"/>
      <c r="M53" s="42" t="s">
        <v>99</v>
      </c>
      <c r="N5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Inicio]]=Z52,TAB_HISTORICO_MANUT[[#This Row],[Equipamento]]=AA52,TAB_HISTORICO_MANUT[[#This Row],[Descricao Despacho]]=AD52),0,1)))</f>
        <v>1</v>
      </c>
      <c r="O5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53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53" s="50">
        <f>IF($Q53="","",(TAB_HISTORICO_MANUT[[#This Row],[Hora Final]]-TAB_HISTORICO_MANUT[[#This Row],[Hora Inicio]])*24)</f>
        <v>0.99999999994179234</v>
      </c>
      <c r="S5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3" s="54" t="str">
        <f>IF(AND(TAB_HISTORICO_MANUT[[#This Row],[EXPURGO Mãe]]="SIM",TAB_HISTORICO_MANUT[[#This Row],[Tipo]]="MÃE"),"EXP.MAE",IF(TAB_HISTORICO_MANUT[[#This Row],[EXPURGO Mãe]]="NÃO","NÃO EXP.MAE",T52))</f>
        <v>NÃO EXP.MAE</v>
      </c>
      <c r="U5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3" s="56">
        <f>IF(TAB_HISTORICO_MANUT[[#This Row],[EXPURGO Filhas]]="SIM",MAX(TAB_HISTORICO_MANUT[[#This Row],[Hora Final]]-TAB_HISTORICO_MANUT[[#This Row],[Hora Inicio]],0),0)</f>
        <v>0</v>
      </c>
      <c r="W5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3" s="46">
        <v>46070.819606481484</v>
      </c>
      <c r="Z53" s="47">
        <v>46070.861273148148</v>
      </c>
      <c r="AA53" s="48" t="s">
        <v>209</v>
      </c>
      <c r="AB53" s="48"/>
      <c r="AC53" s="43" t="s">
        <v>300</v>
      </c>
      <c r="AD53" s="46" t="s">
        <v>146</v>
      </c>
      <c r="AE53" s="46" t="s">
        <v>178</v>
      </c>
      <c r="AF53" s="88" t="s">
        <v>210</v>
      </c>
      <c r="AG53" s="105">
        <f>IF(TAB_HISTORICO_MANUT[[#This Row],[Hora Inicio]]="","",MONTH(TAB_HISTORICO_MANUT[[#This Row],[Hora Inicio]]))</f>
        <v>2</v>
      </c>
      <c r="AH53" s="58" t="s">
        <v>618</v>
      </c>
      <c r="AI53" s="43" t="s">
        <v>340</v>
      </c>
      <c r="AJ53" s="43" t="s">
        <v>617</v>
      </c>
      <c r="AK53" s="43"/>
      <c r="AL53" s="43"/>
      <c r="AM53" s="114"/>
      <c r="AN53" s="43"/>
      <c r="AO53" s="43"/>
      <c r="AP53" s="43"/>
    </row>
    <row r="54" spans="1:42" ht="50.1" customHeight="1" x14ac:dyDescent="0.25">
      <c r="A54" s="43">
        <f>MONTH(TAB_HISTORICO_MANUT[[#This Row],[Hora Final]])-MONTH(TAB_HISTORICO_MANUT[[#This Row],[Hora Inicio]])</f>
        <v>0</v>
      </c>
      <c r="B54" s="42"/>
      <c r="C54" s="43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Inicio]]=Z53,TAB_HISTORICO_MANUT[[#This Row],[Equipamento]]=AA53,TAB_HISTORICO_MANUT[[#This Row],[Descricao Despacho]]=AD53),0,1)))</f>
        <v>0</v>
      </c>
      <c r="O5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54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54" s="50">
        <f>IF($Q54="","",(TAB_HISTORICO_MANUT[[#This Row],[Hora Final]]-TAB_HISTORICO_MANUT[[#This Row],[Hora Inicio]])*24)</f>
        <v>0.42305555561324582</v>
      </c>
      <c r="S5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54" s="54" t="str">
        <f>IF(AND(TAB_HISTORICO_MANUT[[#This Row],[EXPURGO Mãe]]="SIM",TAB_HISTORICO_MANUT[[#This Row],[Tipo]]="MÃE"),"EXP.MAE",IF(TAB_HISTORICO_MANUT[[#This Row],[EXPURGO Mãe]]="NÃO","NÃO EXP.MAE",T53))</f>
        <v>EXP.MAE</v>
      </c>
      <c r="U5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4" s="56">
        <f>IF(TAB_HISTORICO_MANUT[[#This Row],[EXPURGO Filhas]]="SIM",MAX(TAB_HISTORICO_MANUT[[#This Row],[Hora Final]]-TAB_HISTORICO_MANUT[[#This Row],[Hora Inicio]],0),0)</f>
        <v>0</v>
      </c>
      <c r="W5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4" s="46">
        <v>46070.861273148148</v>
      </c>
      <c r="Z54" s="47">
        <v>46070.878900462965</v>
      </c>
      <c r="AA54" s="48" t="s">
        <v>209</v>
      </c>
      <c r="AB54" s="48"/>
      <c r="AC54" s="43" t="s">
        <v>300</v>
      </c>
      <c r="AD54" s="46" t="s">
        <v>146</v>
      </c>
      <c r="AE54" s="46" t="s">
        <v>178</v>
      </c>
      <c r="AF54" s="88" t="s">
        <v>210</v>
      </c>
      <c r="AG54" s="105">
        <f>IF(TAB_HISTORICO_MANUT[[#This Row],[Hora Inicio]]="","",MONTH(TAB_HISTORICO_MANUT[[#This Row],[Hora Inicio]]))</f>
        <v>2</v>
      </c>
      <c r="AH54" s="58" t="s">
        <v>618</v>
      </c>
      <c r="AI54" s="43" t="s">
        <v>340</v>
      </c>
      <c r="AJ54" s="43" t="s">
        <v>617</v>
      </c>
      <c r="AK54" s="43"/>
      <c r="AL54" s="43"/>
      <c r="AM54" s="114"/>
      <c r="AN54" s="43"/>
      <c r="AO54" s="43"/>
      <c r="AP54" s="43"/>
    </row>
    <row r="55" spans="1:42" ht="50.1" customHeight="1" x14ac:dyDescent="0.25">
      <c r="A55" s="43">
        <f>MONTH(TAB_HISTORICO_MANUT[[#This Row],[Hora Final]])-MONTH(TAB_HISTORICO_MANUT[[#This Row],[Hora Inicio]])</f>
        <v>0</v>
      </c>
      <c r="B55" s="42"/>
      <c r="C55" s="43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Inicio]]=Z54,TAB_HISTORICO_MANUT[[#This Row],[Equipamento]]=AA54,TAB_HISTORICO_MANUT[[#This Row],[Descricao Despacho]]=AD54),0,1)))</f>
        <v>0</v>
      </c>
      <c r="O5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55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55" s="50">
        <f>IF($Q55="","",(TAB_HISTORICO_MANUT[[#This Row],[Hora Final]]-TAB_HISTORICO_MANUT[[#This Row],[Hora Inicio]])*24)</f>
        <v>3.5072222222224809</v>
      </c>
      <c r="S5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5" s="54" t="str">
        <f>IF(AND(TAB_HISTORICO_MANUT[[#This Row],[EXPURGO Mãe]]="SIM",TAB_HISTORICO_MANUT[[#This Row],[Tipo]]="MÃE"),"EXP.MAE",IF(TAB_HISTORICO_MANUT[[#This Row],[EXPURGO Mãe]]="NÃO","NÃO EXP.MAE",T54))</f>
        <v>NÃO EXP.MAE</v>
      </c>
      <c r="U5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5" s="56">
        <f>IF(TAB_HISTORICO_MANUT[[#This Row],[EXPURGO Filhas]]="SIM",MAX(TAB_HISTORICO_MANUT[[#This Row],[Hora Final]]-TAB_HISTORICO_MANUT[[#This Row],[Hora Inicio]],0),0)</f>
        <v>0</v>
      </c>
      <c r="W5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5" s="46">
        <v>46070.878900462965</v>
      </c>
      <c r="Z55" s="47">
        <v>46071.025034722225</v>
      </c>
      <c r="AA55" s="48" t="s">
        <v>209</v>
      </c>
      <c r="AB55" s="48"/>
      <c r="AC55" s="43" t="s">
        <v>301</v>
      </c>
      <c r="AD55" s="46" t="s">
        <v>146</v>
      </c>
      <c r="AE55" s="46" t="s">
        <v>310</v>
      </c>
      <c r="AF55" s="88" t="s">
        <v>210</v>
      </c>
      <c r="AG55" s="105">
        <f>IF(TAB_HISTORICO_MANUT[[#This Row],[Hora Inicio]]="","",MONTH(TAB_HISTORICO_MANUT[[#This Row],[Hora Inicio]]))</f>
        <v>2</v>
      </c>
      <c r="AH55" s="58" t="s">
        <v>618</v>
      </c>
      <c r="AI55" s="43" t="s">
        <v>340</v>
      </c>
      <c r="AJ55" s="43" t="s">
        <v>617</v>
      </c>
      <c r="AK55" s="43"/>
      <c r="AL55" s="43"/>
      <c r="AM55" s="114"/>
      <c r="AN55" s="43"/>
      <c r="AO55" s="43"/>
      <c r="AP55" s="43"/>
    </row>
    <row r="56" spans="1:42" ht="50.1" customHeight="1" x14ac:dyDescent="0.25">
      <c r="A56" s="43">
        <f>MONTH(TAB_HISTORICO_MANUT[[#This Row],[Hora Final]])-MONTH(TAB_HISTORICO_MANUT[[#This Row],[Hora Inicio]])</f>
        <v>0</v>
      </c>
      <c r="B56" s="42"/>
      <c r="C56" s="43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Inicio]]=Z55,TAB_HISTORICO_MANUT[[#This Row],[Equipamento]]=AA55,TAB_HISTORICO_MANUT[[#This Row],[Descricao Despacho]]=AD55),0,1)))</f>
        <v>0</v>
      </c>
      <c r="O5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56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56" s="50">
        <f>IF($Q56="","",(TAB_HISTORICO_MANUT[[#This Row],[Hora Final]]-TAB_HISTORICO_MANUT[[#This Row],[Hora Inicio]])*24)</f>
        <v>3.372499999939464</v>
      </c>
      <c r="S5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6" s="54" t="str">
        <f>IF(AND(TAB_HISTORICO_MANUT[[#This Row],[EXPURGO Mãe]]="SIM",TAB_HISTORICO_MANUT[[#This Row],[Tipo]]="MÃE"),"EXP.MAE",IF(TAB_HISTORICO_MANUT[[#This Row],[EXPURGO Mãe]]="NÃO","NÃO EXP.MAE",T55))</f>
        <v>NÃO EXP.MAE</v>
      </c>
      <c r="U5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6" s="56">
        <f>IF(TAB_HISTORICO_MANUT[[#This Row],[EXPURGO Filhas]]="SIM",MAX(TAB_HISTORICO_MANUT[[#This Row],[Hora Final]]-TAB_HISTORICO_MANUT[[#This Row],[Hora Inicio]],0),0)</f>
        <v>0</v>
      </c>
      <c r="W5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6" s="46">
        <v>46071.025034722225</v>
      </c>
      <c r="Z56" s="47">
        <v>46071.165555555555</v>
      </c>
      <c r="AA56" s="48" t="s">
        <v>209</v>
      </c>
      <c r="AB56" s="48"/>
      <c r="AC56" s="43" t="s">
        <v>302</v>
      </c>
      <c r="AD56" s="46" t="s">
        <v>146</v>
      </c>
      <c r="AE56" s="46" t="s">
        <v>311</v>
      </c>
      <c r="AF56" s="88" t="s">
        <v>210</v>
      </c>
      <c r="AG56" s="105">
        <f>IF(TAB_HISTORICO_MANUT[[#This Row],[Hora Inicio]]="","",MONTH(TAB_HISTORICO_MANUT[[#This Row],[Hora Inicio]]))</f>
        <v>2</v>
      </c>
      <c r="AH56" s="58" t="s">
        <v>618</v>
      </c>
      <c r="AI56" s="43" t="s">
        <v>340</v>
      </c>
      <c r="AJ56" s="43" t="s">
        <v>617</v>
      </c>
      <c r="AK56" s="43"/>
      <c r="AL56" s="43"/>
      <c r="AM56" s="114"/>
      <c r="AN56" s="43"/>
      <c r="AO56" s="43"/>
      <c r="AP56" s="43"/>
    </row>
    <row r="57" spans="1:42" ht="50.1" customHeight="1" x14ac:dyDescent="0.25">
      <c r="A57" s="43">
        <f>MONTH(TAB_HISTORICO_MANUT[[#This Row],[Hora Final]])-MONTH(TAB_HISTORICO_MANUT[[#This Row],[Hora Inicio]])</f>
        <v>0</v>
      </c>
      <c r="B57" s="42"/>
      <c r="C57" s="43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Inicio]]=Z56,TAB_HISTORICO_MANUT[[#This Row],[Equipamento]]=AA56,TAB_HISTORICO_MANUT[[#This Row],[Descricao Despacho]]=AD56),0,1)))</f>
        <v>0</v>
      </c>
      <c r="O5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57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57" s="50">
        <f>IF($Q57="","",(TAB_HISTORICO_MANUT[[#This Row],[Hora Final]]-TAB_HISTORICO_MANUT[[#This Row],[Hora Inicio]])*24)</f>
        <v>24.487222222262062</v>
      </c>
      <c r="S5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7" s="54" t="str">
        <f>IF(AND(TAB_HISTORICO_MANUT[[#This Row],[EXPURGO Mãe]]="SIM",TAB_HISTORICO_MANUT[[#This Row],[Tipo]]="MÃE"),"EXP.MAE",IF(TAB_HISTORICO_MANUT[[#This Row],[EXPURGO Mãe]]="NÃO","NÃO EXP.MAE",T56))</f>
        <v>NÃO EXP.MAE</v>
      </c>
      <c r="U5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7" s="56">
        <f>IF(TAB_HISTORICO_MANUT[[#This Row],[EXPURGO Filhas]]="SIM",MAX(TAB_HISTORICO_MANUT[[#This Row],[Hora Final]]-TAB_HISTORICO_MANUT[[#This Row],[Hora Inicio]],0),0)</f>
        <v>0</v>
      </c>
      <c r="W5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7" s="46">
        <v>46071.165555555555</v>
      </c>
      <c r="Z57" s="47">
        <v>46072.185856481483</v>
      </c>
      <c r="AA57" s="48" t="s">
        <v>209</v>
      </c>
      <c r="AB57" s="48"/>
      <c r="AC57" s="43" t="s">
        <v>301</v>
      </c>
      <c r="AD57" s="46" t="s">
        <v>146</v>
      </c>
      <c r="AE57" s="46" t="s">
        <v>310</v>
      </c>
      <c r="AF57" s="88" t="s">
        <v>210</v>
      </c>
      <c r="AG57" s="105">
        <f>IF(TAB_HISTORICO_MANUT[[#This Row],[Hora Inicio]]="","",MONTH(TAB_HISTORICO_MANUT[[#This Row],[Hora Inicio]]))</f>
        <v>2</v>
      </c>
      <c r="AH57" s="58" t="s">
        <v>618</v>
      </c>
      <c r="AI57" s="43" t="s">
        <v>340</v>
      </c>
      <c r="AJ57" s="43" t="s">
        <v>617</v>
      </c>
      <c r="AK57" s="43"/>
      <c r="AL57" s="43"/>
      <c r="AM57" s="114"/>
      <c r="AN57" s="43"/>
      <c r="AO57" s="43"/>
      <c r="AP57" s="43"/>
    </row>
    <row r="58" spans="1:42" ht="50.1" customHeight="1" x14ac:dyDescent="0.25">
      <c r="A58" s="43">
        <f>MONTH(TAB_HISTORICO_MANUT[[#This Row],[Hora Final]])-MONTH(TAB_HISTORICO_MANUT[[#This Row],[Hora Inicio]])</f>
        <v>0</v>
      </c>
      <c r="B58" s="42"/>
      <c r="C58" s="43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Inicio]]=Z57,TAB_HISTORICO_MANUT[[#This Row],[Equipamento]]=AA57,TAB_HISTORICO_MANUT[[#This Row],[Descricao Despacho]]=AD57),0,1)))</f>
        <v>1</v>
      </c>
      <c r="O5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58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5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58" s="50">
        <f>IF($Q58="","",(TAB_HISTORICO_MANUT[[#This Row],[Hora Final]]-TAB_HISTORICO_MANUT[[#This Row],[Hora Inicio]])*24)</f>
        <v>0.88583333330461755</v>
      </c>
      <c r="S5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8" s="54" t="str">
        <f>IF(AND(TAB_HISTORICO_MANUT[[#This Row],[EXPURGO Mãe]]="SIM",TAB_HISTORICO_MANUT[[#This Row],[Tipo]]="MÃE"),"EXP.MAE",IF(TAB_HISTORICO_MANUT[[#This Row],[EXPURGO Mãe]]="NÃO","NÃO EXP.MAE",T57))</f>
        <v>NÃO EXP.MAE</v>
      </c>
      <c r="U5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8" s="56">
        <f>IF(TAB_HISTORICO_MANUT[[#This Row],[EXPURGO Filhas]]="SIM",MAX(TAB_HISTORICO_MANUT[[#This Row],[Hora Final]]-TAB_HISTORICO_MANUT[[#This Row],[Hora Inicio]],0),0)</f>
        <v>0</v>
      </c>
      <c r="W5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8" s="46">
        <v>46072.515821759262</v>
      </c>
      <c r="Z58" s="47">
        <v>46072.552731481483</v>
      </c>
      <c r="AA58" s="48" t="s">
        <v>209</v>
      </c>
      <c r="AB58" s="48"/>
      <c r="AC58" s="43" t="s">
        <v>205</v>
      </c>
      <c r="AD58" s="46" t="s">
        <v>145</v>
      </c>
      <c r="AE58" s="46" t="s">
        <v>173</v>
      </c>
      <c r="AF58" s="88" t="s">
        <v>210</v>
      </c>
      <c r="AG58" s="105">
        <f>IF(TAB_HISTORICO_MANUT[[#This Row],[Hora Inicio]]="","",MONTH(TAB_HISTORICO_MANUT[[#This Row],[Hora Inicio]]))</f>
        <v>2</v>
      </c>
      <c r="AH58" s="58" t="s">
        <v>326</v>
      </c>
      <c r="AI58" s="43" t="s">
        <v>21</v>
      </c>
      <c r="AJ58" s="43"/>
      <c r="AK58" s="43"/>
      <c r="AL58" s="43"/>
      <c r="AM58" s="114"/>
      <c r="AN58" s="43"/>
      <c r="AO58" s="43"/>
      <c r="AP58" s="43"/>
    </row>
    <row r="59" spans="1:42" ht="50.1" customHeight="1" x14ac:dyDescent="0.25">
      <c r="A59" s="43">
        <f>MONTH(TAB_HISTORICO_MANUT[[#This Row],[Hora Final]])-MONTH(TAB_HISTORICO_MANUT[[#This Row],[Hora Inicio]])</f>
        <v>0</v>
      </c>
      <c r="B59" s="42"/>
      <c r="C59" s="43"/>
      <c r="D59" s="42"/>
      <c r="E59" s="42"/>
      <c r="F59" s="42"/>
      <c r="G59" s="42"/>
      <c r="H59" s="42"/>
      <c r="I59" s="42"/>
      <c r="J59" s="42"/>
      <c r="K59" s="42"/>
      <c r="L59" s="42"/>
      <c r="M59" s="42" t="s">
        <v>98</v>
      </c>
      <c r="N59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Inicio]]=Z58,TAB_HISTORICO_MANUT[[#This Row],[Equipamento]]=AA58,TAB_HISTORICO_MANUT[[#This Row],[Descricao Despacho]]=AD58),0,1)))</f>
        <v/>
      </c>
      <c r="O5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59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5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59" s="50" t="str">
        <f>IF($Q59="","",(TAB_HISTORICO_MANUT[[#This Row],[Hora Final]]-TAB_HISTORICO_MANUT[[#This Row],[Hora Inicio]])*24)</f>
        <v/>
      </c>
      <c r="S5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59" s="54" t="str">
        <f>IF(AND(TAB_HISTORICO_MANUT[[#This Row],[EXPURGO Mãe]]="SIM",TAB_HISTORICO_MANUT[[#This Row],[Tipo]]="MÃE"),"EXP.MAE",IF(TAB_HISTORICO_MANUT[[#This Row],[EXPURGO Mãe]]="NÃO","NÃO EXP.MAE",T58))</f>
        <v>NÃO EXP.MAE</v>
      </c>
      <c r="U5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59" s="56">
        <f>IF(TAB_HISTORICO_MANUT[[#This Row],[EXPURGO Filhas]]="SIM",MAX(TAB_HISTORICO_MANUT[[#This Row],[Hora Final]]-TAB_HISTORICO_MANUT[[#This Row],[Hora Inicio]],0),0)</f>
        <v>1.7938114200660493E-2</v>
      </c>
      <c r="W5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9" s="46">
        <v>46072.534793367282</v>
      </c>
      <c r="Z59" s="47">
        <v>46072.552731481483</v>
      </c>
      <c r="AA59" s="48" t="s">
        <v>209</v>
      </c>
      <c r="AB59" s="48"/>
      <c r="AC59" s="43" t="s">
        <v>205</v>
      </c>
      <c r="AD59" s="46" t="s">
        <v>145</v>
      </c>
      <c r="AE59" s="46" t="s">
        <v>173</v>
      </c>
      <c r="AF59" s="88" t="s">
        <v>767</v>
      </c>
      <c r="AG59" s="105">
        <f>IF(TAB_HISTORICO_MANUT[[#This Row],[Hora Inicio]]="","",MONTH(TAB_HISTORICO_MANUT[[#This Row],[Hora Inicio]]))</f>
        <v>2</v>
      </c>
      <c r="AH59" s="58" t="s">
        <v>326</v>
      </c>
      <c r="AI59" s="43" t="s">
        <v>21</v>
      </c>
      <c r="AJ59" s="43"/>
      <c r="AK59" s="43"/>
      <c r="AL59" s="43"/>
      <c r="AM59" s="114"/>
      <c r="AN59" s="43"/>
      <c r="AO59" s="43"/>
      <c r="AP59" s="43"/>
    </row>
    <row r="60" spans="1:42" ht="50.1" customHeight="1" x14ac:dyDescent="0.25">
      <c r="A60" s="43">
        <f>MONTH(TAB_HISTORICO_MANUT[[#This Row],[Hora Final]])-MONTH(TAB_HISTORICO_MANUT[[#This Row],[Hora Inicio]])</f>
        <v>0</v>
      </c>
      <c r="B60" s="42"/>
      <c r="C60" s="43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Inicio]]=Z59,TAB_HISTORICO_MANUT[[#This Row],[Equipamento]]=AA59,TAB_HISTORICO_MANUT[[#This Row],[Descricao Despacho]]=AD59),0,1)))</f>
        <v>1</v>
      </c>
      <c r="O6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ALERTA DE FADIGA</v>
      </c>
      <c r="P60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6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60" s="50">
        <f>IF($Q60="","",(TAB_HISTORICO_MANUT[[#This Row],[Hora Final]]-TAB_HISTORICO_MANUT[[#This Row],[Hora Inicio]])*24)</f>
        <v>1.6419444442726672</v>
      </c>
      <c r="S6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60" s="54" t="str">
        <f>IF(AND(TAB_HISTORICO_MANUT[[#This Row],[EXPURGO Mãe]]="SIM",TAB_HISTORICO_MANUT[[#This Row],[Tipo]]="MÃE"),"EXP.MAE",IF(TAB_HISTORICO_MANUT[[#This Row],[EXPURGO Mãe]]="NÃO","NÃO EXP.MAE",T59))</f>
        <v>EXP.MAE</v>
      </c>
      <c r="U6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0" s="56">
        <f>IF(TAB_HISTORICO_MANUT[[#This Row],[EXPURGO Filhas]]="SIM",MAX(TAB_HISTORICO_MANUT[[#This Row],[Hora Final]]-TAB_HISTORICO_MANUT[[#This Row],[Hora Inicio]],0),0)</f>
        <v>0</v>
      </c>
      <c r="W6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0" s="46">
        <v>46072.783599537041</v>
      </c>
      <c r="Z60" s="47">
        <v>46072.852013888885</v>
      </c>
      <c r="AA60" s="48" t="s">
        <v>209</v>
      </c>
      <c r="AB60" s="48"/>
      <c r="AC60" s="43" t="s">
        <v>364</v>
      </c>
      <c r="AD60" s="46" t="s">
        <v>145</v>
      </c>
      <c r="AE60" s="46" t="s">
        <v>360</v>
      </c>
      <c r="AF60" s="88" t="s">
        <v>210</v>
      </c>
      <c r="AG60" s="105">
        <f>IF(TAB_HISTORICO_MANUT[[#This Row],[Hora Inicio]]="","",MONTH(TAB_HISTORICO_MANUT[[#This Row],[Hora Inicio]]))</f>
        <v>2</v>
      </c>
      <c r="AH60" s="58" t="s">
        <v>386</v>
      </c>
      <c r="AI60" s="43" t="s">
        <v>87</v>
      </c>
      <c r="AJ60" s="43"/>
      <c r="AK60" s="43"/>
      <c r="AL60" s="43"/>
      <c r="AM60" s="114"/>
      <c r="AN60" s="43"/>
      <c r="AO60" s="43"/>
      <c r="AP60" s="43"/>
    </row>
    <row r="61" spans="1:42" ht="50.1" customHeight="1" x14ac:dyDescent="0.25">
      <c r="A61" s="43">
        <f>MONTH(TAB_HISTORICO_MANUT[[#This Row],[Hora Final]])-MONTH(TAB_HISTORICO_MANUT[[#This Row],[Hora Inicio]])</f>
        <v>0</v>
      </c>
      <c r="B61" s="42"/>
      <c r="C61" s="43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Inicio]]=Z60,TAB_HISTORICO_MANUT[[#This Row],[Equipamento]]=AA60,TAB_HISTORICO_MANUT[[#This Row],[Descricao Despacho]]=AD60),0,1)))</f>
        <v>1</v>
      </c>
      <c r="O6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61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6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61" s="50">
        <f>IF($Q61="","",(TAB_HISTORICO_MANUT[[#This Row],[Hora Final]]-TAB_HISTORICO_MANUT[[#This Row],[Hora Inicio]])*24)</f>
        <v>0.75944444455672055</v>
      </c>
      <c r="S6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1" s="54" t="str">
        <f>IF(AND(TAB_HISTORICO_MANUT[[#This Row],[EXPURGO Mãe]]="SIM",TAB_HISTORICO_MANUT[[#This Row],[Tipo]]="MÃE"),"EXP.MAE",IF(TAB_HISTORICO_MANUT[[#This Row],[EXPURGO Mãe]]="NÃO","NÃO EXP.MAE",T60))</f>
        <v>NÃO EXP.MAE</v>
      </c>
      <c r="U6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1" s="56">
        <f>IF(TAB_HISTORICO_MANUT[[#This Row],[EXPURGO Filhas]]="SIM",MAX(TAB_HISTORICO_MANUT[[#This Row],[Hora Final]]-TAB_HISTORICO_MANUT[[#This Row],[Hora Inicio]],0),0)</f>
        <v>0</v>
      </c>
      <c r="W6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1" s="46">
        <v>46073.504062499997</v>
      </c>
      <c r="Z61" s="47">
        <v>46073.53570601852</v>
      </c>
      <c r="AA61" s="48" t="s">
        <v>209</v>
      </c>
      <c r="AB61" s="48"/>
      <c r="AC61" s="43" t="s">
        <v>560</v>
      </c>
      <c r="AD61" s="46" t="s">
        <v>145</v>
      </c>
      <c r="AE61" s="46" t="s">
        <v>572</v>
      </c>
      <c r="AF61" s="88" t="s">
        <v>210</v>
      </c>
      <c r="AG61" s="105">
        <f>IF(TAB_HISTORICO_MANUT[[#This Row],[Hora Inicio]]="","",MONTH(TAB_HISTORICO_MANUT[[#This Row],[Hora Inicio]]))</f>
        <v>2</v>
      </c>
      <c r="AH61" s="58" t="s">
        <v>603</v>
      </c>
      <c r="AI61" s="43" t="s">
        <v>25</v>
      </c>
      <c r="AJ61" s="43" t="s">
        <v>25</v>
      </c>
      <c r="AK61" s="43" t="s">
        <v>25</v>
      </c>
      <c r="AL61" s="43" t="s">
        <v>25</v>
      </c>
      <c r="AM61" s="114" t="s">
        <v>25</v>
      </c>
      <c r="AN61" s="43"/>
      <c r="AO61" s="43"/>
      <c r="AP61" s="43"/>
    </row>
    <row r="62" spans="1:42" ht="50.1" customHeight="1" x14ac:dyDescent="0.25">
      <c r="A62" s="43">
        <f>MONTH(TAB_HISTORICO_MANUT[[#This Row],[Hora Final]])-MONTH(TAB_HISTORICO_MANUT[[#This Row],[Hora Inicio]])</f>
        <v>0</v>
      </c>
      <c r="B62" s="42"/>
      <c r="C62" s="43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Inicio]]=Z61,TAB_HISTORICO_MANUT[[#This Row],[Equipamento]]=AA61,TAB_HISTORICO_MANUT[[#This Row],[Descricao Despacho]]=AD61),0,1)))</f>
        <v>1</v>
      </c>
      <c r="O6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62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2" s="50">
        <f>IF($Q62="","",(TAB_HISTORICO_MANUT[[#This Row],[Hora Final]]-TAB_HISTORICO_MANUT[[#This Row],[Hora Inicio]])*24)</f>
        <v>1.0441666666301899</v>
      </c>
      <c r="S6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2" s="54" t="str">
        <f>IF(AND(TAB_HISTORICO_MANUT[[#This Row],[EXPURGO Mãe]]="SIM",TAB_HISTORICO_MANUT[[#This Row],[Tipo]]="MÃE"),"EXP.MAE",IF(TAB_HISTORICO_MANUT[[#This Row],[EXPURGO Mãe]]="NÃO","NÃO EXP.MAE",T61))</f>
        <v>NÃO EXP.MAE</v>
      </c>
      <c r="U6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2" s="56">
        <f>IF(TAB_HISTORICO_MANUT[[#This Row],[EXPURGO Filhas]]="SIM",MAX(TAB_HISTORICO_MANUT[[#This Row],[Hora Final]]-TAB_HISTORICO_MANUT[[#This Row],[Hora Inicio]],0),0)</f>
        <v>0</v>
      </c>
      <c r="W6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2" s="46">
        <v>46076.058842592596</v>
      </c>
      <c r="Z62" s="47">
        <v>46076.102349537039</v>
      </c>
      <c r="AA62" s="48" t="s">
        <v>209</v>
      </c>
      <c r="AB62" s="48"/>
      <c r="AC62" s="43" t="s">
        <v>204</v>
      </c>
      <c r="AD62" s="46" t="s">
        <v>144</v>
      </c>
      <c r="AE62" s="46" t="s">
        <v>172</v>
      </c>
      <c r="AF62" s="88" t="s">
        <v>210</v>
      </c>
      <c r="AG62" s="105">
        <f>IF(TAB_HISTORICO_MANUT[[#This Row],[Hora Inicio]]="","",MONTH(TAB_HISTORICO_MANUT[[#This Row],[Hora Inicio]]))</f>
        <v>2</v>
      </c>
      <c r="AH62" s="58" t="s">
        <v>620</v>
      </c>
      <c r="AI62" s="43" t="s">
        <v>23</v>
      </c>
      <c r="AJ62" s="43" t="s">
        <v>43</v>
      </c>
      <c r="AK62" s="43" t="s">
        <v>464</v>
      </c>
      <c r="AL62" s="43" t="s">
        <v>279</v>
      </c>
      <c r="AM62" s="114" t="s">
        <v>280</v>
      </c>
      <c r="AN62" s="43" t="s">
        <v>217</v>
      </c>
      <c r="AO62" s="43" t="s">
        <v>453</v>
      </c>
      <c r="AP62" s="43" t="s">
        <v>457</v>
      </c>
    </row>
    <row r="63" spans="1:42" ht="50.1" customHeight="1" x14ac:dyDescent="0.25">
      <c r="A63" s="43">
        <f>MONTH(TAB_HISTORICO_MANUT[[#This Row],[Hora Final]])-MONTH(TAB_HISTORICO_MANUT[[#This Row],[Hora Inicio]])</f>
        <v>0</v>
      </c>
      <c r="B63" s="42"/>
      <c r="C63" s="43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Inicio]]=Z62,TAB_HISTORICO_MANUT[[#This Row],[Equipamento]]=AA62,TAB_HISTORICO_MANUT[[#This Row],[Descricao Despacho]]=AD62),0,1)))</f>
        <v>1</v>
      </c>
      <c r="O6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63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3" s="50">
        <f>IF($Q63="","",(TAB_HISTORICO_MANUT[[#This Row],[Hora Final]]-TAB_HISTORICO_MANUT[[#This Row],[Hora Inicio]])*24)</f>
        <v>5.8130555555108003</v>
      </c>
      <c r="S6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3" s="54" t="str">
        <f>IF(AND(TAB_HISTORICO_MANUT[[#This Row],[EXPURGO Mãe]]="SIM",TAB_HISTORICO_MANUT[[#This Row],[Tipo]]="MÃE"),"EXP.MAE",IF(TAB_HISTORICO_MANUT[[#This Row],[EXPURGO Mãe]]="NÃO","NÃO EXP.MAE",T62))</f>
        <v>NÃO EXP.MAE</v>
      </c>
      <c r="U6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3" s="56">
        <f>IF(TAB_HISTORICO_MANUT[[#This Row],[EXPURGO Filhas]]="SIM",MAX(TAB_HISTORICO_MANUT[[#This Row],[Hora Final]]-TAB_HISTORICO_MANUT[[#This Row],[Hora Inicio]],0),0)</f>
        <v>0</v>
      </c>
      <c r="W6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3" s="46">
        <v>46079.181018518517</v>
      </c>
      <c r="Z63" s="47">
        <v>46079.423229166663</v>
      </c>
      <c r="AA63" s="48" t="s">
        <v>209</v>
      </c>
      <c r="AB63" s="48" t="s">
        <v>639</v>
      </c>
      <c r="AC63" s="43" t="s">
        <v>204</v>
      </c>
      <c r="AD63" s="46" t="s">
        <v>144</v>
      </c>
      <c r="AE63" s="46" t="s">
        <v>172</v>
      </c>
      <c r="AF63" s="88" t="s">
        <v>210</v>
      </c>
      <c r="AG63" s="105">
        <f>IF(TAB_HISTORICO_MANUT[[#This Row],[Hora Inicio]]="","",MONTH(TAB_HISTORICO_MANUT[[#This Row],[Hora Inicio]]))</f>
        <v>2</v>
      </c>
      <c r="AH63" s="58" t="s">
        <v>645</v>
      </c>
      <c r="AI63" s="43" t="s">
        <v>23</v>
      </c>
      <c r="AJ63" s="43" t="s">
        <v>43</v>
      </c>
      <c r="AK63" s="43" t="s">
        <v>464</v>
      </c>
      <c r="AL63" s="43" t="s">
        <v>279</v>
      </c>
      <c r="AM63" s="114" t="s">
        <v>280</v>
      </c>
      <c r="AN63" s="43" t="s">
        <v>217</v>
      </c>
      <c r="AO63" s="43" t="s">
        <v>453</v>
      </c>
      <c r="AP63" s="43" t="s">
        <v>633</v>
      </c>
    </row>
    <row r="64" spans="1:42" ht="50.1" customHeight="1" x14ac:dyDescent="0.25">
      <c r="A64" s="43">
        <f>MONTH(TAB_HISTORICO_MANUT[[#This Row],[Hora Final]])-MONTH(TAB_HISTORICO_MANUT[[#This Row],[Hora Inicio]])</f>
        <v>0</v>
      </c>
      <c r="B64" s="42"/>
      <c r="C64" s="43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Inicio]]=Z63,TAB_HISTORICO_MANUT[[#This Row],[Equipamento]]=AA63,TAB_HISTORICO_MANUT[[#This Row],[Descricao Despacho]]=AD63),0,1)))</f>
        <v/>
      </c>
      <c r="O6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64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6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64" s="50" t="str">
        <f>IF($Q64="","",(TAB_HISTORICO_MANUT[[#This Row],[Hora Final]]-TAB_HISTORICO_MANUT[[#This Row],[Hora Inicio]])*24)</f>
        <v/>
      </c>
      <c r="S6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64" s="54" t="str">
        <f>IF(AND(TAB_HISTORICO_MANUT[[#This Row],[EXPURGO Mãe]]="SIM",TAB_HISTORICO_MANUT[[#This Row],[Tipo]]="MÃE"),"EXP.MAE",IF(TAB_HISTORICO_MANUT[[#This Row],[EXPURGO Mãe]]="NÃO","NÃO EXP.MAE",T63))</f>
        <v>NÃO EXP.MAE</v>
      </c>
      <c r="U6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64" s="56">
        <f>IF(TAB_HISTORICO_MANUT[[#This Row],[EXPURGO Filhas]]="SIM",MAX(TAB_HISTORICO_MANUT[[#This Row],[Hora Final]]-TAB_HISTORICO_MANUT[[#This Row],[Hora Inicio]],0),0)</f>
        <v>4.1666666664241347E-2</v>
      </c>
      <c r="W6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4" s="46">
        <v>46079.375</v>
      </c>
      <c r="Z64" s="47">
        <v>46079.416666666664</v>
      </c>
      <c r="AA64" s="48" t="s">
        <v>209</v>
      </c>
      <c r="AB64" s="48" t="s">
        <v>639</v>
      </c>
      <c r="AC64" s="43" t="s">
        <v>204</v>
      </c>
      <c r="AD64" s="46" t="s">
        <v>144</v>
      </c>
      <c r="AE64" s="46" t="s">
        <v>765</v>
      </c>
      <c r="AF64" s="88" t="s">
        <v>767</v>
      </c>
      <c r="AG64" s="105">
        <f>IF(TAB_HISTORICO_MANUT[[#This Row],[Hora Inicio]]="","",MONTH(TAB_HISTORICO_MANUT[[#This Row],[Hora Inicio]]))</f>
        <v>2</v>
      </c>
      <c r="AH64" s="58" t="s">
        <v>645</v>
      </c>
      <c r="AI64" s="43" t="s">
        <v>23</v>
      </c>
      <c r="AJ64" s="43" t="s">
        <v>43</v>
      </c>
      <c r="AK64" s="43" t="s">
        <v>464</v>
      </c>
      <c r="AL64" s="43" t="s">
        <v>279</v>
      </c>
      <c r="AM64" s="114" t="s">
        <v>280</v>
      </c>
      <c r="AN64" s="43" t="s">
        <v>217</v>
      </c>
      <c r="AO64" s="43" t="s">
        <v>453</v>
      </c>
      <c r="AP64" s="43" t="s">
        <v>633</v>
      </c>
    </row>
    <row r="65" spans="1:42" ht="50.1" customHeight="1" x14ac:dyDescent="0.25">
      <c r="A65" s="43">
        <f>MONTH(TAB_HISTORICO_MANUT[[#This Row],[Hora Final]])-MONTH(TAB_HISTORICO_MANUT[[#This Row],[Hora Inicio]])</f>
        <v>0</v>
      </c>
      <c r="B65" s="42"/>
      <c r="C65" s="43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Inicio]]=Z64,TAB_HISTORICO_MANUT[[#This Row],[Equipamento]]=AA64,TAB_HISTORICO_MANUT[[#This Row],[Descricao Despacho]]=AD64),0,1)))</f>
        <v>1</v>
      </c>
      <c r="O6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65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5" s="50">
        <f>IF($Q65="","",(TAB_HISTORICO_MANUT[[#This Row],[Hora Final]]-TAB_HISTORICO_MANUT[[#This Row],[Hora Inicio]])*24)</f>
        <v>1.2294444444123656</v>
      </c>
      <c r="S6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5" s="54" t="str">
        <f>IF(AND(TAB_HISTORICO_MANUT[[#This Row],[EXPURGO Mãe]]="SIM",TAB_HISTORICO_MANUT[[#This Row],[Tipo]]="MÃE"),"EXP.MAE",IF(TAB_HISTORICO_MANUT[[#This Row],[EXPURGO Mãe]]="NÃO","NÃO EXP.MAE",T64))</f>
        <v>NÃO EXP.MAE</v>
      </c>
      <c r="U6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5" s="56">
        <f>IF(TAB_HISTORICO_MANUT[[#This Row],[EXPURGO Filhas]]="SIM",MAX(TAB_HISTORICO_MANUT[[#This Row],[Hora Final]]-TAB_HISTORICO_MANUT[[#This Row],[Hora Inicio]],0),0)</f>
        <v>0</v>
      </c>
      <c r="W6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5" s="46">
        <v>46080.541412037041</v>
      </c>
      <c r="Z65" s="47">
        <v>46080.592638888891</v>
      </c>
      <c r="AA65" s="48" t="s">
        <v>209</v>
      </c>
      <c r="AB65" s="48" t="s">
        <v>641</v>
      </c>
      <c r="AC65" s="43" t="s">
        <v>204</v>
      </c>
      <c r="AD65" s="46" t="s">
        <v>144</v>
      </c>
      <c r="AE65" s="46" t="s">
        <v>172</v>
      </c>
      <c r="AF65" s="88" t="s">
        <v>210</v>
      </c>
      <c r="AG65" s="105">
        <f>IF(TAB_HISTORICO_MANUT[[#This Row],[Hora Inicio]]="","",MONTH(TAB_HISTORICO_MANUT[[#This Row],[Hora Inicio]]))</f>
        <v>2</v>
      </c>
      <c r="AH65" s="58" t="s">
        <v>629</v>
      </c>
      <c r="AI65" s="43" t="s">
        <v>22</v>
      </c>
      <c r="AJ65" s="43" t="s">
        <v>284</v>
      </c>
      <c r="AK65" s="43" t="s">
        <v>285</v>
      </c>
      <c r="AL65" s="43" t="s">
        <v>354</v>
      </c>
      <c r="AM65" s="114" t="s">
        <v>355</v>
      </c>
      <c r="AN65" s="43" t="s">
        <v>215</v>
      </c>
      <c r="AO65" s="43" t="s">
        <v>224</v>
      </c>
      <c r="AP65" s="43" t="s">
        <v>636</v>
      </c>
    </row>
    <row r="66" spans="1:42" ht="50.1" customHeight="1" x14ac:dyDescent="0.25">
      <c r="A66" s="43">
        <f>MONTH(TAB_HISTORICO_MANUT[[#This Row],[Hora Final]])-MONTH(TAB_HISTORICO_MANUT[[#This Row],[Hora Inicio]])</f>
        <v>0</v>
      </c>
      <c r="B66" s="42"/>
      <c r="C66" s="43"/>
      <c r="D66" s="42"/>
      <c r="E66" s="42"/>
      <c r="F66" s="42"/>
      <c r="G66" s="42"/>
      <c r="H66" s="42"/>
      <c r="I66" s="42"/>
      <c r="J66" s="42"/>
      <c r="K66" s="42"/>
      <c r="L66" s="42"/>
      <c r="M66" s="42" t="s">
        <v>99</v>
      </c>
      <c r="N6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Inicio]]=Z65,TAB_HISTORICO_MANUT[[#This Row],[Equipamento]]=AA65,TAB_HISTORICO_MANUT[[#This Row],[Descricao Despacho]]=AD65),0,1)))</f>
        <v>1</v>
      </c>
      <c r="O6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66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6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66" s="50">
        <f>IF($Q66="","",(TAB_HISTORICO_MANUT[[#This Row],[Hora Final]]-TAB_HISTORICO_MANUT[[#This Row],[Hora Inicio]])*24)</f>
        <v>0.33194444433320314</v>
      </c>
      <c r="S6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6" s="54" t="str">
        <f>IF(AND(TAB_HISTORICO_MANUT[[#This Row],[EXPURGO Mãe]]="SIM",TAB_HISTORICO_MANUT[[#This Row],[Tipo]]="MÃE"),"EXP.MAE",IF(TAB_HISTORICO_MANUT[[#This Row],[EXPURGO Mãe]]="NÃO","NÃO EXP.MAE",T65))</f>
        <v>NÃO EXP.MAE</v>
      </c>
      <c r="U6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6" s="56">
        <f>IF(TAB_HISTORICO_MANUT[[#This Row],[EXPURGO Filhas]]="SIM",MAX(TAB_HISTORICO_MANUT[[#This Row],[Hora Final]]-TAB_HISTORICO_MANUT[[#This Row],[Hora Inicio]],0),0)</f>
        <v>0</v>
      </c>
      <c r="W6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6" s="46">
        <v>46080.640416666669</v>
      </c>
      <c r="Z66" s="47">
        <v>46080.654247685183</v>
      </c>
      <c r="AA66" s="48" t="s">
        <v>209</v>
      </c>
      <c r="AB66" s="48"/>
      <c r="AC66" s="43" t="s">
        <v>343</v>
      </c>
      <c r="AD66" s="46" t="s">
        <v>145</v>
      </c>
      <c r="AE66" s="46" t="s">
        <v>188</v>
      </c>
      <c r="AF66" s="88" t="s">
        <v>210</v>
      </c>
      <c r="AG66" s="105">
        <f>IF(TAB_HISTORICO_MANUT[[#This Row],[Hora Inicio]]="","",MONTH(TAB_HISTORICO_MANUT[[#This Row],[Hora Inicio]]))</f>
        <v>2</v>
      </c>
      <c r="AH66" s="58" t="s">
        <v>630</v>
      </c>
      <c r="AI66" s="43" t="s">
        <v>21</v>
      </c>
      <c r="AJ66" s="43"/>
      <c r="AK66" s="43"/>
      <c r="AL66" s="43"/>
      <c r="AM66" s="114"/>
      <c r="AN66" s="43"/>
      <c r="AO66" s="43"/>
      <c r="AP66" s="43"/>
    </row>
    <row r="67" spans="1:42" ht="50.1" customHeight="1" x14ac:dyDescent="0.25">
      <c r="A67" s="43">
        <f>MONTH(TAB_HISTORICO_MANUT[[#This Row],[Hora Final]])-MONTH(TAB_HISTORICO_MANUT[[#This Row],[Hora Inicio]])</f>
        <v>0</v>
      </c>
      <c r="B67" s="42"/>
      <c r="C67" s="43"/>
      <c r="D67" s="42"/>
      <c r="E67" s="42"/>
      <c r="F67" s="42"/>
      <c r="G67" s="42"/>
      <c r="H67" s="42"/>
      <c r="I67" s="42"/>
      <c r="J67" s="42"/>
      <c r="K67" s="42"/>
      <c r="L67" s="42"/>
      <c r="M67" s="42" t="s">
        <v>98</v>
      </c>
      <c r="N67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Inicio]]=Z66,TAB_HISTORICO_MANUT[[#This Row],[Equipamento]]=AA66,TAB_HISTORICO_MANUT[[#This Row],[Descricao Despacho]]=AD66),0,1)))</f>
        <v/>
      </c>
      <c r="O6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67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6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67" s="50" t="str">
        <f>IF($Q67="","",(TAB_HISTORICO_MANUT[[#This Row],[Hora Final]]-TAB_HISTORICO_MANUT[[#This Row],[Hora Inicio]])*24)</f>
        <v/>
      </c>
      <c r="S6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67" s="54" t="str">
        <f>IF(AND(TAB_HISTORICO_MANUT[[#This Row],[EXPURGO Mãe]]="SIM",TAB_HISTORICO_MANUT[[#This Row],[Tipo]]="MÃE"),"EXP.MAE",IF(TAB_HISTORICO_MANUT[[#This Row],[EXPURGO Mãe]]="NÃO","NÃO EXP.MAE",T66))</f>
        <v>NÃO EXP.MAE</v>
      </c>
      <c r="U6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67" s="56">
        <f>IF(TAB_HISTORICO_MANUT[[#This Row],[EXPURGO Filhas]]="SIM",MAX(TAB_HISTORICO_MANUT[[#This Row],[Hora Final]]-TAB_HISTORICO_MANUT[[#This Row],[Hora Inicio]],0),0)</f>
        <v>6.7218659969512373E-3</v>
      </c>
      <c r="W6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7" s="46">
        <v>46080.647525819186</v>
      </c>
      <c r="Z67" s="47">
        <v>46080.654247685183</v>
      </c>
      <c r="AA67" s="48" t="s">
        <v>209</v>
      </c>
      <c r="AB67" s="48"/>
      <c r="AC67" s="43" t="s">
        <v>343</v>
      </c>
      <c r="AD67" s="46" t="s">
        <v>145</v>
      </c>
      <c r="AE67" s="46" t="s">
        <v>188</v>
      </c>
      <c r="AF67" s="88" t="s">
        <v>767</v>
      </c>
      <c r="AG67" s="105">
        <f>IF(TAB_HISTORICO_MANUT[[#This Row],[Hora Inicio]]="","",MONTH(TAB_HISTORICO_MANUT[[#This Row],[Hora Inicio]]))</f>
        <v>2</v>
      </c>
      <c r="AH67" s="58" t="s">
        <v>630</v>
      </c>
      <c r="AI67" s="43" t="s">
        <v>21</v>
      </c>
      <c r="AJ67" s="43"/>
      <c r="AK67" s="43"/>
      <c r="AL67" s="43"/>
      <c r="AM67" s="114"/>
      <c r="AN67" s="43"/>
      <c r="AO67" s="43"/>
      <c r="AP67" s="43"/>
    </row>
    <row r="68" spans="1:42" ht="50.1" customHeight="1" x14ac:dyDescent="0.25">
      <c r="A68" s="43">
        <f>MONTH(TAB_HISTORICO_MANUT[[#This Row],[Hora Final]])-MONTH(TAB_HISTORICO_MANUT[[#This Row],[Hora Inicio]])</f>
        <v>0</v>
      </c>
      <c r="B68" s="42"/>
      <c r="C68" s="43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Inicio]]=Z67,TAB_HISTORICO_MANUT[[#This Row],[Equipamento]]=AA67,TAB_HISTORICO_MANUT[[#This Row],[Descricao Despacho]]=AD67),0,1)))</f>
        <v>1</v>
      </c>
      <c r="O6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HIDRAULICO</v>
      </c>
      <c r="P68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8" s="50">
        <f>IF($Q68="","",(TAB_HISTORICO_MANUT[[#This Row],[Hora Final]]-TAB_HISTORICO_MANUT[[#This Row],[Hora Inicio]])*24)</f>
        <v>4.6300000000046566</v>
      </c>
      <c r="S6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8" s="54" t="str">
        <f>IF(AND(TAB_HISTORICO_MANUT[[#This Row],[EXPURGO Mãe]]="SIM",TAB_HISTORICO_MANUT[[#This Row],[Tipo]]="MÃE"),"EXP.MAE",IF(TAB_HISTORICO_MANUT[[#This Row],[EXPURGO Mãe]]="NÃO","NÃO EXP.MAE",T67))</f>
        <v>NÃO EXP.MAE</v>
      </c>
      <c r="U6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8" s="56">
        <f>IF(TAB_HISTORICO_MANUT[[#This Row],[EXPURGO Filhas]]="SIM",MAX(TAB_HISTORICO_MANUT[[#This Row],[Hora Final]]-TAB_HISTORICO_MANUT[[#This Row],[Hora Inicio]],0),0)</f>
        <v>0</v>
      </c>
      <c r="W6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8" s="46">
        <v>46081.306238425925</v>
      </c>
      <c r="Z68" s="47">
        <v>46081.499155092592</v>
      </c>
      <c r="AA68" s="48" t="s">
        <v>209</v>
      </c>
      <c r="AB68" s="48" t="s">
        <v>642</v>
      </c>
      <c r="AC68" s="43" t="s">
        <v>204</v>
      </c>
      <c r="AD68" s="46" t="s">
        <v>144</v>
      </c>
      <c r="AE68" s="46" t="s">
        <v>172</v>
      </c>
      <c r="AF68" s="88" t="s">
        <v>210</v>
      </c>
      <c r="AG68" s="105">
        <f>IF(TAB_HISTORICO_MANUT[[#This Row],[Hora Inicio]]="","",MONTH(TAB_HISTORICO_MANUT[[#This Row],[Hora Inicio]]))</f>
        <v>2</v>
      </c>
      <c r="AH68" s="58" t="s">
        <v>632</v>
      </c>
      <c r="AI68" s="43" t="s">
        <v>149</v>
      </c>
      <c r="AJ68" s="43" t="s">
        <v>44</v>
      </c>
      <c r="AK68" s="43" t="s">
        <v>649</v>
      </c>
      <c r="AL68" s="43" t="s">
        <v>275</v>
      </c>
      <c r="AM68" s="114" t="s">
        <v>276</v>
      </c>
      <c r="AN68" s="43" t="s">
        <v>217</v>
      </c>
      <c r="AO68" s="43" t="s">
        <v>414</v>
      </c>
      <c r="AP68" s="43" t="s">
        <v>637</v>
      </c>
    </row>
    <row r="69" spans="1:42" ht="50.1" customHeight="1" x14ac:dyDescent="0.25">
      <c r="A69" s="43">
        <f>MONTH(TAB_HISTORICO_MANUT[[#This Row],[Hora Final]])-MONTH(TAB_HISTORICO_MANUT[[#This Row],[Hora Inicio]])</f>
        <v>0</v>
      </c>
      <c r="B69" s="42"/>
      <c r="C69" s="43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Inicio]]=Z68,TAB_HISTORICO_MANUT[[#This Row],[Equipamento]]=AA68,TAB_HISTORICO_MANUT[[#This Row],[Descricao Despacho]]=AD68),0,1)))</f>
        <v/>
      </c>
      <c r="O6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69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6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69" s="50" t="str">
        <f>IF($Q69="","",(TAB_HISTORICO_MANUT[[#This Row],[Hora Final]]-TAB_HISTORICO_MANUT[[#This Row],[Hora Inicio]])*24)</f>
        <v/>
      </c>
      <c r="S6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69" s="54" t="str">
        <f>IF(AND(TAB_HISTORICO_MANUT[[#This Row],[EXPURGO Mãe]]="SIM",TAB_HISTORICO_MANUT[[#This Row],[Tipo]]="MÃE"),"EXP.MAE",IF(TAB_HISTORICO_MANUT[[#This Row],[EXPURGO Mãe]]="NÃO","NÃO EXP.MAE",T68))</f>
        <v>NÃO EXP.MAE</v>
      </c>
      <c r="U6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69" s="56">
        <f>IF(TAB_HISTORICO_MANUT[[#This Row],[EXPURGO Filhas]]="SIM",MAX(TAB_HISTORICO_MANUT[[#This Row],[Hora Final]]-TAB_HISTORICO_MANUT[[#This Row],[Hora Inicio]],0),0)</f>
        <v>2.2222222221898846E-2</v>
      </c>
      <c r="W6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9" s="46">
        <v>46083.453472222223</v>
      </c>
      <c r="Z69" s="47">
        <v>46083.475694444445</v>
      </c>
      <c r="AA69" s="48" t="s">
        <v>209</v>
      </c>
      <c r="AB69" s="48" t="s">
        <v>652</v>
      </c>
      <c r="AC69" s="43" t="s">
        <v>204</v>
      </c>
      <c r="AD69" s="46" t="s">
        <v>144</v>
      </c>
      <c r="AE69" s="46" t="s">
        <v>765</v>
      </c>
      <c r="AF69" s="88" t="s">
        <v>767</v>
      </c>
      <c r="AG69" s="105">
        <f>IF(TAB_HISTORICO_MANUT[[#This Row],[Hora Inicio]]="","",MONTH(TAB_HISTORICO_MANUT[[#This Row],[Hora Inicio]]))</f>
        <v>3</v>
      </c>
      <c r="AH69" s="58" t="s">
        <v>656</v>
      </c>
      <c r="AI69" s="43" t="s">
        <v>23</v>
      </c>
      <c r="AJ69" s="43" t="s">
        <v>43</v>
      </c>
      <c r="AK69" s="43" t="s">
        <v>658</v>
      </c>
      <c r="AL69" s="43" t="s">
        <v>297</v>
      </c>
      <c r="AM69" s="114" t="s">
        <v>276</v>
      </c>
      <c r="AN69" s="43"/>
      <c r="AO69" s="43"/>
      <c r="AP69" s="43"/>
    </row>
    <row r="70" spans="1:42" ht="50.1" customHeight="1" x14ac:dyDescent="0.25">
      <c r="A70" s="43">
        <f>MONTH(TAB_HISTORICO_MANUT[[#This Row],[Hora Final]])-MONTH(TAB_HISTORICO_MANUT[[#This Row],[Hora Inicio]])</f>
        <v>0</v>
      </c>
      <c r="B70" s="42"/>
      <c r="C70" s="43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Inicio]]=Z69,TAB_HISTORICO_MANUT[[#This Row],[Equipamento]]=AA69,TAB_HISTORICO_MANUT[[#This Row],[Descricao Despacho]]=AD69),0,1)))</f>
        <v>1</v>
      </c>
      <c r="O7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70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0" s="50">
        <f>IF($Q70="","",(TAB_HISTORICO_MANUT[[#This Row],[Hora Final]]-TAB_HISTORICO_MANUT[[#This Row],[Hora Inicio]])*24)</f>
        <v>18.698611111147329</v>
      </c>
      <c r="S7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0" s="54" t="str">
        <f>IF(AND(TAB_HISTORICO_MANUT[[#This Row],[EXPURGO Mãe]]="SIM",TAB_HISTORICO_MANUT[[#This Row],[Tipo]]="MÃE"),"EXP.MAE",IF(TAB_HISTORICO_MANUT[[#This Row],[EXPURGO Mãe]]="NÃO","NÃO EXP.MAE",T69))</f>
        <v>NÃO EXP.MAE</v>
      </c>
      <c r="U7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0" s="56">
        <f>IF(TAB_HISTORICO_MANUT[[#This Row],[EXPURGO Filhas]]="SIM",MAX(TAB_HISTORICO_MANUT[[#This Row],[Hora Final]]-TAB_HISTORICO_MANUT[[#This Row],[Hora Inicio]],0),0)</f>
        <v>0</v>
      </c>
      <c r="W7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0" s="46">
        <v>46083.453553240739</v>
      </c>
      <c r="Z70" s="47">
        <v>46084.232662037037</v>
      </c>
      <c r="AA70" s="48" t="s">
        <v>209</v>
      </c>
      <c r="AB70" s="48" t="s">
        <v>652</v>
      </c>
      <c r="AC70" s="43" t="s">
        <v>204</v>
      </c>
      <c r="AD70" s="46" t="s">
        <v>144</v>
      </c>
      <c r="AE70" s="46" t="s">
        <v>172</v>
      </c>
      <c r="AF70" s="88" t="s">
        <v>210</v>
      </c>
      <c r="AG70" s="105">
        <f>IF(TAB_HISTORICO_MANUT[[#This Row],[Hora Inicio]]="","",MONTH(TAB_HISTORICO_MANUT[[#This Row],[Hora Inicio]]))</f>
        <v>3</v>
      </c>
      <c r="AH70" s="58" t="s">
        <v>656</v>
      </c>
      <c r="AI70" s="43" t="s">
        <v>23</v>
      </c>
      <c r="AJ70" s="43" t="s">
        <v>43</v>
      </c>
      <c r="AK70" s="43" t="s">
        <v>658</v>
      </c>
      <c r="AL70" s="43" t="s">
        <v>297</v>
      </c>
      <c r="AM70" s="114" t="s">
        <v>276</v>
      </c>
      <c r="AN70" s="43"/>
      <c r="AO70" s="43"/>
      <c r="AP70" s="43"/>
    </row>
    <row r="71" spans="1:42" ht="50.1" customHeight="1" x14ac:dyDescent="0.25">
      <c r="A71" s="43">
        <f>MONTH(TAB_HISTORICO_MANUT[[#This Row],[Hora Final]])-MONTH(TAB_HISTORICO_MANUT[[#This Row],[Hora Inicio]])</f>
        <v>0</v>
      </c>
      <c r="B71" s="42"/>
      <c r="C71" s="43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Inicio]]=Z70,TAB_HISTORICO_MANUT[[#This Row],[Equipamento]]=AA70,TAB_HISTORICO_MANUT[[#This Row],[Descricao Despacho]]=AD70),0,1)))</f>
        <v/>
      </c>
      <c r="O7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71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7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71" s="50" t="str">
        <f>IF($Q71="","",(TAB_HISTORICO_MANUT[[#This Row],[Hora Final]]-TAB_HISTORICO_MANUT[[#This Row],[Hora Inicio]])*24)</f>
        <v/>
      </c>
      <c r="S7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71" s="54" t="str">
        <f>IF(AND(TAB_HISTORICO_MANUT[[#This Row],[EXPURGO Mãe]]="SIM",TAB_HISTORICO_MANUT[[#This Row],[Tipo]]="MÃE"),"EXP.MAE",IF(TAB_HISTORICO_MANUT[[#This Row],[EXPURGO Mãe]]="NÃO","NÃO EXP.MAE",T70))</f>
        <v>NÃO EXP.MAE</v>
      </c>
      <c r="U7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71" s="56">
        <f>IF(TAB_HISTORICO_MANUT[[#This Row],[EXPURGO Filhas]]="SIM",MAX(TAB_HISTORICO_MANUT[[#This Row],[Hora Final]]-TAB_HISTORICO_MANUT[[#This Row],[Hora Inicio]],0),0)</f>
        <v>0.17569444444961846</v>
      </c>
      <c r="W7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1" s="46">
        <v>46083.463194444441</v>
      </c>
      <c r="Z71" s="47">
        <v>46083.638888888891</v>
      </c>
      <c r="AA71" s="48" t="s">
        <v>209</v>
      </c>
      <c r="AB71" s="48" t="s">
        <v>652</v>
      </c>
      <c r="AC71" s="43" t="s">
        <v>204</v>
      </c>
      <c r="AD71" s="46" t="s">
        <v>144</v>
      </c>
      <c r="AE71" s="46" t="s">
        <v>766</v>
      </c>
      <c r="AF71" s="88" t="s">
        <v>767</v>
      </c>
      <c r="AG71" s="105">
        <f>IF(TAB_HISTORICO_MANUT[[#This Row],[Hora Inicio]]="","",MONTH(TAB_HISTORICO_MANUT[[#This Row],[Hora Inicio]]))</f>
        <v>3</v>
      </c>
      <c r="AH71" s="58" t="s">
        <v>656</v>
      </c>
      <c r="AI71" s="43" t="s">
        <v>23</v>
      </c>
      <c r="AJ71" s="43" t="s">
        <v>43</v>
      </c>
      <c r="AK71" s="43" t="s">
        <v>658</v>
      </c>
      <c r="AL71" s="43" t="s">
        <v>297</v>
      </c>
      <c r="AM71" s="114" t="s">
        <v>276</v>
      </c>
      <c r="AN71" s="43"/>
      <c r="AO71" s="43"/>
      <c r="AP71" s="43"/>
    </row>
    <row r="72" spans="1:42" ht="50.1" customHeight="1" x14ac:dyDescent="0.25">
      <c r="A72" s="115">
        <f>MONTH(TAB_HISTORICO_MANUT[[#This Row],[Hora Final]])-MONTH(TAB_HISTORICO_MANUT[[#This Row],[Hora Inicio]])</f>
        <v>0</v>
      </c>
      <c r="B72" s="116"/>
      <c r="C72" s="115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Inicio]]=Z71,TAB_HISTORICO_MANUT[[#This Row],[Equipamento]]=AA71,TAB_HISTORICO_MANUT[[#This Row],[Descricao Despacho]]=AD71),0,1)))</f>
        <v/>
      </c>
      <c r="O7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72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7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72" s="107" t="str">
        <f>IF($Q72="","",(TAB_HISTORICO_MANUT[[#This Row],[Hora Final]]-TAB_HISTORICO_MANUT[[#This Row],[Hora Inicio]])*24)</f>
        <v/>
      </c>
      <c r="S7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72" s="109" t="str">
        <f>IF(AND(TAB_HISTORICO_MANUT[[#This Row],[EXPURGO Mãe]]="SIM",TAB_HISTORICO_MANUT[[#This Row],[Tipo]]="MÃE"),"EXP.MAE",IF(TAB_HISTORICO_MANUT[[#This Row],[EXPURGO Mãe]]="NÃO","NÃO EXP.MAE",T71))</f>
        <v>NÃO EXP.MAE</v>
      </c>
      <c r="U7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72" s="110">
        <f>IF(TAB_HISTORICO_MANUT[[#This Row],[EXPURGO Filhas]]="SIM",MAX(TAB_HISTORICO_MANUT[[#This Row],[Hora Final]]-TAB_HISTORICO_MANUT[[#This Row],[Hora Inicio]],0),0)</f>
        <v>8.4722222221898846E-2</v>
      </c>
      <c r="W7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2" s="117">
        <v>46083.759027777778</v>
      </c>
      <c r="Z72" s="118">
        <v>46083.84375</v>
      </c>
      <c r="AA72" s="119" t="s">
        <v>209</v>
      </c>
      <c r="AB72" s="119" t="s">
        <v>652</v>
      </c>
      <c r="AC72" s="115" t="s">
        <v>204</v>
      </c>
      <c r="AD72" s="117" t="s">
        <v>144</v>
      </c>
      <c r="AE72" s="117" t="s">
        <v>231</v>
      </c>
      <c r="AF72" s="88" t="s">
        <v>767</v>
      </c>
      <c r="AG72" s="105">
        <f>IF(TAB_HISTORICO_MANUT[[#This Row],[Hora Inicio]]="","",MONTH(TAB_HISTORICO_MANUT[[#This Row],[Hora Inicio]]))</f>
        <v>3</v>
      </c>
      <c r="AH72" s="120" t="s">
        <v>656</v>
      </c>
      <c r="AI72" s="115" t="s">
        <v>23</v>
      </c>
      <c r="AJ72" s="115" t="s">
        <v>43</v>
      </c>
      <c r="AK72" s="115" t="s">
        <v>658</v>
      </c>
      <c r="AL72" s="115" t="s">
        <v>297</v>
      </c>
      <c r="AM72" s="121" t="s">
        <v>276</v>
      </c>
      <c r="AN72" s="115"/>
      <c r="AO72" s="115"/>
      <c r="AP72" s="115"/>
    </row>
    <row r="73" spans="1:42" ht="50.1" customHeight="1" x14ac:dyDescent="0.25">
      <c r="A73" s="115">
        <f>MONTH(TAB_HISTORICO_MANUT[[#This Row],[Hora Final]])-MONTH(TAB_HISTORICO_MANUT[[#This Row],[Hora Inicio]])</f>
        <v>0</v>
      </c>
      <c r="B73" s="116"/>
      <c r="C73" s="115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Inicio]]=Z72,TAB_HISTORICO_MANUT[[#This Row],[Equipamento]]=AA72,TAB_HISTORICO_MANUT[[#This Row],[Descricao Despacho]]=AD72),0,1)))</f>
        <v/>
      </c>
      <c r="O7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73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7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73" s="107" t="str">
        <f>IF($Q73="","",(TAB_HISTORICO_MANUT[[#This Row],[Hora Final]]-TAB_HISTORICO_MANUT[[#This Row],[Hora Inicio]])*24)</f>
        <v/>
      </c>
      <c r="S7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73" s="109" t="str">
        <f>IF(AND(TAB_HISTORICO_MANUT[[#This Row],[EXPURGO Mãe]]="SIM",TAB_HISTORICO_MANUT[[#This Row],[Tipo]]="MÃE"),"EXP.MAE",IF(TAB_HISTORICO_MANUT[[#This Row],[EXPURGO Mãe]]="NÃO","NÃO EXP.MAE",T72))</f>
        <v>NÃO EXP.MAE</v>
      </c>
      <c r="U7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73" s="110">
        <f>IF(TAB_HISTORICO_MANUT[[#This Row],[EXPURGO Filhas]]="SIM",MAX(TAB_HISTORICO_MANUT[[#This Row],[Hora Final]]-TAB_HISTORICO_MANUT[[#This Row],[Hora Inicio]],0),0)</f>
        <v>1.3194444443797693E-2</v>
      </c>
      <c r="W7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3" s="117">
        <v>46084.152777777781</v>
      </c>
      <c r="Z73" s="118">
        <v>46084.165972222225</v>
      </c>
      <c r="AA73" s="119" t="s">
        <v>209</v>
      </c>
      <c r="AB73" s="119" t="s">
        <v>652</v>
      </c>
      <c r="AC73" s="115" t="s">
        <v>204</v>
      </c>
      <c r="AD73" s="117" t="s">
        <v>144</v>
      </c>
      <c r="AE73" s="117" t="s">
        <v>765</v>
      </c>
      <c r="AF73" s="88" t="s">
        <v>767</v>
      </c>
      <c r="AG73" s="105">
        <f>IF(TAB_HISTORICO_MANUT[[#This Row],[Hora Inicio]]="","",MONTH(TAB_HISTORICO_MANUT[[#This Row],[Hora Inicio]]))</f>
        <v>3</v>
      </c>
      <c r="AH73" s="120" t="s">
        <v>656</v>
      </c>
      <c r="AI73" s="115" t="s">
        <v>23</v>
      </c>
      <c r="AJ73" s="115" t="s">
        <v>43</v>
      </c>
      <c r="AK73" s="115" t="s">
        <v>658</v>
      </c>
      <c r="AL73" s="115" t="s">
        <v>297</v>
      </c>
      <c r="AM73" s="121" t="s">
        <v>276</v>
      </c>
      <c r="AN73" s="115" t="s">
        <v>217</v>
      </c>
      <c r="AO73" s="115" t="s">
        <v>453</v>
      </c>
      <c r="AP73" s="115" t="s">
        <v>469</v>
      </c>
    </row>
    <row r="74" spans="1:42" ht="50.1" customHeight="1" x14ac:dyDescent="0.25">
      <c r="A74" s="115">
        <f>MONTH(TAB_HISTORICO_MANUT[[#This Row],[Hora Final]])-MONTH(TAB_HISTORICO_MANUT[[#This Row],[Hora Inicio]])</f>
        <v>0</v>
      </c>
      <c r="B74" s="116"/>
      <c r="C74" s="115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Inicio]]=Z73,TAB_HISTORICO_MANUT[[#This Row],[Equipamento]]=AA73,TAB_HISTORICO_MANUT[[#This Row],[Descricao Despacho]]=AD73),0,1)))</f>
        <v>1</v>
      </c>
      <c r="O7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7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7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74" s="107">
        <f>IF($Q74="","",(TAB_HISTORICO_MANUT[[#This Row],[Hora Final]]-TAB_HISTORICO_MANUT[[#This Row],[Hora Inicio]])*24)</f>
        <v>0.88750000001164153</v>
      </c>
      <c r="S7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4" s="109" t="str">
        <f>IF(AND(TAB_HISTORICO_MANUT[[#This Row],[EXPURGO Mãe]]="SIM",TAB_HISTORICO_MANUT[[#This Row],[Tipo]]="MÃE"),"EXP.MAE",IF(TAB_HISTORICO_MANUT[[#This Row],[EXPURGO Mãe]]="NÃO","NÃO EXP.MAE",T73))</f>
        <v>NÃO EXP.MAE</v>
      </c>
      <c r="U7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4" s="110">
        <f>IF(TAB_HISTORICO_MANUT[[#This Row],[EXPURGO Filhas]]="SIM",MAX(TAB_HISTORICO_MANUT[[#This Row],[Hora Final]]-TAB_HISTORICO_MANUT[[#This Row],[Hora Inicio]],0),0)</f>
        <v>0</v>
      </c>
      <c r="W7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4" s="117">
        <v>46084.540972222225</v>
      </c>
      <c r="Z74" s="118">
        <v>46084.577951388892</v>
      </c>
      <c r="AA74" s="119" t="s">
        <v>209</v>
      </c>
      <c r="AB74" s="119"/>
      <c r="AC74" s="115" t="s">
        <v>560</v>
      </c>
      <c r="AD74" s="117" t="s">
        <v>145</v>
      </c>
      <c r="AE74" s="117" t="s">
        <v>572</v>
      </c>
      <c r="AF74" s="88" t="s">
        <v>210</v>
      </c>
      <c r="AG74" s="105">
        <f>IF(TAB_HISTORICO_MANUT[[#This Row],[Hora Inicio]]="","",MONTH(TAB_HISTORICO_MANUT[[#This Row],[Hora Inicio]]))</f>
        <v>3</v>
      </c>
      <c r="AH74" s="120" t="s">
        <v>603</v>
      </c>
      <c r="AI74" s="115" t="s">
        <v>25</v>
      </c>
      <c r="AJ74" s="115" t="s">
        <v>25</v>
      </c>
      <c r="AK74" s="115" t="s">
        <v>25</v>
      </c>
      <c r="AL74" s="115" t="s">
        <v>25</v>
      </c>
      <c r="AM74" s="121" t="s">
        <v>25</v>
      </c>
      <c r="AN74" s="115"/>
      <c r="AO74" s="115"/>
      <c r="AP74" s="115"/>
    </row>
    <row r="75" spans="1:42" ht="50.1" customHeight="1" x14ac:dyDescent="0.25">
      <c r="A75" s="43">
        <f>MONTH(TAB_HISTORICO_MANUT[[#This Row],[Hora Final]])-MONTH(TAB_HISTORICO_MANUT[[#This Row],[Hora Inicio]])</f>
        <v>0</v>
      </c>
      <c r="B75" s="42"/>
      <c r="C75" s="43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Inicio]]=Z74,TAB_HISTORICO_MANUT[[#This Row],[Equipamento]]=AA74,TAB_HISTORICO_MANUT[[#This Row],[Descricao Despacho]]=AD74),0,1)))</f>
        <v>1</v>
      </c>
      <c r="O7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7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5" s="107">
        <f>IF($Q75="","",(TAB_HISTORICO_MANUT[[#This Row],[Hora Final]]-TAB_HISTORICO_MANUT[[#This Row],[Hora Inicio]])*24)</f>
        <v>6.4611111109843478</v>
      </c>
      <c r="S7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5" s="109" t="str">
        <f>IF(AND(TAB_HISTORICO_MANUT[[#This Row],[EXPURGO Mãe]]="SIM",TAB_HISTORICO_MANUT[[#This Row],[Tipo]]="MÃE"),"EXP.MAE",IF(TAB_HISTORICO_MANUT[[#This Row],[EXPURGO Mãe]]="NÃO","NÃO EXP.MAE",T74))</f>
        <v>NÃO EXP.MAE</v>
      </c>
      <c r="U7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5" s="110">
        <f>IF(TAB_HISTORICO_MANUT[[#This Row],[EXPURGO Filhas]]="SIM",MAX(TAB_HISTORICO_MANUT[[#This Row],[Hora Final]]-TAB_HISTORICO_MANUT[[#This Row],[Hora Inicio]],0),0)</f>
        <v>0</v>
      </c>
      <c r="W7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5" s="46">
        <v>46085.54109953704</v>
      </c>
      <c r="Z75" s="47">
        <v>46085.810312499998</v>
      </c>
      <c r="AA75" s="48" t="s">
        <v>209</v>
      </c>
      <c r="AB75" s="48" t="s">
        <v>675</v>
      </c>
      <c r="AC75" s="43" t="s">
        <v>204</v>
      </c>
      <c r="AD75" s="46" t="s">
        <v>144</v>
      </c>
      <c r="AE75" s="46" t="s">
        <v>172</v>
      </c>
      <c r="AF75" s="88" t="s">
        <v>210</v>
      </c>
      <c r="AG75" s="105">
        <f>IF(TAB_HISTORICO_MANUT[[#This Row],[Hora Inicio]]="","",MONTH(TAB_HISTORICO_MANUT[[#This Row],[Hora Inicio]]))</f>
        <v>3</v>
      </c>
      <c r="AH75" s="58" t="s">
        <v>687</v>
      </c>
      <c r="AI75" s="43" t="s">
        <v>22</v>
      </c>
      <c r="AJ75" s="43" t="s">
        <v>614</v>
      </c>
      <c r="AK75" s="43" t="s">
        <v>694</v>
      </c>
      <c r="AL75" s="43" t="s">
        <v>275</v>
      </c>
      <c r="AM75" s="114" t="s">
        <v>276</v>
      </c>
      <c r="AN75" s="43" t="s">
        <v>217</v>
      </c>
      <c r="AO75" s="43" t="s">
        <v>349</v>
      </c>
      <c r="AP75" s="43" t="s">
        <v>319</v>
      </c>
    </row>
    <row r="76" spans="1:42" ht="50.1" customHeight="1" x14ac:dyDescent="0.25">
      <c r="A76" s="43">
        <f>MONTH(TAB_HISTORICO_MANUT[[#This Row],[Hora Final]])-MONTH(TAB_HISTORICO_MANUT[[#This Row],[Hora Inicio]])</f>
        <v>0</v>
      </c>
      <c r="B76" s="42"/>
      <c r="C76" s="43"/>
      <c r="D76" s="42"/>
      <c r="E76" s="42"/>
      <c r="F76" s="42"/>
      <c r="G76" s="42"/>
      <c r="H76" s="42"/>
      <c r="I76" s="42"/>
      <c r="J76" s="42"/>
      <c r="K76" s="42"/>
      <c r="L76" s="42"/>
      <c r="M76" s="42" t="s">
        <v>99</v>
      </c>
      <c r="N7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Inicio]]=Z75,TAB_HISTORICO_MANUT[[#This Row],[Equipamento]]=AA75,TAB_HISTORICO_MANUT[[#This Row],[Descricao Despacho]]=AD75),0,1)))</f>
        <v>1</v>
      </c>
      <c r="O7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7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7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76" s="107">
        <f>IF($Q76="","",(TAB_HISTORICO_MANUT[[#This Row],[Hora Final]]-TAB_HISTORICO_MANUT[[#This Row],[Hora Inicio]])*24)</f>
        <v>0.48027777776587754</v>
      </c>
      <c r="S7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6" s="109" t="str">
        <f>IF(AND(TAB_HISTORICO_MANUT[[#This Row],[EXPURGO Mãe]]="SIM",TAB_HISTORICO_MANUT[[#This Row],[Tipo]]="MÃE"),"EXP.MAE",IF(TAB_HISTORICO_MANUT[[#This Row],[EXPURGO Mãe]]="NÃO","NÃO EXP.MAE",T75))</f>
        <v>NÃO EXP.MAE</v>
      </c>
      <c r="U7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6" s="110">
        <f>IF(TAB_HISTORICO_MANUT[[#This Row],[EXPURGO Filhas]]="SIM",MAX(TAB_HISTORICO_MANUT[[#This Row],[Hora Final]]-TAB_HISTORICO_MANUT[[#This Row],[Hora Inicio]],0),0)</f>
        <v>0</v>
      </c>
      <c r="W7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6" s="46">
        <v>46087.624432870369</v>
      </c>
      <c r="Z76" s="47">
        <v>46087.644444444442</v>
      </c>
      <c r="AA76" s="48" t="s">
        <v>209</v>
      </c>
      <c r="AB76" s="48"/>
      <c r="AC76" s="43" t="s">
        <v>300</v>
      </c>
      <c r="AD76" s="46" t="s">
        <v>146</v>
      </c>
      <c r="AE76" s="46" t="s">
        <v>178</v>
      </c>
      <c r="AF76" s="88" t="s">
        <v>210</v>
      </c>
      <c r="AG76" s="105">
        <f>IF(TAB_HISTORICO_MANUT[[#This Row],[Hora Inicio]]="","",MONTH(TAB_HISTORICO_MANUT[[#This Row],[Hora Inicio]]))</f>
        <v>3</v>
      </c>
      <c r="AH76" s="58" t="s">
        <v>696</v>
      </c>
      <c r="AI76" s="43" t="s">
        <v>340</v>
      </c>
      <c r="AJ76" s="43" t="s">
        <v>436</v>
      </c>
      <c r="AK76" s="43"/>
      <c r="AL76" s="43"/>
      <c r="AM76" s="114"/>
      <c r="AN76" s="43"/>
      <c r="AO76" s="43"/>
      <c r="AP76" s="43"/>
    </row>
    <row r="77" spans="1:42" ht="50.1" customHeight="1" x14ac:dyDescent="0.25">
      <c r="A77" s="43">
        <f>MONTH(TAB_HISTORICO_MANUT[[#This Row],[Hora Final]])-MONTH(TAB_HISTORICO_MANUT[[#This Row],[Hora Inicio]])</f>
        <v>0</v>
      </c>
      <c r="B77" s="42"/>
      <c r="C77" s="43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Inicio]]=Z76,TAB_HISTORICO_MANUT[[#This Row],[Equipamento]]=AA76,TAB_HISTORICO_MANUT[[#This Row],[Descricao Despacho]]=AD76),0,1)))</f>
        <v>0</v>
      </c>
      <c r="O7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7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7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77" s="107">
        <f>IF($Q77="","",(TAB_HISTORICO_MANUT[[#This Row],[Hora Final]]-TAB_HISTORICO_MANUT[[#This Row],[Hora Inicio]])*24)</f>
        <v>1.03333333338378</v>
      </c>
      <c r="S7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7" s="109" t="str">
        <f>IF(AND(TAB_HISTORICO_MANUT[[#This Row],[EXPURGO Mãe]]="SIM",TAB_HISTORICO_MANUT[[#This Row],[Tipo]]="MÃE"),"EXP.MAE",IF(TAB_HISTORICO_MANUT[[#This Row],[EXPURGO Mãe]]="NÃO","NÃO EXP.MAE",T76))</f>
        <v>NÃO EXP.MAE</v>
      </c>
      <c r="U7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7" s="110">
        <f>IF(TAB_HISTORICO_MANUT[[#This Row],[EXPURGO Filhas]]="SIM",MAX(TAB_HISTORICO_MANUT[[#This Row],[Hora Final]]-TAB_HISTORICO_MANUT[[#This Row],[Hora Inicio]],0),0)</f>
        <v>0</v>
      </c>
      <c r="W7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7" s="46">
        <v>46087.644444444442</v>
      </c>
      <c r="Z77" s="47">
        <v>46087.6875</v>
      </c>
      <c r="AA77" s="48" t="s">
        <v>209</v>
      </c>
      <c r="AB77" s="48"/>
      <c r="AC77" s="43" t="s">
        <v>301</v>
      </c>
      <c r="AD77" s="46" t="s">
        <v>146</v>
      </c>
      <c r="AE77" s="46" t="s">
        <v>310</v>
      </c>
      <c r="AF77" s="88" t="s">
        <v>210</v>
      </c>
      <c r="AG77" s="105">
        <f>IF(TAB_HISTORICO_MANUT[[#This Row],[Hora Inicio]]="","",MONTH(TAB_HISTORICO_MANUT[[#This Row],[Hora Inicio]]))</f>
        <v>3</v>
      </c>
      <c r="AH77" s="58" t="s">
        <v>696</v>
      </c>
      <c r="AI77" s="43" t="s">
        <v>340</v>
      </c>
      <c r="AJ77" s="43" t="s">
        <v>436</v>
      </c>
      <c r="AK77" s="43"/>
      <c r="AL77" s="43"/>
      <c r="AM77" s="114"/>
      <c r="AN77" s="43"/>
      <c r="AO77" s="43"/>
      <c r="AP77" s="43"/>
    </row>
    <row r="78" spans="1:42" ht="50.1" customHeight="1" x14ac:dyDescent="0.25">
      <c r="A78" s="43">
        <f>MONTH(TAB_HISTORICO_MANUT[[#This Row],[Hora Final]])-MONTH(TAB_HISTORICO_MANUT[[#This Row],[Hora Inicio]])</f>
        <v>0</v>
      </c>
      <c r="B78" s="42"/>
      <c r="C78" s="43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Inicio]]=Z77,TAB_HISTORICO_MANUT[[#This Row],[Equipamento]]=AA77,TAB_HISTORICO_MANUT[[#This Row],[Descricao Despacho]]=AD77),0,1)))</f>
        <v>0</v>
      </c>
      <c r="O7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78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7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78" s="50">
        <f>IF($Q78="","",(TAB_HISTORICO_MANUT[[#This Row],[Hora Final]]-TAB_HISTORICO_MANUT[[#This Row],[Hora Inicio]])*24)</f>
        <v>1.5</v>
      </c>
      <c r="S7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78" s="54" t="str">
        <f>IF(AND(TAB_HISTORICO_MANUT[[#This Row],[EXPURGO Mãe]]="SIM",TAB_HISTORICO_MANUT[[#This Row],[Tipo]]="MÃE"),"EXP.MAE",IF(TAB_HISTORICO_MANUT[[#This Row],[EXPURGO Mãe]]="NÃO","NÃO EXP.MAE",T77))</f>
        <v>EXP.MAE</v>
      </c>
      <c r="U7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8" s="56">
        <f>IF(TAB_HISTORICO_MANUT[[#This Row],[EXPURGO Filhas]]="SIM",MAX(TAB_HISTORICO_MANUT[[#This Row],[Hora Final]]-TAB_HISTORICO_MANUT[[#This Row],[Hora Inicio]],0),0)</f>
        <v>0</v>
      </c>
      <c r="W7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8" s="46">
        <v>46087.6875</v>
      </c>
      <c r="Z78" s="47">
        <v>46087.75</v>
      </c>
      <c r="AA78" s="48" t="s">
        <v>209</v>
      </c>
      <c r="AB78" s="48"/>
      <c r="AC78" s="43" t="s">
        <v>301</v>
      </c>
      <c r="AD78" s="46" t="s">
        <v>146</v>
      </c>
      <c r="AE78" s="46" t="s">
        <v>182</v>
      </c>
      <c r="AF78" s="88" t="s">
        <v>210</v>
      </c>
      <c r="AG78" s="105">
        <f>IF(TAB_HISTORICO_MANUT[[#This Row],[Hora Inicio]]="","",MONTH(TAB_HISTORICO_MANUT[[#This Row],[Hora Inicio]]))</f>
        <v>3</v>
      </c>
      <c r="AH78" s="58" t="s">
        <v>696</v>
      </c>
      <c r="AI78" s="43" t="s">
        <v>340</v>
      </c>
      <c r="AJ78" s="43" t="s">
        <v>436</v>
      </c>
      <c r="AK78" s="43"/>
      <c r="AL78" s="43"/>
      <c r="AM78" s="114"/>
      <c r="AN78" s="43"/>
      <c r="AO78" s="43"/>
      <c r="AP78" s="43"/>
    </row>
    <row r="79" spans="1:42" ht="50.1" customHeight="1" x14ac:dyDescent="0.25">
      <c r="A79" s="43">
        <f>MONTH(TAB_HISTORICO_MANUT[[#This Row],[Hora Final]])-MONTH(TAB_HISTORICO_MANUT[[#This Row],[Hora Inicio]])</f>
        <v>0</v>
      </c>
      <c r="B79" s="42"/>
      <c r="C79" s="43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Inicio]]=Z78,TAB_HISTORICO_MANUT[[#This Row],[Equipamento]]=AA78,TAB_HISTORICO_MANUT[[#This Row],[Descricao Despacho]]=AD78),0,1)))</f>
        <v>0</v>
      </c>
      <c r="O7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79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7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79" s="50">
        <f>IF($Q79="","",(TAB_HISTORICO_MANUT[[#This Row],[Hora Final]]-TAB_HISTORICO_MANUT[[#This Row],[Hora Inicio]])*24)</f>
        <v>4.6722222221433185</v>
      </c>
      <c r="S7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9" s="54" t="str">
        <f>IF(AND(TAB_HISTORICO_MANUT[[#This Row],[EXPURGO Mãe]]="SIM",TAB_HISTORICO_MANUT[[#This Row],[Tipo]]="MÃE"),"EXP.MAE",IF(TAB_HISTORICO_MANUT[[#This Row],[EXPURGO Mãe]]="NÃO","NÃO EXP.MAE",T78))</f>
        <v>NÃO EXP.MAE</v>
      </c>
      <c r="U7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9" s="56">
        <f>IF(TAB_HISTORICO_MANUT[[#This Row],[EXPURGO Filhas]]="SIM",MAX(TAB_HISTORICO_MANUT[[#This Row],[Hora Final]]-TAB_HISTORICO_MANUT[[#This Row],[Hora Inicio]],0),0)</f>
        <v>0</v>
      </c>
      <c r="W7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9" s="46">
        <v>46087.75</v>
      </c>
      <c r="Z79" s="47">
        <v>46087.944675925923</v>
      </c>
      <c r="AA79" s="48" t="s">
        <v>209</v>
      </c>
      <c r="AB79" s="48"/>
      <c r="AC79" s="43" t="s">
        <v>301</v>
      </c>
      <c r="AD79" s="46" t="s">
        <v>146</v>
      </c>
      <c r="AE79" s="46" t="s">
        <v>310</v>
      </c>
      <c r="AF79" s="88" t="s">
        <v>210</v>
      </c>
      <c r="AG79" s="105">
        <f>IF(TAB_HISTORICO_MANUT[[#This Row],[Hora Inicio]]="","",MONTH(TAB_HISTORICO_MANUT[[#This Row],[Hora Inicio]]))</f>
        <v>3</v>
      </c>
      <c r="AH79" s="58" t="s">
        <v>696</v>
      </c>
      <c r="AI79" s="43" t="s">
        <v>340</v>
      </c>
      <c r="AJ79" s="43" t="s">
        <v>436</v>
      </c>
      <c r="AK79" s="43"/>
      <c r="AL79" s="43"/>
      <c r="AM79" s="114"/>
      <c r="AN79" s="43"/>
      <c r="AO79" s="43"/>
      <c r="AP79" s="43"/>
    </row>
    <row r="80" spans="1:42" ht="50.1" customHeight="1" x14ac:dyDescent="0.25">
      <c r="A80" s="43">
        <f>MONTH(TAB_HISTORICO_MANUT[[#This Row],[Hora Final]])-MONTH(TAB_HISTORICO_MANUT[[#This Row],[Hora Inicio]])</f>
        <v>0</v>
      </c>
      <c r="B80" s="42"/>
      <c r="C80" s="43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Inicio]]=Z79,TAB_HISTORICO_MANUT[[#This Row],[Equipamento]]=AA79,TAB_HISTORICO_MANUT[[#This Row],[Descricao Despacho]]=AD79),0,1)))</f>
        <v>1</v>
      </c>
      <c r="O8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80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8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80" s="50">
        <f>IF($Q80="","",(TAB_HISTORICO_MANUT[[#This Row],[Hora Final]]-TAB_HISTORICO_MANUT[[#This Row],[Hora Inicio]])*24)</f>
        <v>0.6222222222131677</v>
      </c>
      <c r="S8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0" s="54" t="str">
        <f>IF(AND(TAB_HISTORICO_MANUT[[#This Row],[EXPURGO Mãe]]="SIM",TAB_HISTORICO_MANUT[[#This Row],[Tipo]]="MÃE"),"EXP.MAE",IF(TAB_HISTORICO_MANUT[[#This Row],[EXPURGO Mãe]]="NÃO","NÃO EXP.MAE",T79))</f>
        <v>NÃO EXP.MAE</v>
      </c>
      <c r="U8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0" s="56">
        <f>IF(TAB_HISTORICO_MANUT[[#This Row],[EXPURGO Filhas]]="SIM",MAX(TAB_HISTORICO_MANUT[[#This Row],[Hora Final]]-TAB_HISTORICO_MANUT[[#This Row],[Hora Inicio]],0),0)</f>
        <v>0</v>
      </c>
      <c r="W8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0" s="46">
        <v>46091.038576388892</v>
      </c>
      <c r="Z80" s="47">
        <v>46091.064502314817</v>
      </c>
      <c r="AA80" s="48" t="s">
        <v>209</v>
      </c>
      <c r="AB80" s="48"/>
      <c r="AC80" s="43" t="s">
        <v>205</v>
      </c>
      <c r="AD80" s="46" t="s">
        <v>145</v>
      </c>
      <c r="AE80" s="46" t="s">
        <v>173</v>
      </c>
      <c r="AF80" s="88" t="s">
        <v>210</v>
      </c>
      <c r="AG80" s="105">
        <f>IF(TAB_HISTORICO_MANUT[[#This Row],[Hora Inicio]]="","",MONTH(TAB_HISTORICO_MANUT[[#This Row],[Hora Inicio]]))</f>
        <v>3</v>
      </c>
      <c r="AH80" s="58" t="s">
        <v>326</v>
      </c>
      <c r="AI80" s="43" t="s">
        <v>21</v>
      </c>
      <c r="AJ80" s="43"/>
      <c r="AK80" s="43"/>
      <c r="AL80" s="43"/>
      <c r="AM80" s="114"/>
      <c r="AN80" s="43"/>
      <c r="AO80" s="43"/>
      <c r="AP80" s="43"/>
    </row>
    <row r="81" spans="1:42" ht="50.1" customHeight="1" x14ac:dyDescent="0.25">
      <c r="A81" s="43">
        <f>MONTH(TAB_HISTORICO_MANUT[[#This Row],[Hora Final]])-MONTH(TAB_HISTORICO_MANUT[[#This Row],[Hora Inicio]])</f>
        <v>0</v>
      </c>
      <c r="B81" s="42"/>
      <c r="C81" s="43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Inicio]]=Z80,TAB_HISTORICO_MANUT[[#This Row],[Equipamento]]=AA80,TAB_HISTORICO_MANUT[[#This Row],[Descricao Despacho]]=AD80),0,1)))</f>
        <v>1</v>
      </c>
      <c r="O8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81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81" s="50">
        <f>IF($Q81="","",(TAB_HISTORICO_MANUT[[#This Row],[Hora Final]]-TAB_HISTORICO_MANUT[[#This Row],[Hora Inicio]])*24)</f>
        <v>1.4208333333372138</v>
      </c>
      <c r="S8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1" s="54" t="str">
        <f>IF(AND(TAB_HISTORICO_MANUT[[#This Row],[EXPURGO Mãe]]="SIM",TAB_HISTORICO_MANUT[[#This Row],[Tipo]]="MÃE"),"EXP.MAE",IF(TAB_HISTORICO_MANUT[[#This Row],[EXPURGO Mãe]]="NÃO","NÃO EXP.MAE",T80))</f>
        <v>NÃO EXP.MAE</v>
      </c>
      <c r="U8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1" s="56">
        <f>IF(TAB_HISTORICO_MANUT[[#This Row],[EXPURGO Filhas]]="SIM",MAX(TAB_HISTORICO_MANUT[[#This Row],[Hora Final]]-TAB_HISTORICO_MANUT[[#This Row],[Hora Inicio]],0),0)</f>
        <v>0</v>
      </c>
      <c r="W8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1" s="46">
        <v>46093.833240740743</v>
      </c>
      <c r="Z81" s="47">
        <v>46093.892442129632</v>
      </c>
      <c r="AA81" s="48" t="s">
        <v>209</v>
      </c>
      <c r="AB81" s="48" t="s">
        <v>702</v>
      </c>
      <c r="AC81" s="43" t="s">
        <v>204</v>
      </c>
      <c r="AD81" s="46" t="s">
        <v>144</v>
      </c>
      <c r="AE81" s="46" t="s">
        <v>172</v>
      </c>
      <c r="AF81" s="88" t="s">
        <v>210</v>
      </c>
      <c r="AG81" s="105">
        <f>IF(TAB_HISTORICO_MANUT[[#This Row],[Hora Inicio]]="","",MONTH(TAB_HISTORICO_MANUT[[#This Row],[Hora Inicio]]))</f>
        <v>3</v>
      </c>
      <c r="AH81" s="58" t="s">
        <v>713</v>
      </c>
      <c r="AI81" s="43" t="s">
        <v>22</v>
      </c>
      <c r="AJ81" s="43" t="s">
        <v>23</v>
      </c>
      <c r="AK81" s="43" t="s">
        <v>719</v>
      </c>
      <c r="AL81" s="43" t="s">
        <v>275</v>
      </c>
      <c r="AM81" s="114" t="s">
        <v>276</v>
      </c>
      <c r="AN81" s="43" t="s">
        <v>215</v>
      </c>
      <c r="AO81" s="43" t="s">
        <v>408</v>
      </c>
      <c r="AP81" s="43" t="s">
        <v>707</v>
      </c>
    </row>
    <row r="82" spans="1:42" ht="50.1" customHeight="1" x14ac:dyDescent="0.25">
      <c r="A82" s="43">
        <f>MONTH(TAB_HISTORICO_MANUT[[#This Row],[Hora Final]])-MONTH(TAB_HISTORICO_MANUT[[#This Row],[Hora Inicio]])</f>
        <v>0</v>
      </c>
      <c r="B82" s="42"/>
      <c r="C82" s="43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Inicio]]=Z81,TAB_HISTORICO_MANUT[[#This Row],[Equipamento]]=AA81,TAB_HISTORICO_MANUT[[#This Row],[Descricao Despacho]]=AD81),0,1)))</f>
        <v>1</v>
      </c>
      <c r="O8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82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82" s="50">
        <f>IF($Q82="","",(TAB_HISTORICO_MANUT[[#This Row],[Hora Final]]-TAB_HISTORICO_MANUT[[#This Row],[Hora Inicio]])*24)</f>
        <v>0.61277777783107013</v>
      </c>
      <c r="S8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2" s="54" t="str">
        <f>IF(AND(TAB_HISTORICO_MANUT[[#This Row],[EXPURGO Mãe]]="SIM",TAB_HISTORICO_MANUT[[#This Row],[Tipo]]="MÃE"),"EXP.MAE",IF(TAB_HISTORICO_MANUT[[#This Row],[EXPURGO Mãe]]="NÃO","NÃO EXP.MAE",T81))</f>
        <v>NÃO EXP.MAE</v>
      </c>
      <c r="U8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2" s="56">
        <f>IF(TAB_HISTORICO_MANUT[[#This Row],[EXPURGO Filhas]]="SIM",MAX(TAB_HISTORICO_MANUT[[#This Row],[Hora Final]]-TAB_HISTORICO_MANUT[[#This Row],[Hora Inicio]],0),0)</f>
        <v>0</v>
      </c>
      <c r="W8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2" s="46">
        <v>46097.989629629628</v>
      </c>
      <c r="Z82" s="47">
        <v>46098.015162037038</v>
      </c>
      <c r="AA82" s="48" t="s">
        <v>209</v>
      </c>
      <c r="AB82" s="48" t="s">
        <v>723</v>
      </c>
      <c r="AC82" s="43" t="s">
        <v>204</v>
      </c>
      <c r="AD82" s="46" t="s">
        <v>144</v>
      </c>
      <c r="AE82" s="46" t="s">
        <v>172</v>
      </c>
      <c r="AF82" s="88" t="s">
        <v>210</v>
      </c>
      <c r="AG82" s="105">
        <f>IF(TAB_HISTORICO_MANUT[[#This Row],[Hora Inicio]]="","",MONTH(TAB_HISTORICO_MANUT[[#This Row],[Hora Inicio]]))</f>
        <v>3</v>
      </c>
      <c r="AH82" s="58" t="s">
        <v>726</v>
      </c>
      <c r="AI82" s="43" t="s">
        <v>24</v>
      </c>
      <c r="AJ82" s="43" t="s">
        <v>423</v>
      </c>
      <c r="AK82" s="43" t="s">
        <v>422</v>
      </c>
      <c r="AL82" s="43" t="s">
        <v>279</v>
      </c>
      <c r="AM82" s="114" t="s">
        <v>280</v>
      </c>
      <c r="AN82" s="43" t="s">
        <v>217</v>
      </c>
      <c r="AO82" s="43" t="s">
        <v>729</v>
      </c>
      <c r="AP82" s="43" t="s">
        <v>218</v>
      </c>
    </row>
    <row r="83" spans="1:42" ht="50.1" customHeight="1" x14ac:dyDescent="0.25">
      <c r="A83" s="43">
        <f>MONTH(TAB_HISTORICO_MANUT[[#This Row],[Hora Final]])-MONTH(TAB_HISTORICO_MANUT[[#This Row],[Hora Inicio]])</f>
        <v>0</v>
      </c>
      <c r="B83" s="42"/>
      <c r="C83" s="43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Inicio]]=Z82,TAB_HISTORICO_MANUT[[#This Row],[Equipamento]]=AA82,TAB_HISTORICO_MANUT[[#This Row],[Descricao Despacho]]=AD82),0,1)))</f>
        <v>1</v>
      </c>
      <c r="O8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83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8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83" s="50">
        <f>IF($Q83="","",(TAB_HISTORICO_MANUT[[#This Row],[Hora Final]]-TAB_HISTORICO_MANUT[[#This Row],[Hora Inicio]])*24)</f>
        <v>0.44499999994877726</v>
      </c>
      <c r="S8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3" s="54" t="str">
        <f>IF(AND(TAB_HISTORICO_MANUT[[#This Row],[EXPURGO Mãe]]="SIM",TAB_HISTORICO_MANUT[[#This Row],[Tipo]]="MÃE"),"EXP.MAE",IF(TAB_HISTORICO_MANUT[[#This Row],[EXPURGO Mãe]]="NÃO","NÃO EXP.MAE",T82))</f>
        <v>NÃO EXP.MAE</v>
      </c>
      <c r="U8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3" s="56">
        <f>IF(TAB_HISTORICO_MANUT[[#This Row],[EXPURGO Filhas]]="SIM",MAX(TAB_HISTORICO_MANUT[[#This Row],[Hora Final]]-TAB_HISTORICO_MANUT[[#This Row],[Hora Inicio]],0),0)</f>
        <v>0</v>
      </c>
      <c r="W8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3" s="46">
        <v>46099.133692129632</v>
      </c>
      <c r="Z83" s="47">
        <v>46099.152233796296</v>
      </c>
      <c r="AA83" s="48" t="s">
        <v>209</v>
      </c>
      <c r="AB83" s="48"/>
      <c r="AC83" s="43" t="s">
        <v>205</v>
      </c>
      <c r="AD83" s="46" t="s">
        <v>145</v>
      </c>
      <c r="AE83" s="46" t="s">
        <v>173</v>
      </c>
      <c r="AF83" s="88" t="s">
        <v>210</v>
      </c>
      <c r="AG83" s="105">
        <f>IF(TAB_HISTORICO_MANUT[[#This Row],[Hora Inicio]]="","",MONTH(TAB_HISTORICO_MANUT[[#This Row],[Hora Inicio]]))</f>
        <v>3</v>
      </c>
      <c r="AH83" s="58" t="s">
        <v>630</v>
      </c>
      <c r="AI83" s="43" t="s">
        <v>21</v>
      </c>
      <c r="AJ83" s="43" t="s">
        <v>21</v>
      </c>
      <c r="AK83" s="43" t="s">
        <v>21</v>
      </c>
      <c r="AL83" s="43" t="s">
        <v>21</v>
      </c>
      <c r="AM83" s="114" t="s">
        <v>21</v>
      </c>
      <c r="AN83" s="43"/>
      <c r="AO83" s="43"/>
      <c r="AP83" s="43"/>
    </row>
    <row r="84" spans="1:42" ht="50.1" customHeight="1" x14ac:dyDescent="0.25">
      <c r="A84" s="43">
        <f>MONTH(TAB_HISTORICO_MANUT[[#This Row],[Hora Final]])-MONTH(TAB_HISTORICO_MANUT[[#This Row],[Hora Inicio]])</f>
        <v>0</v>
      </c>
      <c r="B84" s="42"/>
      <c r="C84" s="43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Inicio]]=Z83,TAB_HISTORICO_MANUT[[#This Row],[Equipamento]]=AA83,TAB_HISTORICO_MANUT[[#This Row],[Descricao Despacho]]=AD83),0,1)))</f>
        <v>1</v>
      </c>
      <c r="O8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84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84" s="50">
        <f>IF($Q84="","",(TAB_HISTORICO_MANUT[[#This Row],[Hora Final]]-TAB_HISTORICO_MANUT[[#This Row],[Hora Inicio]])*24)</f>
        <v>0.68777777772629634</v>
      </c>
      <c r="S8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84" s="54" t="str">
        <f>IF(AND(TAB_HISTORICO_MANUT[[#This Row],[EXPURGO Mãe]]="SIM",TAB_HISTORICO_MANUT[[#This Row],[Tipo]]="MÃE"),"EXP.MAE",IF(TAB_HISTORICO_MANUT[[#This Row],[EXPURGO Mãe]]="NÃO","NÃO EXP.MAE",T83))</f>
        <v>EXP.MAE</v>
      </c>
      <c r="U8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4" s="56">
        <f>IF(TAB_HISTORICO_MANUT[[#This Row],[EXPURGO Filhas]]="SIM",MAX(TAB_HISTORICO_MANUT[[#This Row],[Hora Final]]-TAB_HISTORICO_MANUT[[#This Row],[Hora Inicio]],0),0)</f>
        <v>0</v>
      </c>
      <c r="W8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4" s="46">
        <v>46102.84579861111</v>
      </c>
      <c r="Z84" s="47">
        <v>46102.874456018515</v>
      </c>
      <c r="AA84" s="48" t="s">
        <v>209</v>
      </c>
      <c r="AB84" s="48" t="s">
        <v>742</v>
      </c>
      <c r="AC84" s="43" t="s">
        <v>212</v>
      </c>
      <c r="AD84" s="46" t="s">
        <v>144</v>
      </c>
      <c r="AE84" s="46" t="s">
        <v>214</v>
      </c>
      <c r="AF84" s="88" t="s">
        <v>210</v>
      </c>
      <c r="AG84" s="105">
        <f>IF(TAB_HISTORICO_MANUT[[#This Row],[Hora Inicio]]="","",MONTH(TAB_HISTORICO_MANUT[[#This Row],[Hora Inicio]]))</f>
        <v>3</v>
      </c>
      <c r="AH84" s="58" t="s">
        <v>753</v>
      </c>
      <c r="AI84" s="43" t="s">
        <v>82</v>
      </c>
      <c r="AJ84" s="43" t="s">
        <v>289</v>
      </c>
      <c r="AK84" s="43" t="s">
        <v>290</v>
      </c>
      <c r="AL84" s="43" t="s">
        <v>286</v>
      </c>
      <c r="AM84" s="114" t="s">
        <v>496</v>
      </c>
      <c r="AN84" s="43" t="s">
        <v>215</v>
      </c>
      <c r="AO84" s="43" t="s">
        <v>759</v>
      </c>
      <c r="AP84" s="43" t="s">
        <v>760</v>
      </c>
    </row>
    <row r="85" spans="1:42" ht="50.1" customHeight="1" x14ac:dyDescent="0.25">
      <c r="A85" s="43">
        <f>MONTH(TAB_HISTORICO_MANUT[[#This Row],[Hora Final]])-MONTH(TAB_HISTORICO_MANUT[[#This Row],[Hora Inicio]])</f>
        <v>0</v>
      </c>
      <c r="B85" s="42"/>
      <c r="C85" s="43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Inicio]]=Z84,TAB_HISTORICO_MANUT[[#This Row],[Equipamento]]=AA84,TAB_HISTORICO_MANUT[[#This Row],[Descricao Despacho]]=AD84),0,1)))</f>
        <v>1</v>
      </c>
      <c r="O8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85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85" s="50">
        <f>IF($Q85="","",(TAB_HISTORICO_MANUT[[#This Row],[Hora Final]]-TAB_HISTORICO_MANUT[[#This Row],[Hora Inicio]])*24)</f>
        <v>1.5494444444775581</v>
      </c>
      <c r="S8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5" s="54" t="str">
        <f>IF(AND(TAB_HISTORICO_MANUT[[#This Row],[EXPURGO Mãe]]="SIM",TAB_HISTORICO_MANUT[[#This Row],[Tipo]]="MÃE"),"EXP.MAE",IF(TAB_HISTORICO_MANUT[[#This Row],[EXPURGO Mãe]]="NÃO","NÃO EXP.MAE",T84))</f>
        <v>NÃO EXP.MAE</v>
      </c>
      <c r="U8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5" s="56">
        <f>IF(TAB_HISTORICO_MANUT[[#This Row],[EXPURGO Filhas]]="SIM",MAX(TAB_HISTORICO_MANUT[[#This Row],[Hora Final]]-TAB_HISTORICO_MANUT[[#This Row],[Hora Inicio]],0),0)</f>
        <v>0</v>
      </c>
      <c r="W8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5" s="46">
        <v>46104.977592592593</v>
      </c>
      <c r="Z85" s="47">
        <v>46105.04215277778</v>
      </c>
      <c r="AA85" s="48" t="s">
        <v>209</v>
      </c>
      <c r="AB85" s="48" t="s">
        <v>788</v>
      </c>
      <c r="AC85" s="43" t="s">
        <v>204</v>
      </c>
      <c r="AD85" s="46" t="s">
        <v>144</v>
      </c>
      <c r="AE85" s="46" t="s">
        <v>172</v>
      </c>
      <c r="AF85" s="88" t="s">
        <v>210</v>
      </c>
      <c r="AG85" s="105">
        <f>IF(TAB_HISTORICO_MANUT[[#This Row],[Hora Inicio]]="","",MONTH(TAB_HISTORICO_MANUT[[#This Row],[Hora Inicio]]))</f>
        <v>3</v>
      </c>
      <c r="AH85" s="58" t="s">
        <v>803</v>
      </c>
      <c r="AI85" s="43" t="s">
        <v>28</v>
      </c>
      <c r="AJ85" s="43" t="s">
        <v>199</v>
      </c>
      <c r="AK85" s="43" t="s">
        <v>812</v>
      </c>
      <c r="AL85" s="43" t="s">
        <v>297</v>
      </c>
      <c r="AM85" s="114" t="s">
        <v>813</v>
      </c>
      <c r="AN85" s="43" t="s">
        <v>217</v>
      </c>
      <c r="AO85" s="43" t="s">
        <v>761</v>
      </c>
      <c r="AP85" s="43" t="s">
        <v>469</v>
      </c>
    </row>
    <row r="86" spans="1:42" ht="50.1" customHeight="1" x14ac:dyDescent="0.25">
      <c r="A86" s="43">
        <f>MONTH(TAB_HISTORICO_MANUT[[#This Row],[Hora Final]])-MONTH(TAB_HISTORICO_MANUT[[#This Row],[Hora Inicio]])</f>
        <v>0</v>
      </c>
      <c r="B86" s="42"/>
      <c r="C86" s="43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Inicio]]=Z85,TAB_HISTORICO_MANUT[[#This Row],[Equipamento]]=AA85,TAB_HISTORICO_MANUT[[#This Row],[Descricao Despacho]]=AD85),0,1)))</f>
        <v>1</v>
      </c>
      <c r="O8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COMBATE INCENDIO</v>
      </c>
      <c r="P8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86" s="50">
        <f>IF($Q86="","",(TAB_HISTORICO_MANUT[[#This Row],[Hora Final]]-TAB_HISTORICO_MANUT[[#This Row],[Hora Inicio]])*24)</f>
        <v>1.7974999998696148</v>
      </c>
      <c r="S8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86" s="54" t="str">
        <f>IF(AND(TAB_HISTORICO_MANUT[[#This Row],[EXPURGO Mãe]]="SIM",TAB_HISTORICO_MANUT[[#This Row],[Tipo]]="MÃE"),"EXP.MAE",IF(TAB_HISTORICO_MANUT[[#This Row],[EXPURGO Mãe]]="NÃO","NÃO EXP.MAE",T85))</f>
        <v>EXP.MAE</v>
      </c>
      <c r="U8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6" s="56">
        <f>IF(TAB_HISTORICO_MANUT[[#This Row],[EXPURGO Filhas]]="SIM",MAX(TAB_HISTORICO_MANUT[[#This Row],[Hora Final]]-TAB_HISTORICO_MANUT[[#This Row],[Hora Inicio]],0),0)</f>
        <v>0</v>
      </c>
      <c r="W8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6" s="46">
        <v>46105.796018518522</v>
      </c>
      <c r="Z86" s="47">
        <v>46105.87091435185</v>
      </c>
      <c r="AA86" s="48" t="s">
        <v>209</v>
      </c>
      <c r="AB86" s="48" t="s">
        <v>791</v>
      </c>
      <c r="AC86" s="43" t="s">
        <v>212</v>
      </c>
      <c r="AD86" s="46" t="s">
        <v>144</v>
      </c>
      <c r="AE86" s="46" t="s">
        <v>214</v>
      </c>
      <c r="AF86" s="88" t="s">
        <v>210</v>
      </c>
      <c r="AG86" s="105">
        <f>IF(TAB_HISTORICO_MANUT[[#This Row],[Hora Inicio]]="","",MONTH(TAB_HISTORICO_MANUT[[#This Row],[Hora Inicio]]))</f>
        <v>3</v>
      </c>
      <c r="AH86" s="58" t="s">
        <v>807</v>
      </c>
      <c r="AI86" s="43" t="s">
        <v>152</v>
      </c>
      <c r="AJ86" s="43" t="s">
        <v>80</v>
      </c>
      <c r="AK86" s="43" t="s">
        <v>814</v>
      </c>
      <c r="AL86" s="43" t="s">
        <v>354</v>
      </c>
      <c r="AM86" s="114" t="s">
        <v>355</v>
      </c>
      <c r="AN86" s="43" t="s">
        <v>241</v>
      </c>
      <c r="AO86" s="43" t="s">
        <v>320</v>
      </c>
      <c r="AP86" s="43" t="s">
        <v>321</v>
      </c>
    </row>
    <row r="87" spans="1:42" ht="50.1" customHeight="1" x14ac:dyDescent="0.25">
      <c r="A87" s="43">
        <f>MONTH(TAB_HISTORICO_MANUT[[#This Row],[Hora Final]])-MONTH(TAB_HISTORICO_MANUT[[#This Row],[Hora Inicio]])</f>
        <v>0</v>
      </c>
      <c r="B87" s="42"/>
      <c r="C87" s="43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Inicio]]=Z86,TAB_HISTORICO_MANUT[[#This Row],[Equipamento]]=AA86,TAB_HISTORICO_MANUT[[#This Row],[Descricao Despacho]]=AD86),0,1)))</f>
        <v>1</v>
      </c>
      <c r="O8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87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8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87" s="50">
        <f>IF($Q87="","",(TAB_HISTORICO_MANUT[[#This Row],[Hora Final]]-TAB_HISTORICO_MANUT[[#This Row],[Hora Inicio]])*24)</f>
        <v>0.57083333336049691</v>
      </c>
      <c r="S8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7" s="54" t="str">
        <f>IF(AND(TAB_HISTORICO_MANUT[[#This Row],[EXPURGO Mãe]]="SIM",TAB_HISTORICO_MANUT[[#This Row],[Tipo]]="MÃE"),"EXP.MAE",IF(TAB_HISTORICO_MANUT[[#This Row],[EXPURGO Mãe]]="NÃO","NÃO EXP.MAE",T86))</f>
        <v>NÃO EXP.MAE</v>
      </c>
      <c r="U8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7" s="56">
        <f>IF(TAB_HISTORICO_MANUT[[#This Row],[EXPURGO Filhas]]="SIM",MAX(TAB_HISTORICO_MANUT[[#This Row],[Hora Final]]-TAB_HISTORICO_MANUT[[#This Row],[Hora Inicio]],0),0)</f>
        <v>0</v>
      </c>
      <c r="W8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7" s="46">
        <v>46106.196921296294</v>
      </c>
      <c r="Z87" s="47">
        <v>46106.220706018517</v>
      </c>
      <c r="AA87" s="48" t="s">
        <v>209</v>
      </c>
      <c r="AB87" s="48"/>
      <c r="AC87" s="43" t="s">
        <v>205</v>
      </c>
      <c r="AD87" s="46" t="s">
        <v>145</v>
      </c>
      <c r="AE87" s="46" t="s">
        <v>173</v>
      </c>
      <c r="AF87" s="88" t="s">
        <v>210</v>
      </c>
      <c r="AG87" s="105">
        <f>IF(TAB_HISTORICO_MANUT[[#This Row],[Hora Inicio]]="","",MONTH(TAB_HISTORICO_MANUT[[#This Row],[Hora Inicio]]))</f>
        <v>3</v>
      </c>
      <c r="AH87" s="58"/>
      <c r="AI87" s="43" t="s">
        <v>21</v>
      </c>
      <c r="AJ87" s="43" t="s">
        <v>21</v>
      </c>
      <c r="AK87" s="43" t="s">
        <v>21</v>
      </c>
      <c r="AL87" s="43" t="s">
        <v>21</v>
      </c>
      <c r="AM87" s="114" t="s">
        <v>21</v>
      </c>
      <c r="AN87" s="43"/>
      <c r="AO87" s="43"/>
      <c r="AP87" s="43"/>
    </row>
    <row r="88" spans="1:42" ht="50.1" customHeight="1" x14ac:dyDescent="0.25">
      <c r="A88" s="43">
        <f>MONTH(TAB_HISTORICO_MANUT[[#This Row],[Hora Final]])-MONTH(TAB_HISTORICO_MANUT[[#This Row],[Hora Inicio]])</f>
        <v>0</v>
      </c>
      <c r="B88" s="42"/>
      <c r="C88" s="43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Inicio]]=Z87,TAB_HISTORICO_MANUT[[#This Row],[Equipamento]]=AA87,TAB_HISTORICO_MANUT[[#This Row],[Descricao Despacho]]=AD87),0,1)))</f>
        <v>1</v>
      </c>
      <c r="O8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88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8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88" s="50">
        <f>IF($Q88="","",(TAB_HISTORICO_MANUT[[#This Row],[Hora Final]]-TAB_HISTORICO_MANUT[[#This Row],[Hora Inicio]])*24)</f>
        <v>7.9727777777588926</v>
      </c>
      <c r="S8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88" s="54" t="str">
        <f>IF(AND(TAB_HISTORICO_MANUT[[#This Row],[EXPURGO Mãe]]="SIM",TAB_HISTORICO_MANUT[[#This Row],[Tipo]]="MÃE"),"EXP.MAE",IF(TAB_HISTORICO_MANUT[[#This Row],[EXPURGO Mãe]]="NÃO","NÃO EXP.MAE",T87))</f>
        <v>EXP.MAE</v>
      </c>
      <c r="U8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8" s="56">
        <f>IF(TAB_HISTORICO_MANUT[[#This Row],[EXPURGO Filhas]]="SIM",MAX(TAB_HISTORICO_MANUT[[#This Row],[Hora Final]]-TAB_HISTORICO_MANUT[[#This Row],[Hora Inicio]],0),0)</f>
        <v>0</v>
      </c>
      <c r="W8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8" s="46">
        <v>46109.018969907411</v>
      </c>
      <c r="Z88" s="47">
        <v>46109.351168981484</v>
      </c>
      <c r="AA88" s="48" t="s">
        <v>209</v>
      </c>
      <c r="AB88" s="48"/>
      <c r="AC88" s="43" t="s">
        <v>364</v>
      </c>
      <c r="AD88" s="46" t="s">
        <v>145</v>
      </c>
      <c r="AE88" s="46" t="s">
        <v>360</v>
      </c>
      <c r="AF88" s="88" t="s">
        <v>210</v>
      </c>
      <c r="AG88" s="105">
        <f>IF(TAB_HISTORICO_MANUT[[#This Row],[Hora Inicio]]="","",MONTH(TAB_HISTORICO_MANUT[[#This Row],[Hora Inicio]]))</f>
        <v>3</v>
      </c>
      <c r="AH88" s="58" t="s">
        <v>522</v>
      </c>
      <c r="AI88" s="43" t="s">
        <v>82</v>
      </c>
      <c r="AJ88" s="43" t="s">
        <v>82</v>
      </c>
      <c r="AK88" s="43" t="s">
        <v>82</v>
      </c>
      <c r="AL88" s="43" t="s">
        <v>82</v>
      </c>
      <c r="AM88" s="114" t="s">
        <v>82</v>
      </c>
      <c r="AN88" s="43" t="s">
        <v>82</v>
      </c>
      <c r="AO88" s="43" t="s">
        <v>82</v>
      </c>
      <c r="AP88" s="43" t="s">
        <v>82</v>
      </c>
    </row>
    <row r="89" spans="1:42" ht="50.1" customHeight="1" x14ac:dyDescent="0.25">
      <c r="A89" s="43">
        <f>MONTH(TAB_HISTORICO_MANUT[[#This Row],[Hora Final]])-MONTH(TAB_HISTORICO_MANUT[[#This Row],[Hora Inicio]])</f>
        <v>0</v>
      </c>
      <c r="B89" s="42"/>
      <c r="C89" s="43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Inicio]]=Z88,TAB_HISTORICO_MANUT[[#This Row],[Equipamento]]=AA88,TAB_HISTORICO_MANUT[[#This Row],[Descricao Despacho]]=AD88),0,1)))</f>
        <v>1</v>
      </c>
      <c r="O8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89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89" s="50">
        <f>IF($Q89="","",(TAB_HISTORICO_MANUT[[#This Row],[Hora Final]]-TAB_HISTORICO_MANUT[[#This Row],[Hora Inicio]])*24)</f>
        <v>5.0258333333185874</v>
      </c>
      <c r="S8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9" s="54" t="str">
        <f>IF(AND(TAB_HISTORICO_MANUT[[#This Row],[EXPURGO Mãe]]="SIM",TAB_HISTORICO_MANUT[[#This Row],[Tipo]]="MÃE"),"EXP.MAE",IF(TAB_HISTORICO_MANUT[[#This Row],[EXPURGO Mãe]]="NÃO","NÃO EXP.MAE",T88))</f>
        <v>NÃO EXP.MAE</v>
      </c>
      <c r="U8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9" s="56">
        <f>IF(TAB_HISTORICO_MANUT[[#This Row],[EXPURGO Filhas]]="SIM",MAX(TAB_HISTORICO_MANUT[[#This Row],[Hora Final]]-TAB_HISTORICO_MANUT[[#This Row],[Hora Inicio]],0),0)</f>
        <v>0</v>
      </c>
      <c r="W8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9" s="46">
        <v>46109.909490740742</v>
      </c>
      <c r="Z89" s="47">
        <v>46110.118900462963</v>
      </c>
      <c r="AA89" s="48" t="s">
        <v>209</v>
      </c>
      <c r="AB89" s="48"/>
      <c r="AC89" s="43" t="s">
        <v>204</v>
      </c>
      <c r="AD89" s="46" t="s">
        <v>144</v>
      </c>
      <c r="AE89" s="46" t="s">
        <v>172</v>
      </c>
      <c r="AF89" s="88" t="s">
        <v>210</v>
      </c>
      <c r="AG89" s="105">
        <f>IF(TAB_HISTORICO_MANUT[[#This Row],[Hora Inicio]]="","",MONTH(TAB_HISTORICO_MANUT[[#This Row],[Hora Inicio]]))</f>
        <v>3</v>
      </c>
      <c r="AH89" s="58" t="s">
        <v>920</v>
      </c>
      <c r="AI89" s="43" t="s">
        <v>23</v>
      </c>
      <c r="AJ89" s="43" t="s">
        <v>277</v>
      </c>
      <c r="AK89" s="43" t="s">
        <v>331</v>
      </c>
      <c r="AL89" s="43" t="s">
        <v>275</v>
      </c>
      <c r="AM89" s="114" t="s">
        <v>276</v>
      </c>
      <c r="AN89" s="43" t="s">
        <v>217</v>
      </c>
      <c r="AO89" s="43" t="s">
        <v>918</v>
      </c>
      <c r="AP89" s="43" t="s">
        <v>919</v>
      </c>
    </row>
    <row r="90" spans="1:42" ht="50.1" customHeight="1" x14ac:dyDescent="0.25">
      <c r="A90" s="43">
        <f>MONTH(TAB_HISTORICO_MANUT[[#This Row],[Hora Final]])-MONTH(TAB_HISTORICO_MANUT[[#This Row],[Hora Inicio]])</f>
        <v>0</v>
      </c>
      <c r="B90" s="42"/>
      <c r="C90" s="43"/>
      <c r="D90" s="42"/>
      <c r="E90" s="42"/>
      <c r="F90" s="42"/>
      <c r="G90" s="42"/>
      <c r="H90" s="42"/>
      <c r="I90" s="42"/>
      <c r="J90" s="42"/>
      <c r="K90" s="42"/>
      <c r="L90" s="42"/>
      <c r="M90" s="42" t="s">
        <v>99</v>
      </c>
      <c r="N9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Inicio]]=Z89,TAB_HISTORICO_MANUT[[#This Row],[Equipamento]]=AA89,TAB_HISTORICO_MANUT[[#This Row],[Descricao Despacho]]=AD89),0,1)))</f>
        <v>1</v>
      </c>
      <c r="O9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90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9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90" s="50">
        <f>IF($Q90="","",(TAB_HISTORICO_MANUT[[#This Row],[Hora Final]]-TAB_HISTORICO_MANUT[[#This Row],[Hora Inicio]])*24)</f>
        <v>0.15888888883637264</v>
      </c>
      <c r="S9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0" s="54" t="str">
        <f>IF(AND(TAB_HISTORICO_MANUT[[#This Row],[EXPURGO Mãe]]="SIM",TAB_HISTORICO_MANUT[[#This Row],[Tipo]]="MÃE"),"EXP.MAE",IF(TAB_HISTORICO_MANUT[[#This Row],[EXPURGO Mãe]]="NÃO","NÃO EXP.MAE",T89))</f>
        <v>NÃO EXP.MAE</v>
      </c>
      <c r="U9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0" s="56">
        <f>IF(TAB_HISTORICO_MANUT[[#This Row],[EXPURGO Filhas]]="SIM",MAX(TAB_HISTORICO_MANUT[[#This Row],[Hora Final]]-TAB_HISTORICO_MANUT[[#This Row],[Hora Inicio]],0),0)</f>
        <v>0</v>
      </c>
      <c r="W9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0" s="46">
        <v>46112.110972222225</v>
      </c>
      <c r="Z90" s="47">
        <v>46112.117592592593</v>
      </c>
      <c r="AA90" s="48" t="s">
        <v>209</v>
      </c>
      <c r="AB90" s="48"/>
      <c r="AC90" s="43" t="s">
        <v>300</v>
      </c>
      <c r="AD90" s="46" t="s">
        <v>146</v>
      </c>
      <c r="AE90" s="46" t="s">
        <v>178</v>
      </c>
      <c r="AF90" s="88" t="s">
        <v>210</v>
      </c>
      <c r="AG90" s="105">
        <f>IF(TAB_HISTORICO_MANUT[[#This Row],[Hora Inicio]]="","",MONTH(TAB_HISTORICO_MANUT[[#This Row],[Hora Inicio]]))</f>
        <v>3</v>
      </c>
      <c r="AH90" s="58" t="s">
        <v>824</v>
      </c>
      <c r="AI90" s="43" t="s">
        <v>340</v>
      </c>
      <c r="AJ90" s="43" t="s">
        <v>432</v>
      </c>
      <c r="AK90" s="43"/>
      <c r="AL90" s="43"/>
      <c r="AM90" s="114"/>
      <c r="AN90" s="43"/>
      <c r="AO90" s="43"/>
      <c r="AP90" s="43"/>
    </row>
    <row r="91" spans="1:42" ht="50.1" customHeight="1" x14ac:dyDescent="0.25">
      <c r="A91" s="115">
        <f>MONTH(TAB_HISTORICO_MANUT[[#This Row],[Hora Final]])-MONTH(TAB_HISTORICO_MANUT[[#This Row],[Hora Inicio]])</f>
        <v>0</v>
      </c>
      <c r="B91" s="116"/>
      <c r="C91" s="115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Inicio]]=Z90,TAB_HISTORICO_MANUT[[#This Row],[Equipamento]]=AA90,TAB_HISTORICO_MANUT[[#This Row],[Descricao Despacho]]=AD90),0,1)))</f>
        <v>0</v>
      </c>
      <c r="O9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9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9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91" s="50">
        <f>IF($Q91="","",(TAB_HISTORICO_MANUT[[#This Row],[Hora Final]]-TAB_HISTORICO_MANUT[[#This Row],[Hora Inicio]])*24)</f>
        <v>1.2674999999580905</v>
      </c>
      <c r="S9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1" s="109" t="str">
        <f>IF(AND(TAB_HISTORICO_MANUT[[#This Row],[EXPURGO Mãe]]="SIM",TAB_HISTORICO_MANUT[[#This Row],[Tipo]]="MÃE"),"EXP.MAE",IF(TAB_HISTORICO_MANUT[[#This Row],[EXPURGO Mãe]]="NÃO","NÃO EXP.MAE",T90))</f>
        <v>NÃO EXP.MAE</v>
      </c>
      <c r="U9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1" s="110">
        <f>IF(TAB_HISTORICO_MANUT[[#This Row],[EXPURGO Filhas]]="SIM",MAX(TAB_HISTORICO_MANUT[[#This Row],[Hora Final]]-TAB_HISTORICO_MANUT[[#This Row],[Hora Inicio]],0),0)</f>
        <v>0</v>
      </c>
      <c r="W9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1" s="117">
        <v>46112.117592592593</v>
      </c>
      <c r="Z91" s="118">
        <v>46112.170405092591</v>
      </c>
      <c r="AA91" s="119" t="s">
        <v>209</v>
      </c>
      <c r="AB91" s="119"/>
      <c r="AC91" s="115" t="s">
        <v>301</v>
      </c>
      <c r="AD91" s="117" t="s">
        <v>146</v>
      </c>
      <c r="AE91" s="117" t="s">
        <v>310</v>
      </c>
      <c r="AF91" s="88" t="s">
        <v>210</v>
      </c>
      <c r="AG91" s="105">
        <f>IF(TAB_HISTORICO_MANUT[[#This Row],[Hora Inicio]]="","",MONTH(TAB_HISTORICO_MANUT[[#This Row],[Hora Inicio]]))</f>
        <v>3</v>
      </c>
      <c r="AH91" s="120" t="s">
        <v>824</v>
      </c>
      <c r="AI91" s="115" t="s">
        <v>340</v>
      </c>
      <c r="AJ91" s="115" t="s">
        <v>432</v>
      </c>
      <c r="AK91" s="115"/>
      <c r="AL91" s="115"/>
      <c r="AM91" s="121"/>
      <c r="AN91" s="115"/>
      <c r="AO91" s="115"/>
      <c r="AP91" s="115"/>
    </row>
    <row r="92" spans="1:42" ht="50.1" customHeight="1" x14ac:dyDescent="0.25">
      <c r="A92" s="115">
        <f>MONTH(TAB_HISTORICO_MANUT[[#This Row],[Hora Final]])-MONTH(TAB_HISTORICO_MANUT[[#This Row],[Hora Inicio]])</f>
        <v>0</v>
      </c>
      <c r="B92" s="116"/>
      <c r="C92" s="115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Inicio]]=Z91,TAB_HISTORICO_MANUT[[#This Row],[Equipamento]]=AA91,TAB_HISTORICO_MANUT[[#This Row],[Descricao Despacho]]=AD91),0,1)))</f>
        <v>0</v>
      </c>
      <c r="O9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9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9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92" s="107">
        <f>IF($Q92="","",(TAB_HISTORICO_MANUT[[#This Row],[Hora Final]]-TAB_HISTORICO_MANUT[[#This Row],[Hora Inicio]])*24)</f>
        <v>4.0000000001164153</v>
      </c>
      <c r="S9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2" s="109" t="str">
        <f>IF(AND(TAB_HISTORICO_MANUT[[#This Row],[EXPURGO Mãe]]="SIM",TAB_HISTORICO_MANUT[[#This Row],[Tipo]]="MÃE"),"EXP.MAE",IF(TAB_HISTORICO_MANUT[[#This Row],[EXPURGO Mãe]]="NÃO","NÃO EXP.MAE",T91))</f>
        <v>NÃO EXP.MAE</v>
      </c>
      <c r="U9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2" s="110">
        <f>IF(TAB_HISTORICO_MANUT[[#This Row],[EXPURGO Filhas]]="SIM",MAX(TAB_HISTORICO_MANUT[[#This Row],[Hora Final]]-TAB_HISTORICO_MANUT[[#This Row],[Hora Inicio]],0),0)</f>
        <v>0</v>
      </c>
      <c r="W9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2" s="117">
        <v>46112.170405092591</v>
      </c>
      <c r="Z92" s="118">
        <v>46112.337071759262</v>
      </c>
      <c r="AA92" s="119" t="s">
        <v>209</v>
      </c>
      <c r="AB92" s="119"/>
      <c r="AC92" s="115" t="s">
        <v>302</v>
      </c>
      <c r="AD92" s="117" t="s">
        <v>146</v>
      </c>
      <c r="AE92" s="117" t="s">
        <v>311</v>
      </c>
      <c r="AF92" s="88" t="s">
        <v>210</v>
      </c>
      <c r="AG92" s="105">
        <f>IF(TAB_HISTORICO_MANUT[[#This Row],[Hora Inicio]]="","",MONTH(TAB_HISTORICO_MANUT[[#This Row],[Hora Inicio]]))</f>
        <v>3</v>
      </c>
      <c r="AH92" s="120" t="s">
        <v>824</v>
      </c>
      <c r="AI92" s="115" t="s">
        <v>340</v>
      </c>
      <c r="AJ92" s="115" t="s">
        <v>432</v>
      </c>
      <c r="AK92" s="115"/>
      <c r="AL92" s="115"/>
      <c r="AM92" s="121"/>
      <c r="AN92" s="115"/>
      <c r="AO92" s="115"/>
      <c r="AP92" s="115"/>
    </row>
    <row r="93" spans="1:42" ht="50.1" customHeight="1" x14ac:dyDescent="0.25">
      <c r="A93" s="115">
        <f>MONTH(TAB_HISTORICO_MANUT[[#This Row],[Hora Final]])-MONTH(TAB_HISTORICO_MANUT[[#This Row],[Hora Inicio]])</f>
        <v>0</v>
      </c>
      <c r="B93" s="116"/>
      <c r="C93" s="115"/>
      <c r="D93" s="116"/>
      <c r="E93" s="116"/>
      <c r="F93" s="116"/>
      <c r="G93" s="116"/>
      <c r="H93" s="116"/>
      <c r="I93" s="116"/>
      <c r="J93" s="116"/>
      <c r="K93" s="116"/>
      <c r="L93" s="116"/>
      <c r="M93" s="116" t="s">
        <v>98</v>
      </c>
      <c r="N9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Inicio]]=Z92,TAB_HISTORICO_MANUT[[#This Row],[Equipamento]]=AA92,TAB_HISTORICO_MANUT[[#This Row],[Descricao Despacho]]=AD92),0,1)))</f>
        <v>0</v>
      </c>
      <c r="O9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9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9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93" s="107">
        <f>IF($Q93="","",(TAB_HISTORICO_MANUT[[#This Row],[Hora Final]]-TAB_HISTORICO_MANUT[[#This Row],[Hora Inicio]])*24)</f>
        <v>2.527499999909196</v>
      </c>
      <c r="S9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93" s="109" t="str">
        <f>IF(AND(TAB_HISTORICO_MANUT[[#This Row],[EXPURGO Mãe]]="SIM",TAB_HISTORICO_MANUT[[#This Row],[Tipo]]="MÃE"),"EXP.MAE",IF(TAB_HISTORICO_MANUT[[#This Row],[EXPURGO Mãe]]="NÃO","NÃO EXP.MAE",T92))</f>
        <v>EXP.MAE</v>
      </c>
      <c r="U9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3" s="110">
        <f>IF(TAB_HISTORICO_MANUT[[#This Row],[EXPURGO Filhas]]="SIM",MAX(TAB_HISTORICO_MANUT[[#This Row],[Hora Final]]-TAB_HISTORICO_MANUT[[#This Row],[Hora Inicio]],0),0)</f>
        <v>0</v>
      </c>
      <c r="W9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3" s="117">
        <v>46112.337071759262</v>
      </c>
      <c r="Z93" s="118">
        <v>46112.442384259259</v>
      </c>
      <c r="AA93" s="119" t="s">
        <v>209</v>
      </c>
      <c r="AB93" s="119"/>
      <c r="AC93" s="115" t="s">
        <v>302</v>
      </c>
      <c r="AD93" s="117" t="s">
        <v>146</v>
      </c>
      <c r="AE93" s="117" t="s">
        <v>311</v>
      </c>
      <c r="AF93" s="88" t="s">
        <v>210</v>
      </c>
      <c r="AG93" s="105">
        <f>IF(TAB_HISTORICO_MANUT[[#This Row],[Hora Inicio]]="","",MONTH(TAB_HISTORICO_MANUT[[#This Row],[Hora Inicio]]))</f>
        <v>3</v>
      </c>
      <c r="AH93" s="120" t="s">
        <v>824</v>
      </c>
      <c r="AI93" s="115" t="s">
        <v>340</v>
      </c>
      <c r="AJ93" s="115" t="s">
        <v>432</v>
      </c>
      <c r="AK93" s="115"/>
      <c r="AL93" s="115"/>
      <c r="AM93" s="121"/>
      <c r="AN93" s="115"/>
      <c r="AO93" s="115"/>
      <c r="AP93" s="115"/>
    </row>
    <row r="94" spans="1:42" ht="50.1" customHeight="1" x14ac:dyDescent="0.25">
      <c r="A94" s="115">
        <f>MONTH(TAB_HISTORICO_MANUT[[#This Row],[Hora Final]])-MONTH(TAB_HISTORICO_MANUT[[#This Row],[Hora Inicio]])</f>
        <v>0</v>
      </c>
      <c r="B94" s="116"/>
      <c r="C94" s="115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Inicio]]=Z93,TAB_HISTORICO_MANUT[[#This Row],[Equipamento]]=AA93,TAB_HISTORICO_MANUT[[#This Row],[Descricao Despacho]]=AD93),0,1)))</f>
        <v>0</v>
      </c>
      <c r="O9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9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9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94" s="107">
        <f>IF($Q94="","",(TAB_HISTORICO_MANUT[[#This Row],[Hora Final]]-TAB_HISTORICO_MANUT[[#This Row],[Hora Inicio]])*24)</f>
        <v>13.382499999948777</v>
      </c>
      <c r="S9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4" s="109" t="str">
        <f>IF(AND(TAB_HISTORICO_MANUT[[#This Row],[EXPURGO Mãe]]="SIM",TAB_HISTORICO_MANUT[[#This Row],[Tipo]]="MÃE"),"EXP.MAE",IF(TAB_HISTORICO_MANUT[[#This Row],[EXPURGO Mãe]]="NÃO","NÃO EXP.MAE",T93))</f>
        <v>NÃO EXP.MAE</v>
      </c>
      <c r="U9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4" s="110">
        <f>IF(TAB_HISTORICO_MANUT[[#This Row],[EXPURGO Filhas]]="SIM",MAX(TAB_HISTORICO_MANUT[[#This Row],[Hora Final]]-TAB_HISTORICO_MANUT[[#This Row],[Hora Inicio]],0),0)</f>
        <v>0</v>
      </c>
      <c r="W9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4" s="117">
        <v>46112.442384259259</v>
      </c>
      <c r="Z94" s="137">
        <v>46112.999988425923</v>
      </c>
      <c r="AA94" s="119" t="s">
        <v>209</v>
      </c>
      <c r="AB94" s="119"/>
      <c r="AC94" s="115" t="s">
        <v>301</v>
      </c>
      <c r="AD94" s="117" t="s">
        <v>146</v>
      </c>
      <c r="AE94" s="117" t="s">
        <v>310</v>
      </c>
      <c r="AF94" s="88" t="s">
        <v>210</v>
      </c>
      <c r="AG94" s="105">
        <f>IF(TAB_HISTORICO_MANUT[[#This Row],[Hora Inicio]]="","",MONTH(TAB_HISTORICO_MANUT[[#This Row],[Hora Inicio]]))</f>
        <v>3</v>
      </c>
      <c r="AH94" s="120" t="s">
        <v>824</v>
      </c>
      <c r="AI94" s="115" t="s">
        <v>340</v>
      </c>
      <c r="AJ94" s="115" t="s">
        <v>432</v>
      </c>
      <c r="AK94" s="115"/>
      <c r="AL94" s="115"/>
      <c r="AM94" s="121"/>
      <c r="AN94" s="115"/>
      <c r="AO94" s="115"/>
      <c r="AP94" s="115"/>
    </row>
    <row r="95" spans="1:42" ht="50.1" customHeight="1" x14ac:dyDescent="0.25">
      <c r="A95" s="115">
        <f>MONTH(TAB_HISTORICO_MANUT[[#This Row],[Hora Final]])-MONTH(TAB_HISTORICO_MANUT[[#This Row],[Hora Inicio]])</f>
        <v>0</v>
      </c>
      <c r="B95" s="116"/>
      <c r="C95" s="115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Inicio]]=Z94,TAB_HISTORICO_MANUT[[#This Row],[Equipamento]]=AA94,TAB_HISTORICO_MANUT[[#This Row],[Descricao Despacho]]=AD94),0,1)))</f>
        <v>1</v>
      </c>
      <c r="O9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9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9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95" s="107">
        <f>IF($Q95="","",(TAB_HISTORICO_MANUT[[#This Row],[Hora Final]]-TAB_HISTORICO_MANUT[[#This Row],[Hora Inicio]])*24)</f>
        <v>2.1222222222131677</v>
      </c>
      <c r="S9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5" s="109" t="str">
        <f>IF(AND(TAB_HISTORICO_MANUT[[#This Row],[EXPURGO Mãe]]="SIM",TAB_HISTORICO_MANUT[[#This Row],[Tipo]]="MÃE"),"EXP.MAE",IF(TAB_HISTORICO_MANUT[[#This Row],[EXPURGO Mãe]]="NÃO","NÃO EXP.MAE",T94))</f>
        <v>NÃO EXP.MAE</v>
      </c>
      <c r="U9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5" s="110">
        <f>IF(TAB_HISTORICO_MANUT[[#This Row],[EXPURGO Filhas]]="SIM",MAX(TAB_HISTORICO_MANUT[[#This Row],[Hora Final]]-TAB_HISTORICO_MANUT[[#This Row],[Hora Inicio]],0),0)</f>
        <v>0</v>
      </c>
      <c r="W9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5" s="111">
        <v>46113</v>
      </c>
      <c r="Z95" s="47">
        <v>46113.088425925926</v>
      </c>
      <c r="AA95" s="48" t="s">
        <v>209</v>
      </c>
      <c r="AB95" s="48"/>
      <c r="AC95" s="43" t="s">
        <v>301</v>
      </c>
      <c r="AD95" s="46" t="s">
        <v>146</v>
      </c>
      <c r="AE95" s="46" t="s">
        <v>310</v>
      </c>
      <c r="AF95" s="88" t="s">
        <v>210</v>
      </c>
      <c r="AG95" s="105">
        <f>IF(TAB_HISTORICO_MANUT[[#This Row],[Hora Inicio]]="","",MONTH(TAB_HISTORICO_MANUT[[#This Row],[Hora Inicio]]))</f>
        <v>4</v>
      </c>
      <c r="AH95" s="120" t="s">
        <v>824</v>
      </c>
      <c r="AI95" s="115" t="s">
        <v>340</v>
      </c>
      <c r="AJ95" s="115" t="s">
        <v>432</v>
      </c>
      <c r="AK95" s="43"/>
      <c r="AL95" s="43"/>
      <c r="AM95" s="114"/>
      <c r="AN95" s="43"/>
      <c r="AO95" s="43"/>
      <c r="AP95" s="43"/>
    </row>
    <row r="96" spans="1:42" ht="50.1" customHeight="1" x14ac:dyDescent="0.25">
      <c r="A96" s="43">
        <f>MONTH(TAB_HISTORICO_MANUT[[#This Row],[Hora Final]])-MONTH(TAB_HISTORICO_MANUT[[#This Row],[Hora Inicio]])</f>
        <v>0</v>
      </c>
      <c r="B96" s="42"/>
      <c r="C96" s="43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Inicio]]=Z95,TAB_HISTORICO_MANUT[[#This Row],[Equipamento]]=AA95,TAB_HISTORICO_MANUT[[#This Row],[Descricao Despacho]]=AD95),0,1)))</f>
        <v>1</v>
      </c>
      <c r="O9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HIDRAULICO</v>
      </c>
      <c r="P9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6" s="50">
        <f>IF($Q96="","",(TAB_HISTORICO_MANUT[[#This Row],[Hora Final]]-TAB_HISTORICO_MANUT[[#This Row],[Hora Inicio]])*24)</f>
        <v>1.7069444444496185</v>
      </c>
      <c r="S9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6" s="54" t="str">
        <f>IF(AND(TAB_HISTORICO_MANUT[[#This Row],[EXPURGO Mãe]]="SIM",TAB_HISTORICO_MANUT[[#This Row],[Tipo]]="MÃE"),"EXP.MAE",IF(TAB_HISTORICO_MANUT[[#This Row],[EXPURGO Mãe]]="NÃO","NÃO EXP.MAE",T95))</f>
        <v>NÃO EXP.MAE</v>
      </c>
      <c r="U9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6" s="56">
        <f>IF(TAB_HISTORICO_MANUT[[#This Row],[EXPURGO Filhas]]="SIM",MAX(TAB_HISTORICO_MANUT[[#This Row],[Hora Final]]-TAB_HISTORICO_MANUT[[#This Row],[Hora Inicio]],0),0)</f>
        <v>0</v>
      </c>
      <c r="W9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6" s="46">
        <v>46113.418078703704</v>
      </c>
      <c r="Z96" s="47">
        <v>46113.489201388889</v>
      </c>
      <c r="AA96" s="48" t="s">
        <v>209</v>
      </c>
      <c r="AB96" s="48" t="s">
        <v>827</v>
      </c>
      <c r="AC96" s="43" t="s">
        <v>204</v>
      </c>
      <c r="AD96" s="46" t="s">
        <v>144</v>
      </c>
      <c r="AE96" s="46" t="s">
        <v>172</v>
      </c>
      <c r="AF96" s="88" t="s">
        <v>210</v>
      </c>
      <c r="AG96" s="105">
        <f>IF(TAB_HISTORICO_MANUT[[#This Row],[Hora Inicio]]="","",MONTH(TAB_HISTORICO_MANUT[[#This Row],[Hora Inicio]]))</f>
        <v>4</v>
      </c>
      <c r="AH96" s="58" t="s">
        <v>833</v>
      </c>
      <c r="AI96" s="43" t="s">
        <v>149</v>
      </c>
      <c r="AJ96" s="43" t="s">
        <v>44</v>
      </c>
      <c r="AK96" s="43" t="s">
        <v>649</v>
      </c>
      <c r="AL96" s="43" t="s">
        <v>275</v>
      </c>
      <c r="AM96" s="114" t="s">
        <v>276</v>
      </c>
      <c r="AN96" s="43" t="s">
        <v>217</v>
      </c>
      <c r="AO96" s="43" t="s">
        <v>839</v>
      </c>
      <c r="AP96" s="43" t="s">
        <v>840</v>
      </c>
    </row>
    <row r="97" spans="1:42" ht="50.1" customHeight="1" x14ac:dyDescent="0.25">
      <c r="A97" s="115">
        <f>MONTH(TAB_HISTORICO_MANUT[[#This Row],[Hora Final]])-MONTH(TAB_HISTORICO_MANUT[[#This Row],[Hora Inicio]])</f>
        <v>0</v>
      </c>
      <c r="B97" s="116"/>
      <c r="C97" s="115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Inicio]]=Z96,TAB_HISTORICO_MANUT[[#This Row],[Equipamento]]=AA96,TAB_HISTORICO_MANUT[[#This Row],[Descricao Despacho]]=AD96),0,1)))</f>
        <v>1</v>
      </c>
      <c r="O9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9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9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97" s="107">
        <f>IF($Q97="","",(TAB_HISTORICO_MANUT[[#This Row],[Hora Final]]-TAB_HISTORICO_MANUT[[#This Row],[Hora Inicio]])*24)</f>
        <v>1.284444444347173</v>
      </c>
      <c r="S9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7" s="54" t="str">
        <f>IF(AND(TAB_HISTORICO_MANUT[[#This Row],[EXPURGO Mãe]]="SIM",TAB_HISTORICO_MANUT[[#This Row],[Tipo]]="MÃE"),"EXP.MAE",IF(TAB_HISTORICO_MANUT[[#This Row],[EXPURGO Mãe]]="NÃO","NÃO EXP.MAE",T96))</f>
        <v>NÃO EXP.MAE</v>
      </c>
      <c r="U9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7" s="110">
        <f>IF(TAB_HISTORICO_MANUT[[#This Row],[EXPURGO Filhas]]="SIM",MAX(TAB_HISTORICO_MANUT[[#This Row],[Hora Final]]-TAB_HISTORICO_MANUT[[#This Row],[Hora Inicio]],0),0)</f>
        <v>0</v>
      </c>
      <c r="W9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7" s="46">
        <v>46114.945474537039</v>
      </c>
      <c r="Z97" s="47">
        <v>46114.998993055553</v>
      </c>
      <c r="AA97" s="48" t="s">
        <v>209</v>
      </c>
      <c r="AB97" s="48"/>
      <c r="AC97" s="43" t="s">
        <v>205</v>
      </c>
      <c r="AD97" s="46" t="s">
        <v>145</v>
      </c>
      <c r="AE97" s="46" t="s">
        <v>173</v>
      </c>
      <c r="AF97" s="88" t="s">
        <v>210</v>
      </c>
      <c r="AG97" s="105">
        <f>IF(TAB_HISTORICO_MANUT[[#This Row],[Hora Inicio]]="","",MONTH(TAB_HISTORICO_MANUT[[#This Row],[Hora Inicio]]))</f>
        <v>4</v>
      </c>
      <c r="AH97" s="120"/>
      <c r="AI97" s="115" t="s">
        <v>21</v>
      </c>
      <c r="AJ97" s="115" t="s">
        <v>21</v>
      </c>
      <c r="AK97" s="43" t="s">
        <v>21</v>
      </c>
      <c r="AL97" s="43" t="s">
        <v>21</v>
      </c>
      <c r="AM97" s="114" t="s">
        <v>21</v>
      </c>
      <c r="AN97" s="43"/>
      <c r="AO97" s="43"/>
      <c r="AP97" s="43"/>
    </row>
    <row r="98" spans="1:42" ht="50.1" customHeight="1" x14ac:dyDescent="0.25">
      <c r="A98" s="43">
        <f>MONTH(TAB_HISTORICO_MANUT[[#This Row],[Hora Final]])-MONTH(TAB_HISTORICO_MANUT[[#This Row],[Hora Inicio]])</f>
        <v>0</v>
      </c>
      <c r="B98" s="42"/>
      <c r="C98" s="43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Inicio]]=Z97,TAB_HISTORICO_MANUT[[#This Row],[Equipamento]]=AA97,TAB_HISTORICO_MANUT[[#This Row],[Descricao Despacho]]=AD97),0,1)))</f>
        <v/>
      </c>
      <c r="O9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98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9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98" s="107" t="str">
        <f>IF($Q98="","",(TAB_HISTORICO_MANUT[[#This Row],[Hora Final]]-TAB_HISTORICO_MANUT[[#This Row],[Hora Inicio]])*24)</f>
        <v/>
      </c>
      <c r="S9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98" s="109" t="str">
        <f>IF(AND(TAB_HISTORICO_MANUT[[#This Row],[EXPURGO Mãe]]="SIM",TAB_HISTORICO_MANUT[[#This Row],[Tipo]]="MÃE"),"EXP.MAE",IF(TAB_HISTORICO_MANUT[[#This Row],[EXPURGO Mãe]]="NÃO","NÃO EXP.MAE",T97))</f>
        <v>NÃO EXP.MAE</v>
      </c>
      <c r="U9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8" s="56">
        <f>IF(TAB_HISTORICO_MANUT[[#This Row],[EXPURGO Filhas]]="SIM",MAX(TAB_HISTORICO_MANUT[[#This Row],[Hora Final]]-TAB_HISTORICO_MANUT[[#This Row],[Hora Inicio]],0),0)</f>
        <v>0</v>
      </c>
      <c r="W9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8" s="46">
        <v>46114.957264666664</v>
      </c>
      <c r="Z98" s="47">
        <v>46114.998993055553</v>
      </c>
      <c r="AA98" s="48" t="s">
        <v>209</v>
      </c>
      <c r="AB98" s="48"/>
      <c r="AC98" s="43" t="s">
        <v>205</v>
      </c>
      <c r="AD98" s="46" t="s">
        <v>145</v>
      </c>
      <c r="AE98" s="46" t="s">
        <v>173</v>
      </c>
      <c r="AF98" s="88" t="s">
        <v>767</v>
      </c>
      <c r="AG98" s="105">
        <f>IF(TAB_HISTORICO_MANUT[[#This Row],[Hora Inicio]]="","",MONTH(TAB_HISTORICO_MANUT[[#This Row],[Hora Inicio]]))</f>
        <v>4</v>
      </c>
      <c r="AH98" s="120"/>
      <c r="AI98" s="115" t="s">
        <v>21</v>
      </c>
      <c r="AJ98" s="115" t="s">
        <v>21</v>
      </c>
      <c r="AK98" s="43" t="s">
        <v>21</v>
      </c>
      <c r="AL98" s="43" t="s">
        <v>21</v>
      </c>
      <c r="AM98" s="114" t="s">
        <v>21</v>
      </c>
      <c r="AN98" s="43"/>
      <c r="AO98" s="43"/>
      <c r="AP98" s="43"/>
    </row>
    <row r="99" spans="1:42" ht="50.1" customHeight="1" x14ac:dyDescent="0.25">
      <c r="A99" s="43">
        <f>MONTH(TAB_HISTORICO_MANUT[[#This Row],[Hora Final]])-MONTH(TAB_HISTORICO_MANUT[[#This Row],[Hora Inicio]])</f>
        <v>0</v>
      </c>
      <c r="B99" s="42"/>
      <c r="C99" s="43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Inicio]]=Z98,TAB_HISTORICO_MANUT[[#This Row],[Equipamento]]=AA98,TAB_HISTORICO_MANUT[[#This Row],[Descricao Despacho]]=AD98),0,1)))</f>
        <v>1</v>
      </c>
      <c r="O9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99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9" s="50">
        <f>IF($Q99="","",(TAB_HISTORICO_MANUT[[#This Row],[Hora Final]]-TAB_HISTORICO_MANUT[[#This Row],[Hora Inicio]])*24)</f>
        <v>17.481666666688398</v>
      </c>
      <c r="S9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9" s="54" t="str">
        <f>IF(AND(TAB_HISTORICO_MANUT[[#This Row],[EXPURGO Mãe]]="SIM",TAB_HISTORICO_MANUT[[#This Row],[Tipo]]="MÃE"),"EXP.MAE",IF(TAB_HISTORICO_MANUT[[#This Row],[EXPURGO Mãe]]="NÃO","NÃO EXP.MAE",T98))</f>
        <v>NÃO EXP.MAE</v>
      </c>
      <c r="U9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9" s="56">
        <f>IF(TAB_HISTORICO_MANUT[[#This Row],[EXPURGO Filhas]]="SIM",MAX(TAB_HISTORICO_MANUT[[#This Row],[Hora Final]]-TAB_HISTORICO_MANUT[[#This Row],[Hora Inicio]],0),0)</f>
        <v>0</v>
      </c>
      <c r="W9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9" s="46">
        <v>46115.009513888886</v>
      </c>
      <c r="Z99" s="47">
        <v>46115.737916666665</v>
      </c>
      <c r="AA99" s="48" t="s">
        <v>209</v>
      </c>
      <c r="AB99" s="48" t="s">
        <v>828</v>
      </c>
      <c r="AC99" s="43" t="s">
        <v>204</v>
      </c>
      <c r="AD99" s="46" t="s">
        <v>144</v>
      </c>
      <c r="AE99" s="46" t="s">
        <v>172</v>
      </c>
      <c r="AF99" s="88" t="s">
        <v>210</v>
      </c>
      <c r="AG99" s="105">
        <f>IF(TAB_HISTORICO_MANUT[[#This Row],[Hora Inicio]]="","",MONTH(TAB_HISTORICO_MANUT[[#This Row],[Hora Inicio]]))</f>
        <v>4</v>
      </c>
      <c r="AH99" s="58" t="s">
        <v>834</v>
      </c>
      <c r="AI99" s="43" t="s">
        <v>235</v>
      </c>
      <c r="AJ99" s="43" t="s">
        <v>845</v>
      </c>
      <c r="AK99" s="43" t="s">
        <v>474</v>
      </c>
      <c r="AL99" s="43" t="s">
        <v>297</v>
      </c>
      <c r="AM99" s="114" t="s">
        <v>276</v>
      </c>
      <c r="AN99" s="43" t="s">
        <v>217</v>
      </c>
      <c r="AO99" s="43" t="s">
        <v>841</v>
      </c>
      <c r="AP99" s="43" t="s">
        <v>577</v>
      </c>
    </row>
    <row r="100" spans="1:42" ht="50.1" customHeight="1" x14ac:dyDescent="0.25">
      <c r="A100" s="43">
        <f>MONTH(TAB_HISTORICO_MANUT[[#This Row],[Hora Final]])-MONTH(TAB_HISTORICO_MANUT[[#This Row],[Hora Inicio]])</f>
        <v>0</v>
      </c>
      <c r="B100" s="42"/>
      <c r="C100" s="43"/>
      <c r="D100" s="42"/>
      <c r="E100" s="42"/>
      <c r="F100" s="42"/>
      <c r="G100" s="42"/>
      <c r="H100" s="42"/>
      <c r="I100" s="42"/>
      <c r="J100" s="42"/>
      <c r="K100" s="42"/>
      <c r="L100" s="42"/>
      <c r="M100" s="42" t="s">
        <v>99</v>
      </c>
      <c r="N100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Inicio]]=Z99,TAB_HISTORICO_MANUT[[#This Row],[Equipamento]]=AA99,TAB_HISTORICO_MANUT[[#This Row],[Descricao Despacho]]=AD99),0,1)))</f>
        <v/>
      </c>
      <c r="O10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100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10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100" s="50" t="str">
        <f>IF($Q100="","",(TAB_HISTORICO_MANUT[[#This Row],[Hora Final]]-TAB_HISTORICO_MANUT[[#This Row],[Hora Inicio]])*24)</f>
        <v/>
      </c>
      <c r="S10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100" s="54" t="str">
        <f>IF(AND(TAB_HISTORICO_MANUT[[#This Row],[EXPURGO Mãe]]="SIM",TAB_HISTORICO_MANUT[[#This Row],[Tipo]]="MÃE"),"EXP.MAE",IF(TAB_HISTORICO_MANUT[[#This Row],[EXPURGO Mãe]]="NÃO","NÃO EXP.MAE",T99))</f>
        <v>NÃO EXP.MAE</v>
      </c>
      <c r="U10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0" s="56">
        <f>IF(TAB_HISTORICO_MANUT[[#This Row],[EXPURGO Filhas]]="SIM",MAX(TAB_HISTORICO_MANUT[[#This Row],[Hora Final]]-TAB_HISTORICO_MANUT[[#This Row],[Hora Inicio]],0),0)</f>
        <v>0</v>
      </c>
      <c r="W10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0" s="46">
        <v>46115.416666666664</v>
      </c>
      <c r="Z100" s="47">
        <v>46115.458333333336</v>
      </c>
      <c r="AA100" s="48" t="s">
        <v>209</v>
      </c>
      <c r="AB100" s="48" t="s">
        <v>828</v>
      </c>
      <c r="AC100" s="43" t="s">
        <v>204</v>
      </c>
      <c r="AD100" s="46" t="s">
        <v>144</v>
      </c>
      <c r="AE100" s="46" t="s">
        <v>765</v>
      </c>
      <c r="AF100" s="88" t="s">
        <v>767</v>
      </c>
      <c r="AG100" s="105">
        <f>IF(TAB_HISTORICO_MANUT[[#This Row],[Hora Inicio]]="","",MONTH(TAB_HISTORICO_MANUT[[#This Row],[Hora Inicio]]))</f>
        <v>4</v>
      </c>
      <c r="AH100" s="58" t="s">
        <v>1068</v>
      </c>
      <c r="AI100" s="43" t="s">
        <v>235</v>
      </c>
      <c r="AJ100" s="43" t="s">
        <v>845</v>
      </c>
      <c r="AK100" s="43" t="s">
        <v>474</v>
      </c>
      <c r="AL100" s="43" t="s">
        <v>297</v>
      </c>
      <c r="AM100" s="114" t="s">
        <v>276</v>
      </c>
      <c r="AN100" s="43"/>
      <c r="AO100" s="43"/>
      <c r="AP100" s="43"/>
    </row>
    <row r="101" spans="1:42" ht="50.1" customHeight="1" x14ac:dyDescent="0.25">
      <c r="A101" s="43">
        <f>MONTH(TAB_HISTORICO_MANUT[[#This Row],[Hora Final]])-MONTH(TAB_HISTORICO_MANUT[[#This Row],[Hora Inicio]])</f>
        <v>0</v>
      </c>
      <c r="B101" s="42"/>
      <c r="C101" s="43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Inicio]]=Z100,TAB_HISTORICO_MANUT[[#This Row],[Equipamento]]=AA100,TAB_HISTORICO_MANUT[[#This Row],[Descricao Despacho]]=AD100),0,1)))</f>
        <v/>
      </c>
      <c r="O10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101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10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101" s="50" t="str">
        <f>IF($Q101="","",(TAB_HISTORICO_MANUT[[#This Row],[Hora Final]]-TAB_HISTORICO_MANUT[[#This Row],[Hora Inicio]])*24)</f>
        <v/>
      </c>
      <c r="S10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101" s="54" t="str">
        <f>IF(AND(TAB_HISTORICO_MANUT[[#This Row],[EXPURGO Mãe]]="SIM",TAB_HISTORICO_MANUT[[#This Row],[Tipo]]="MÃE"),"EXP.MAE",IF(TAB_HISTORICO_MANUT[[#This Row],[EXPURGO Mãe]]="NÃO","NÃO EXP.MAE",T100))</f>
        <v>NÃO EXP.MAE</v>
      </c>
      <c r="U10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101" s="56">
        <f>IF(TAB_HISTORICO_MANUT[[#This Row],[EXPURGO Filhas]]="SIM",MAX(TAB_HISTORICO_MANUT[[#This Row],[Hora Final]]-TAB_HISTORICO_MANUT[[#This Row],[Hora Inicio]],0),0)</f>
        <v>2.0833333335758653E-2</v>
      </c>
      <c r="W10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1" s="46">
        <v>46115.4375</v>
      </c>
      <c r="Z101" s="47">
        <v>46115.458333333336</v>
      </c>
      <c r="AA101" s="48" t="s">
        <v>209</v>
      </c>
      <c r="AB101" s="48" t="s">
        <v>828</v>
      </c>
      <c r="AC101" s="43" t="s">
        <v>204</v>
      </c>
      <c r="AD101" s="46" t="s">
        <v>144</v>
      </c>
      <c r="AE101" s="46" t="s">
        <v>765</v>
      </c>
      <c r="AF101" s="88" t="s">
        <v>767</v>
      </c>
      <c r="AG101" s="105">
        <f>IF(TAB_HISTORICO_MANUT[[#This Row],[Hora Inicio]]="","",MONTH(TAB_HISTORICO_MANUT[[#This Row],[Hora Inicio]]))</f>
        <v>4</v>
      </c>
      <c r="AH101" s="58" t="s">
        <v>1068</v>
      </c>
      <c r="AI101" s="43" t="s">
        <v>235</v>
      </c>
      <c r="AJ101" s="43" t="s">
        <v>845</v>
      </c>
      <c r="AK101" s="43" t="s">
        <v>474</v>
      </c>
      <c r="AL101" s="43" t="s">
        <v>297</v>
      </c>
      <c r="AM101" s="114" t="s">
        <v>276</v>
      </c>
      <c r="AN101" s="43"/>
      <c r="AO101" s="43"/>
      <c r="AP101" s="43"/>
    </row>
    <row r="102" spans="1:42" ht="50.1" customHeight="1" x14ac:dyDescent="0.25">
      <c r="A102" s="43">
        <f>MONTH(TAB_HISTORICO_MANUT[[#This Row],[Hora Final]])-MONTH(TAB_HISTORICO_MANUT[[#This Row],[Hora Inicio]])</f>
        <v>0</v>
      </c>
      <c r="B102" s="42"/>
      <c r="C102" s="43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Inicio]]=Z100,TAB_HISTORICO_MANUT[[#This Row],[Equipamento]]=AA100,TAB_HISTORICO_MANUT[[#This Row],[Descricao Despacho]]=AD100),0,1)))</f>
        <v>1</v>
      </c>
      <c r="O10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COMBATE INCENDIO</v>
      </c>
      <c r="P102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0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102" s="50">
        <f>IF($Q102="","",(TAB_HISTORICO_MANUT[[#This Row],[Hora Final]]-TAB_HISTORICO_MANUT[[#This Row],[Hora Inicio]])*24)</f>
        <v>4.473611111054197</v>
      </c>
      <c r="S10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102" s="54" t="str">
        <f>IF(AND(TAB_HISTORICO_MANUT[[#This Row],[EXPURGO Mãe]]="SIM",TAB_HISTORICO_MANUT[[#This Row],[Tipo]]="MÃE"),"EXP.MAE",IF(TAB_HISTORICO_MANUT[[#This Row],[EXPURGO Mãe]]="NÃO","NÃO EXP.MAE",T100))</f>
        <v>EXP.MAE</v>
      </c>
      <c r="U10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2" s="56">
        <f>IF(TAB_HISTORICO_MANUT[[#This Row],[EXPURGO Filhas]]="SIM",MAX(TAB_HISTORICO_MANUT[[#This Row],[Hora Final]]-TAB_HISTORICO_MANUT[[#This Row],[Hora Inicio]],0),0)</f>
        <v>0</v>
      </c>
      <c r="W10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2" s="46">
        <v>46116.714988425927</v>
      </c>
      <c r="Z102" s="47">
        <v>46116.901388888888</v>
      </c>
      <c r="AA102" s="48" t="s">
        <v>209</v>
      </c>
      <c r="AB102" s="48" t="s">
        <v>829</v>
      </c>
      <c r="AC102" s="43" t="s">
        <v>212</v>
      </c>
      <c r="AD102" s="46" t="s">
        <v>144</v>
      </c>
      <c r="AE102" s="46" t="s">
        <v>214</v>
      </c>
      <c r="AF102" s="88" t="s">
        <v>210</v>
      </c>
      <c r="AG102" s="105">
        <f>IF(TAB_HISTORICO_MANUT[[#This Row],[Hora Inicio]]="","",MONTH(TAB_HISTORICO_MANUT[[#This Row],[Hora Inicio]]))</f>
        <v>4</v>
      </c>
      <c r="AH102" s="58" t="s">
        <v>835</v>
      </c>
      <c r="AI102" s="43" t="s">
        <v>152</v>
      </c>
      <c r="AJ102" s="43" t="s">
        <v>80</v>
      </c>
      <c r="AK102" s="43" t="s">
        <v>290</v>
      </c>
      <c r="AL102" s="43" t="s">
        <v>479</v>
      </c>
      <c r="AM102" s="114" t="s">
        <v>283</v>
      </c>
      <c r="AN102" s="43" t="s">
        <v>215</v>
      </c>
      <c r="AO102" s="43" t="s">
        <v>842</v>
      </c>
      <c r="AP102" s="43" t="s">
        <v>843</v>
      </c>
    </row>
    <row r="103" spans="1:42" ht="50.1" customHeight="1" x14ac:dyDescent="0.25">
      <c r="A103" s="43">
        <f>MONTH(TAB_HISTORICO_MANUT[[#This Row],[Hora Final]])-MONTH(TAB_HISTORICO_MANUT[[#This Row],[Hora Inicio]])</f>
        <v>0</v>
      </c>
      <c r="B103" s="42"/>
      <c r="C103" s="43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Inicio]]=Z102,TAB_HISTORICO_MANUT[[#This Row],[Equipamento]]=AA102,TAB_HISTORICO_MANUT[[#This Row],[Descricao Despacho]]=AD102),0,1)))</f>
        <v>1</v>
      </c>
      <c r="O10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103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10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103" s="50">
        <f>IF($Q103="","",(TAB_HISTORICO_MANUT[[#This Row],[Hora Final]]-TAB_HISTORICO_MANUT[[#This Row],[Hora Inicio]])*24)</f>
        <v>5.7641666667186655</v>
      </c>
      <c r="S10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03" s="54" t="str">
        <f>IF(AND(TAB_HISTORICO_MANUT[[#This Row],[EXPURGO Mãe]]="SIM",TAB_HISTORICO_MANUT[[#This Row],[Tipo]]="MÃE"),"EXP.MAE",IF(TAB_HISTORICO_MANUT[[#This Row],[EXPURGO Mãe]]="NÃO","NÃO EXP.MAE",T102))</f>
        <v>NÃO EXP.MAE</v>
      </c>
      <c r="U10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3" s="56">
        <f>IF(TAB_HISTORICO_MANUT[[#This Row],[EXPURGO Filhas]]="SIM",MAX(TAB_HISTORICO_MANUT[[#This Row],[Hora Final]]-TAB_HISTORICO_MANUT[[#This Row],[Hora Inicio]],0),0)</f>
        <v>0</v>
      </c>
      <c r="W10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3" s="46">
        <v>46118.306550925925</v>
      </c>
      <c r="Z103" s="47">
        <v>46118.546724537038</v>
      </c>
      <c r="AA103" s="48" t="s">
        <v>209</v>
      </c>
      <c r="AB103" s="48"/>
      <c r="AC103" s="43" t="s">
        <v>481</v>
      </c>
      <c r="AD103" s="46" t="s">
        <v>146</v>
      </c>
      <c r="AE103" s="46" t="s">
        <v>480</v>
      </c>
      <c r="AF103" s="88" t="s">
        <v>210</v>
      </c>
      <c r="AG103" s="105">
        <f>IF(TAB_HISTORICO_MANUT[[#This Row],[Hora Inicio]]="","",MONTH(TAB_HISTORICO_MANUT[[#This Row],[Hora Inicio]]))</f>
        <v>4</v>
      </c>
      <c r="AH103" s="58"/>
      <c r="AI103" s="43" t="s">
        <v>21</v>
      </c>
      <c r="AJ103" s="43" t="s">
        <v>21</v>
      </c>
      <c r="AK103" s="43" t="s">
        <v>21</v>
      </c>
      <c r="AL103" s="43" t="s">
        <v>21</v>
      </c>
      <c r="AM103" s="114" t="s">
        <v>21</v>
      </c>
      <c r="AN103" s="43"/>
      <c r="AO103" s="43"/>
      <c r="AP103" s="43"/>
    </row>
    <row r="104" spans="1:42" ht="50.1" customHeight="1" x14ac:dyDescent="0.25">
      <c r="A104" s="43">
        <f>MONTH(TAB_HISTORICO_MANUT[[#This Row],[Hora Final]])-MONTH(TAB_HISTORICO_MANUT[[#This Row],[Hora Inicio]])</f>
        <v>0</v>
      </c>
      <c r="B104" s="42"/>
      <c r="C104" s="43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Inicio]]=Z103,TAB_HISTORICO_MANUT[[#This Row],[Equipamento]]=AA103,TAB_HISTORICO_MANUT[[#This Row],[Descricao Despacho]]=AD103),0,1)))</f>
        <v>1</v>
      </c>
      <c r="O10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104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10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104" s="50">
        <f>IF($Q104="","",(TAB_HISTORICO_MANUT[[#This Row],[Hora Final]]-TAB_HISTORICO_MANUT[[#This Row],[Hora Inicio]])*24)</f>
        <v>0.373333333467599</v>
      </c>
      <c r="S10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04" s="54" t="str">
        <f>IF(AND(TAB_HISTORICO_MANUT[[#This Row],[EXPURGO Mãe]]="SIM",TAB_HISTORICO_MANUT[[#This Row],[Tipo]]="MÃE"),"EXP.MAE",IF(TAB_HISTORICO_MANUT[[#This Row],[EXPURGO Mãe]]="NÃO","NÃO EXP.MAE",T103))</f>
        <v>NÃO EXP.MAE</v>
      </c>
      <c r="U10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4" s="56">
        <f>IF(TAB_HISTORICO_MANUT[[#This Row],[EXPURGO Filhas]]="SIM",MAX(TAB_HISTORICO_MANUT[[#This Row],[Hora Final]]-TAB_HISTORICO_MANUT[[#This Row],[Hora Inicio]],0),0)</f>
        <v>0</v>
      </c>
      <c r="W10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4" s="46">
        <v>46119.200590277775</v>
      </c>
      <c r="Z104" s="47">
        <v>46119.216145833336</v>
      </c>
      <c r="AA104" s="48" t="s">
        <v>209</v>
      </c>
      <c r="AB104" s="48"/>
      <c r="AC104" s="43" t="s">
        <v>205</v>
      </c>
      <c r="AD104" s="46" t="s">
        <v>145</v>
      </c>
      <c r="AE104" s="46" t="s">
        <v>173</v>
      </c>
      <c r="AF104" s="88" t="s">
        <v>210</v>
      </c>
      <c r="AG104" s="105">
        <f>IF(TAB_HISTORICO_MANUT[[#This Row],[Hora Inicio]]="","",MONTH(TAB_HISTORICO_MANUT[[#This Row],[Hora Inicio]]))</f>
        <v>4</v>
      </c>
      <c r="AH104" s="58"/>
      <c r="AI104" s="43" t="s">
        <v>21</v>
      </c>
      <c r="AJ104" s="43" t="s">
        <v>21</v>
      </c>
      <c r="AK104" s="43" t="s">
        <v>21</v>
      </c>
      <c r="AL104" s="43" t="s">
        <v>21</v>
      </c>
      <c r="AM104" s="114" t="s">
        <v>21</v>
      </c>
      <c r="AN104" s="43"/>
      <c r="AO104" s="43"/>
      <c r="AP104" s="43"/>
    </row>
    <row r="105" spans="1:42" ht="50.1" customHeight="1" x14ac:dyDescent="0.25">
      <c r="A105" s="43">
        <f>MONTH(TAB_HISTORICO_MANUT[[#This Row],[Hora Final]])-MONTH(TAB_HISTORICO_MANUT[[#This Row],[Hora Inicio]])</f>
        <v>0</v>
      </c>
      <c r="B105" s="42"/>
      <c r="C105" s="43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Inicio]]=Z104,TAB_HISTORICO_MANUT[[#This Row],[Equipamento]]=AA104,TAB_HISTORICO_MANUT[[#This Row],[Descricao Despacho]]=AD104),0,1)))</f>
        <v/>
      </c>
      <c r="O10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105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10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105" s="50" t="str">
        <f>IF($Q105="","",(TAB_HISTORICO_MANUT[[#This Row],[Hora Final]]-TAB_HISTORICO_MANUT[[#This Row],[Hora Inicio]])*24)</f>
        <v/>
      </c>
      <c r="S10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105" s="54" t="str">
        <f>IF(AND(TAB_HISTORICO_MANUT[[#This Row],[EXPURGO Mãe]]="SIM",TAB_HISTORICO_MANUT[[#This Row],[Tipo]]="MÃE"),"EXP.MAE",IF(TAB_HISTORICO_MANUT[[#This Row],[EXPURGO Mãe]]="NÃO","NÃO EXP.MAE",T104))</f>
        <v>NÃO EXP.MAE</v>
      </c>
      <c r="U10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5" s="56">
        <f>IF(TAB_HISTORICO_MANUT[[#This Row],[EXPURGO Filhas]]="SIM",MAX(TAB_HISTORICO_MANUT[[#This Row],[Hora Final]]-TAB_HISTORICO_MANUT[[#This Row],[Hora Inicio]],0),0)</f>
        <v>0</v>
      </c>
      <c r="W10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5" s="46">
        <v>46119.204017166667</v>
      </c>
      <c r="Z105" s="47">
        <v>46119.216145833336</v>
      </c>
      <c r="AA105" s="48" t="s">
        <v>209</v>
      </c>
      <c r="AB105" s="48"/>
      <c r="AC105" s="43" t="s">
        <v>205</v>
      </c>
      <c r="AD105" s="46" t="s">
        <v>145</v>
      </c>
      <c r="AE105" s="46" t="s">
        <v>173</v>
      </c>
      <c r="AF105" s="88" t="s">
        <v>767</v>
      </c>
      <c r="AG105" s="105">
        <f>IF(TAB_HISTORICO_MANUT[[#This Row],[Hora Inicio]]="","",MONTH(TAB_HISTORICO_MANUT[[#This Row],[Hora Inicio]]))</f>
        <v>4</v>
      </c>
      <c r="AH105" s="58"/>
      <c r="AI105" s="43" t="s">
        <v>21</v>
      </c>
      <c r="AJ105" s="43" t="s">
        <v>21</v>
      </c>
      <c r="AK105" s="43" t="s">
        <v>21</v>
      </c>
      <c r="AL105" s="43" t="s">
        <v>21</v>
      </c>
      <c r="AM105" s="114" t="s">
        <v>21</v>
      </c>
      <c r="AN105" s="43"/>
      <c r="AO105" s="43"/>
      <c r="AP105" s="43"/>
    </row>
    <row r="106" spans="1:42" ht="50.1" customHeight="1" x14ac:dyDescent="0.25">
      <c r="A106" s="43">
        <f>MONTH(TAB_HISTORICO_MANUT[[#This Row],[Hora Final]])-MONTH(TAB_HISTORICO_MANUT[[#This Row],[Hora Inicio]])</f>
        <v>0</v>
      </c>
      <c r="B106" s="42"/>
      <c r="C106" s="43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Inicio]]=Z105,TAB_HISTORICO_MANUT[[#This Row],[Equipamento]]=AA105,TAB_HISTORICO_MANUT[[#This Row],[Descricao Despacho]]=AD105),0,1)))</f>
        <v>1</v>
      </c>
      <c r="O10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ALERTA DE FADIGA</v>
      </c>
      <c r="P106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10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106" s="50">
        <f>IF($Q106="","",(TAB_HISTORICO_MANUT[[#This Row],[Hora Final]]-TAB_HISTORICO_MANUT[[#This Row],[Hora Inicio]])*24)</f>
        <v>3.5555555659811944E-2</v>
      </c>
      <c r="S10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106" s="54" t="str">
        <f>IF(AND(TAB_HISTORICO_MANUT[[#This Row],[EXPURGO Mãe]]="SIM",TAB_HISTORICO_MANUT[[#This Row],[Tipo]]="MÃE"),"EXP.MAE",IF(TAB_HISTORICO_MANUT[[#This Row],[EXPURGO Mãe]]="NÃO","NÃO EXP.MAE",T105))</f>
        <v>EXP.MAE</v>
      </c>
      <c r="U10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6" s="56">
        <f>IF(TAB_HISTORICO_MANUT[[#This Row],[EXPURGO Filhas]]="SIM",MAX(TAB_HISTORICO_MANUT[[#This Row],[Hora Final]]-TAB_HISTORICO_MANUT[[#This Row],[Hora Inicio]],0),0)</f>
        <v>0</v>
      </c>
      <c r="W10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6" s="46">
        <v>46121.678993055553</v>
      </c>
      <c r="Z106" s="47">
        <v>46121.680474537039</v>
      </c>
      <c r="AA106" s="48" t="s">
        <v>209</v>
      </c>
      <c r="AB106" s="48"/>
      <c r="AC106" s="43" t="s">
        <v>871</v>
      </c>
      <c r="AD106" s="46" t="s">
        <v>145</v>
      </c>
      <c r="AE106" s="46" t="s">
        <v>869</v>
      </c>
      <c r="AF106" s="88" t="s">
        <v>210</v>
      </c>
      <c r="AG106" s="105">
        <f>IF(TAB_HISTORICO_MANUT[[#This Row],[Hora Inicio]]="","",MONTH(TAB_HISTORICO_MANUT[[#This Row],[Hora Inicio]]))</f>
        <v>4</v>
      </c>
      <c r="AH106" s="58" t="s">
        <v>873</v>
      </c>
      <c r="AI106" s="43" t="s">
        <v>87</v>
      </c>
      <c r="AJ106" s="43" t="s">
        <v>87</v>
      </c>
      <c r="AK106" s="43" t="s">
        <v>87</v>
      </c>
      <c r="AL106" s="43" t="s">
        <v>87</v>
      </c>
      <c r="AM106" s="114" t="s">
        <v>87</v>
      </c>
      <c r="AN106" s="43"/>
      <c r="AO106" s="43"/>
      <c r="AP106" s="43"/>
    </row>
    <row r="107" spans="1:42" ht="50.1" customHeight="1" x14ac:dyDescent="0.25">
      <c r="A107" s="115">
        <f>MONTH(TAB_HISTORICO_MANUT[[#This Row],[Hora Final]])-MONTH(TAB_HISTORICO_MANUT[[#This Row],[Hora Inicio]])</f>
        <v>0</v>
      </c>
      <c r="B107" s="116"/>
      <c r="C107" s="115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Inicio]]=Z106,TAB_HISTORICO_MANUT[[#This Row],[Equipamento]]=AA106,TAB_HISTORICO_MANUT[[#This Row],[Descricao Despacho]]=AD106),0,1)))</f>
        <v>0</v>
      </c>
      <c r="O10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ALERTA DE FADIGA</v>
      </c>
      <c r="P10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10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107" s="107">
        <f>IF($Q107="","",(TAB_HISTORICO_MANUT[[#This Row],[Hora Final]]-TAB_HISTORICO_MANUT[[#This Row],[Hora Inicio]])*24)</f>
        <v>5.1388888852670789E-2</v>
      </c>
      <c r="S10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107" s="109" t="str">
        <f>IF(AND(TAB_HISTORICO_MANUT[[#This Row],[EXPURGO Mãe]]="SIM",TAB_HISTORICO_MANUT[[#This Row],[Tipo]]="MÃE"),"EXP.MAE",IF(TAB_HISTORICO_MANUT[[#This Row],[EXPURGO Mãe]]="NÃO","NÃO EXP.MAE",T106))</f>
        <v>EXP.MAE</v>
      </c>
      <c r="U10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7" s="110">
        <f>IF(TAB_HISTORICO_MANUT[[#This Row],[EXPURGO Filhas]]="SIM",MAX(TAB_HISTORICO_MANUT[[#This Row],[Hora Final]]-TAB_HISTORICO_MANUT[[#This Row],[Hora Inicio]],0),0)</f>
        <v>0</v>
      </c>
      <c r="W10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7" s="117">
        <v>46121.680474537039</v>
      </c>
      <c r="Z107" s="118">
        <v>46121.682615740741</v>
      </c>
      <c r="AA107" s="119" t="s">
        <v>209</v>
      </c>
      <c r="AB107" s="119"/>
      <c r="AC107" s="115" t="s">
        <v>872</v>
      </c>
      <c r="AD107" s="117" t="s">
        <v>145</v>
      </c>
      <c r="AE107" s="117" t="s">
        <v>870</v>
      </c>
      <c r="AF107" s="88" t="s">
        <v>210</v>
      </c>
      <c r="AG107" s="105">
        <f>IF(TAB_HISTORICO_MANUT[[#This Row],[Hora Inicio]]="","",MONTH(TAB_HISTORICO_MANUT[[#This Row],[Hora Inicio]]))</f>
        <v>4</v>
      </c>
      <c r="AH107" s="120" t="s">
        <v>874</v>
      </c>
      <c r="AI107" s="43" t="s">
        <v>87</v>
      </c>
      <c r="AJ107" s="43" t="s">
        <v>87</v>
      </c>
      <c r="AK107" s="43" t="s">
        <v>87</v>
      </c>
      <c r="AL107" s="43" t="s">
        <v>87</v>
      </c>
      <c r="AM107" s="114" t="s">
        <v>87</v>
      </c>
      <c r="AN107" s="115"/>
      <c r="AO107" s="115"/>
      <c r="AP107" s="115"/>
    </row>
    <row r="108" spans="1:42" ht="50.1" customHeight="1" x14ac:dyDescent="0.25">
      <c r="A108" s="115">
        <f>MONTH(TAB_HISTORICO_MANUT[[#This Row],[Hora Final]])-MONTH(TAB_HISTORICO_MANUT[[#This Row],[Hora Inicio]])</f>
        <v>0</v>
      </c>
      <c r="B108" s="116"/>
      <c r="C108" s="115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Inicio]]=Z107,TAB_HISTORICO_MANUT[[#This Row],[Equipamento]]=AA107,TAB_HISTORICO_MANUT[[#This Row],[Descricao Despacho]]=AD107),0,1)))</f>
        <v>0</v>
      </c>
      <c r="O10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ALERTA DE FADIGA</v>
      </c>
      <c r="P10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10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108" s="107">
        <f>IF($Q108="","",(TAB_HISTORICO_MANUT[[#This Row],[Hora Final]]-TAB_HISTORICO_MANUT[[#This Row],[Hora Inicio]])*24)</f>
        <v>4.5505555554991588</v>
      </c>
      <c r="S10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108" s="109" t="str">
        <f>IF(AND(TAB_HISTORICO_MANUT[[#This Row],[EXPURGO Mãe]]="SIM",TAB_HISTORICO_MANUT[[#This Row],[Tipo]]="MÃE"),"EXP.MAE",IF(TAB_HISTORICO_MANUT[[#This Row],[EXPURGO Mãe]]="NÃO","NÃO EXP.MAE",T107))</f>
        <v>EXP.MAE</v>
      </c>
      <c r="U10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8" s="110">
        <f>IF(TAB_HISTORICO_MANUT[[#This Row],[EXPURGO Filhas]]="SIM",MAX(TAB_HISTORICO_MANUT[[#This Row],[Hora Final]]-TAB_HISTORICO_MANUT[[#This Row],[Hora Inicio]],0),0)</f>
        <v>0</v>
      </c>
      <c r="W10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8" s="117">
        <v>46121.682615740741</v>
      </c>
      <c r="Z108" s="118">
        <v>46121.87222222222</v>
      </c>
      <c r="AA108" s="119" t="s">
        <v>209</v>
      </c>
      <c r="AB108" s="119"/>
      <c r="AC108" s="115" t="s">
        <v>364</v>
      </c>
      <c r="AD108" s="117" t="s">
        <v>145</v>
      </c>
      <c r="AE108" s="117" t="s">
        <v>360</v>
      </c>
      <c r="AF108" s="88" t="s">
        <v>210</v>
      </c>
      <c r="AG108" s="105">
        <f>IF(TAB_HISTORICO_MANUT[[#This Row],[Hora Inicio]]="","",MONTH(TAB_HISTORICO_MANUT[[#This Row],[Hora Inicio]]))</f>
        <v>4</v>
      </c>
      <c r="AH108" s="120" t="s">
        <v>386</v>
      </c>
      <c r="AI108" s="115" t="s">
        <v>87</v>
      </c>
      <c r="AJ108" s="115" t="s">
        <v>87</v>
      </c>
      <c r="AK108" s="115" t="s">
        <v>87</v>
      </c>
      <c r="AL108" s="115" t="s">
        <v>87</v>
      </c>
      <c r="AM108" s="121" t="s">
        <v>87</v>
      </c>
      <c r="AN108" s="115"/>
      <c r="AO108" s="115"/>
      <c r="AP108" s="115"/>
    </row>
    <row r="109" spans="1:42" ht="50.1" customHeight="1" x14ac:dyDescent="0.25">
      <c r="A109" s="115">
        <f>MONTH(TAB_HISTORICO_MANUT[[#This Row],[Hora Final]])-MONTH(TAB_HISTORICO_MANUT[[#This Row],[Hora Inicio]])</f>
        <v>0</v>
      </c>
      <c r="B109" s="116"/>
      <c r="C109" s="115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Inicio]]=Z108,TAB_HISTORICO_MANUT[[#This Row],[Equipamento]]=AA108,TAB_HISTORICO_MANUT[[#This Row],[Descricao Despacho]]=AD108),0,1)))</f>
        <v>1</v>
      </c>
      <c r="O10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10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10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109" s="107">
        <f>IF($Q109="","",(TAB_HISTORICO_MANUT[[#This Row],[Hora Final]]-TAB_HISTORICO_MANUT[[#This Row],[Hora Inicio]])*24)</f>
        <v>0.31055555550847203</v>
      </c>
      <c r="S10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109" s="109" t="str">
        <f>IF(AND(TAB_HISTORICO_MANUT[[#This Row],[EXPURGO Mãe]]="SIM",TAB_HISTORICO_MANUT[[#This Row],[Tipo]]="MÃE"),"EXP.MAE",IF(TAB_HISTORICO_MANUT[[#This Row],[EXPURGO Mãe]]="NÃO","NÃO EXP.MAE",T108))</f>
        <v>EXP.MAE</v>
      </c>
      <c r="U10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9" s="110">
        <f>IF(TAB_HISTORICO_MANUT[[#This Row],[EXPURGO Filhas]]="SIM",MAX(TAB_HISTORICO_MANUT[[#This Row],[Hora Final]]-TAB_HISTORICO_MANUT[[#This Row],[Hora Inicio]],0),0)</f>
        <v>0</v>
      </c>
      <c r="W10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9" s="117">
        <v>46126.841087962966</v>
      </c>
      <c r="Z109" s="118">
        <v>46126.854027777779</v>
      </c>
      <c r="AA109" s="119" t="s">
        <v>209</v>
      </c>
      <c r="AB109" s="119"/>
      <c r="AC109" s="115" t="s">
        <v>300</v>
      </c>
      <c r="AD109" s="117" t="s">
        <v>146</v>
      </c>
      <c r="AE109" s="117" t="s">
        <v>178</v>
      </c>
      <c r="AF109" s="88" t="s">
        <v>210</v>
      </c>
      <c r="AG109" s="105">
        <f>IF(TAB_HISTORICO_MANUT[[#This Row],[Hora Inicio]]="","",MONTH(TAB_HISTORICO_MANUT[[#This Row],[Hora Inicio]]))</f>
        <v>4</v>
      </c>
      <c r="AH109" s="120" t="s">
        <v>884</v>
      </c>
      <c r="AI109" s="115" t="s">
        <v>340</v>
      </c>
      <c r="AJ109" s="115" t="s">
        <v>436</v>
      </c>
      <c r="AK109" s="115"/>
      <c r="AL109" s="115"/>
      <c r="AM109" s="121"/>
      <c r="AN109" s="115"/>
      <c r="AO109" s="115"/>
      <c r="AP109" s="115"/>
    </row>
    <row r="110" spans="1:42" ht="50.1" customHeight="1" x14ac:dyDescent="0.25">
      <c r="A110" s="115">
        <f>MONTH(TAB_HISTORICO_MANUT[[#This Row],[Hora Final]])-MONTH(TAB_HISTORICO_MANUT[[#This Row],[Hora Inicio]])</f>
        <v>0</v>
      </c>
      <c r="B110" s="116"/>
      <c r="C110" s="115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Inicio]]=Z109,TAB_HISTORICO_MANUT[[#This Row],[Equipamento]]=AA109,TAB_HISTORICO_MANUT[[#This Row],[Descricao Despacho]]=AD109),0,1)))</f>
        <v>0</v>
      </c>
      <c r="O11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11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11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110" s="107">
        <f>IF($Q110="","",(TAB_HISTORICO_MANUT[[#This Row],[Hora Final]]-TAB_HISTORICO_MANUT[[#This Row],[Hora Inicio]])*24)</f>
        <v>8.3830555555759929</v>
      </c>
      <c r="S11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10" s="109" t="str">
        <f>IF(AND(TAB_HISTORICO_MANUT[[#This Row],[EXPURGO Mãe]]="SIM",TAB_HISTORICO_MANUT[[#This Row],[Tipo]]="MÃE"),"EXP.MAE",IF(TAB_HISTORICO_MANUT[[#This Row],[EXPURGO Mãe]]="NÃO","NÃO EXP.MAE",T109))</f>
        <v>NÃO EXP.MAE</v>
      </c>
      <c r="U11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10" s="110">
        <f>IF(TAB_HISTORICO_MANUT[[#This Row],[EXPURGO Filhas]]="SIM",MAX(TAB_HISTORICO_MANUT[[#This Row],[Hora Final]]-TAB_HISTORICO_MANUT[[#This Row],[Hora Inicio]],0),0)</f>
        <v>0</v>
      </c>
      <c r="W11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1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10" s="117">
        <v>46126.854027777779</v>
      </c>
      <c r="Z110" s="118">
        <v>46127.203321759262</v>
      </c>
      <c r="AA110" s="119" t="s">
        <v>209</v>
      </c>
      <c r="AB110" s="119"/>
      <c r="AC110" s="115" t="s">
        <v>301</v>
      </c>
      <c r="AD110" s="117" t="s">
        <v>146</v>
      </c>
      <c r="AE110" s="117" t="s">
        <v>310</v>
      </c>
      <c r="AF110" s="88" t="s">
        <v>210</v>
      </c>
      <c r="AG110" s="105">
        <f>IF(TAB_HISTORICO_MANUT[[#This Row],[Hora Inicio]]="","",MONTH(TAB_HISTORICO_MANUT[[#This Row],[Hora Inicio]]))</f>
        <v>4</v>
      </c>
      <c r="AH110" s="120" t="s">
        <v>884</v>
      </c>
      <c r="AI110" s="115" t="s">
        <v>340</v>
      </c>
      <c r="AJ110" s="115" t="s">
        <v>436</v>
      </c>
      <c r="AK110" s="115"/>
      <c r="AL110" s="115"/>
      <c r="AM110" s="121"/>
      <c r="AN110" s="115"/>
      <c r="AO110" s="115"/>
      <c r="AP110" s="115"/>
    </row>
    <row r="111" spans="1:42" ht="50.1" customHeight="1" x14ac:dyDescent="0.25">
      <c r="A111" s="115">
        <f>MONTH(TAB_HISTORICO_MANUT[[#This Row],[Hora Final]])-MONTH(TAB_HISTORICO_MANUT[[#This Row],[Hora Inicio]])</f>
        <v>0</v>
      </c>
      <c r="B111" s="116"/>
      <c r="C111" s="115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Inicio]]=Z110,TAB_HISTORICO_MANUT[[#This Row],[Equipamento]]=AA110,TAB_HISTORICO_MANUT[[#This Row],[Descricao Despacho]]=AD110),0,1)))</f>
        <v>1</v>
      </c>
      <c r="O11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11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11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111" s="107">
        <f>IF($Q111="","",(TAB_HISTORICO_MANUT[[#This Row],[Hora Final]]-TAB_HISTORICO_MANUT[[#This Row],[Hora Inicio]])*24)</f>
        <v>0.36111111100763083</v>
      </c>
      <c r="S11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11" s="109" t="str">
        <f>IF(AND(TAB_HISTORICO_MANUT[[#This Row],[EXPURGO Mãe]]="SIM",TAB_HISTORICO_MANUT[[#This Row],[Tipo]]="MÃE"),"EXP.MAE",IF(TAB_HISTORICO_MANUT[[#This Row],[EXPURGO Mãe]]="NÃO","NÃO EXP.MAE",T110))</f>
        <v>NÃO EXP.MAE</v>
      </c>
      <c r="U11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11" s="110">
        <f>IF(TAB_HISTORICO_MANUT[[#This Row],[EXPURGO Filhas]]="SIM",MAX(TAB_HISTORICO_MANUT[[#This Row],[Hora Final]]-TAB_HISTORICO_MANUT[[#This Row],[Hora Inicio]],0),0)</f>
        <v>0</v>
      </c>
      <c r="W11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1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11" s="117">
        <v>46127.298414351855</v>
      </c>
      <c r="Z111" s="118">
        <v>46127.313460648147</v>
      </c>
      <c r="AA111" s="119" t="s">
        <v>209</v>
      </c>
      <c r="AB111" s="119"/>
      <c r="AC111" s="115" t="s">
        <v>481</v>
      </c>
      <c r="AD111" s="117" t="s">
        <v>146</v>
      </c>
      <c r="AE111" s="117" t="s">
        <v>480</v>
      </c>
      <c r="AF111" s="88" t="s">
        <v>210</v>
      </c>
      <c r="AG111" s="105">
        <f>IF(TAB_HISTORICO_MANUT[[#This Row],[Hora Inicio]]="","",MONTH(TAB_HISTORICO_MANUT[[#This Row],[Hora Inicio]]))</f>
        <v>4</v>
      </c>
      <c r="AH111" s="120" t="s">
        <v>482</v>
      </c>
      <c r="AI111" s="115" t="s">
        <v>21</v>
      </c>
      <c r="AJ111" s="115" t="s">
        <v>21</v>
      </c>
      <c r="AK111" s="115" t="s">
        <v>21</v>
      </c>
      <c r="AL111" s="115" t="s">
        <v>21</v>
      </c>
      <c r="AM111" s="121" t="s">
        <v>21</v>
      </c>
      <c r="AN111" s="115"/>
      <c r="AO111" s="115"/>
      <c r="AP111" s="115"/>
    </row>
    <row r="112" spans="1:42" ht="50.1" customHeight="1" x14ac:dyDescent="0.25">
      <c r="A112" s="115">
        <f>MONTH(TAB_HISTORICO_MANUT[[#This Row],[Hora Final]])-MONTH(TAB_HISTORICO_MANUT[[#This Row],[Hora Inicio]])</f>
        <v>0</v>
      </c>
      <c r="B112" s="116"/>
      <c r="C112" s="115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Inicio]]=Z111,TAB_HISTORICO_MANUT[[#This Row],[Equipamento]]=AA111,TAB_HISTORICO_MANUT[[#This Row],[Descricao Despacho]]=AD111),0,1)))</f>
        <v/>
      </c>
      <c r="O11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112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11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112" s="107" t="str">
        <f>IF($Q112="","",(TAB_HISTORICO_MANUT[[#This Row],[Hora Final]]-TAB_HISTORICO_MANUT[[#This Row],[Hora Inicio]])*24)</f>
        <v/>
      </c>
      <c r="S11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112" s="109" t="str">
        <f>IF(AND(TAB_HISTORICO_MANUT[[#This Row],[EXPURGO Mãe]]="SIM",TAB_HISTORICO_MANUT[[#This Row],[Tipo]]="MÃE"),"EXP.MAE",IF(TAB_HISTORICO_MANUT[[#This Row],[EXPURGO Mãe]]="NÃO","NÃO EXP.MAE",T111))</f>
        <v>NÃO EXP.MAE</v>
      </c>
      <c r="U11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12" s="110">
        <f>IF(TAB_HISTORICO_MANUT[[#This Row],[EXPURGO Filhas]]="SIM",MAX(TAB_HISTORICO_MANUT[[#This Row],[Hora Final]]-TAB_HISTORICO_MANUT[[#This Row],[Hora Inicio]],0),0)</f>
        <v>0</v>
      </c>
      <c r="W11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1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12" s="117">
        <v>46127.301729050923</v>
      </c>
      <c r="Z112" s="118">
        <v>46127.313460648147</v>
      </c>
      <c r="AA112" s="119" t="s">
        <v>209</v>
      </c>
      <c r="AB112" s="119"/>
      <c r="AC112" s="115" t="s">
        <v>481</v>
      </c>
      <c r="AD112" s="117" t="s">
        <v>146</v>
      </c>
      <c r="AE112" s="117" t="s">
        <v>480</v>
      </c>
      <c r="AF112" s="88" t="s">
        <v>767</v>
      </c>
      <c r="AG112" s="105">
        <f>IF(TAB_HISTORICO_MANUT[[#This Row],[Hora Inicio]]="","",MONTH(TAB_HISTORICO_MANUT[[#This Row],[Hora Inicio]]))</f>
        <v>4</v>
      </c>
      <c r="AH112" s="120"/>
      <c r="AI112" s="115" t="s">
        <v>21</v>
      </c>
      <c r="AJ112" s="115" t="s">
        <v>21</v>
      </c>
      <c r="AK112" s="115" t="s">
        <v>21</v>
      </c>
      <c r="AL112" s="115" t="s">
        <v>21</v>
      </c>
      <c r="AM112" s="121" t="s">
        <v>21</v>
      </c>
      <c r="AN112" s="115"/>
      <c r="AO112" s="115"/>
      <c r="AP112" s="115"/>
    </row>
    <row r="113" spans="1:42" ht="50.1" customHeight="1" x14ac:dyDescent="0.25">
      <c r="A113" s="43">
        <f>MONTH(TAB_HISTORICO_MANUT[[#This Row],[Hora Final]])-MONTH(TAB_HISTORICO_MANUT[[#This Row],[Hora Inicio]])</f>
        <v>0</v>
      </c>
      <c r="B113" s="42"/>
      <c r="C113" s="43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Inicio]]=Z112,TAB_HISTORICO_MANUT[[#This Row],[Equipamento]]=AA112,TAB_HISTORICO_MANUT[[#This Row],[Descricao Despacho]]=AD112),0,1)))</f>
        <v>1</v>
      </c>
      <c r="O11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113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1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13" s="50">
        <f>IF($Q113="","",(TAB_HISTORICO_MANUT[[#This Row],[Hora Final]]-TAB_HISTORICO_MANUT[[#This Row],[Hora Inicio]])*24)</f>
        <v>0.46694444445893168</v>
      </c>
      <c r="S11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13" s="54" t="str">
        <f>IF(AND(TAB_HISTORICO_MANUT[[#This Row],[EXPURGO Mãe]]="SIM",TAB_HISTORICO_MANUT[[#This Row],[Tipo]]="MÃE"),"EXP.MAE",IF(TAB_HISTORICO_MANUT[[#This Row],[EXPURGO Mãe]]="NÃO","NÃO EXP.MAE",T112))</f>
        <v>NÃO EXP.MAE</v>
      </c>
      <c r="U11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13" s="56">
        <f>IF(TAB_HISTORICO_MANUT[[#This Row],[EXPURGO Filhas]]="SIM",MAX(TAB_HISTORICO_MANUT[[#This Row],[Hora Final]]-TAB_HISTORICO_MANUT[[#This Row],[Hora Inicio]],0),0)</f>
        <v>0</v>
      </c>
      <c r="W11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1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13" s="46">
        <v>46129.198611111111</v>
      </c>
      <c r="Z113" s="47">
        <v>46129.21806712963</v>
      </c>
      <c r="AA113" s="48" t="s">
        <v>209</v>
      </c>
      <c r="AB113" s="48" t="s">
        <v>892</v>
      </c>
      <c r="AC113" s="43" t="s">
        <v>204</v>
      </c>
      <c r="AD113" s="46" t="s">
        <v>144</v>
      </c>
      <c r="AE113" s="46" t="s">
        <v>172</v>
      </c>
      <c r="AF113" s="88" t="s">
        <v>210</v>
      </c>
      <c r="AG113" s="105">
        <f>IF(TAB_HISTORICO_MANUT[[#This Row],[Hora Inicio]]="","",MONTH(TAB_HISTORICO_MANUT[[#This Row],[Hora Inicio]]))</f>
        <v>4</v>
      </c>
      <c r="AH113" s="58" t="s">
        <v>897</v>
      </c>
      <c r="AI113" s="43" t="s">
        <v>235</v>
      </c>
      <c r="AJ113" s="43" t="s">
        <v>717</v>
      </c>
      <c r="AK113" s="43" t="s">
        <v>422</v>
      </c>
      <c r="AL113" s="43" t="s">
        <v>279</v>
      </c>
      <c r="AM113" s="114" t="s">
        <v>280</v>
      </c>
      <c r="AN113" s="43" t="s">
        <v>217</v>
      </c>
      <c r="AO113" s="43" t="s">
        <v>705</v>
      </c>
      <c r="AP113" s="43" t="s">
        <v>218</v>
      </c>
    </row>
    <row r="114" spans="1:42" ht="50.1" customHeight="1" x14ac:dyDescent="0.25">
      <c r="A114" s="43">
        <f>MONTH(TAB_HISTORICO_MANUT[[#This Row],[Hora Final]])-MONTH(TAB_HISTORICO_MANUT[[#This Row],[Hora Inicio]])</f>
        <v>0</v>
      </c>
      <c r="B114" s="42"/>
      <c r="C114" s="43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Inicio]]=Z113,TAB_HISTORICO_MANUT[[#This Row],[Equipamento]]=AA113,TAB_HISTORICO_MANUT[[#This Row],[Descricao Despacho]]=AD113),0,1)))</f>
        <v>1</v>
      </c>
      <c r="O11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114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11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114" s="50">
        <f>IF($Q114="","",(TAB_HISTORICO_MANUT[[#This Row],[Hora Final]]-TAB_HISTORICO_MANUT[[#This Row],[Hora Inicio]])*24)</f>
        <v>1.3616666668094695</v>
      </c>
      <c r="S11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14" s="54" t="str">
        <f>IF(AND(TAB_HISTORICO_MANUT[[#This Row],[EXPURGO Mãe]]="SIM",TAB_HISTORICO_MANUT[[#This Row],[Tipo]]="MÃE"),"EXP.MAE",IF(TAB_HISTORICO_MANUT[[#This Row],[EXPURGO Mãe]]="NÃO","NÃO EXP.MAE",T113))</f>
        <v>NÃO EXP.MAE</v>
      </c>
      <c r="U11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14" s="56">
        <f>IF(TAB_HISTORICO_MANUT[[#This Row],[EXPURGO Filhas]]="SIM",MAX(TAB_HISTORICO_MANUT[[#This Row],[Hora Final]]-TAB_HISTORICO_MANUT[[#This Row],[Hora Inicio]],0),0)</f>
        <v>0</v>
      </c>
      <c r="W11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1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14" s="46">
        <v>46129.423576388886</v>
      </c>
      <c r="Z114" s="47">
        <v>46129.480312500003</v>
      </c>
      <c r="AA114" s="48" t="s">
        <v>209</v>
      </c>
      <c r="AB114" s="48"/>
      <c r="AC114" s="43" t="s">
        <v>882</v>
      </c>
      <c r="AD114" s="46" t="s">
        <v>146</v>
      </c>
      <c r="AE114" s="46" t="s">
        <v>883</v>
      </c>
      <c r="AF114" s="88" t="s">
        <v>210</v>
      </c>
      <c r="AG114" s="105">
        <f>IF(TAB_HISTORICO_MANUT[[#This Row],[Hora Inicio]]="","",MONTH(TAB_HISTORICO_MANUT[[#This Row],[Hora Inicio]]))</f>
        <v>4</v>
      </c>
      <c r="AH114" s="58" t="s">
        <v>601</v>
      </c>
      <c r="AI114" s="43" t="s">
        <v>25</v>
      </c>
      <c r="AJ114" s="43" t="s">
        <v>25</v>
      </c>
      <c r="AK114" s="43" t="s">
        <v>25</v>
      </c>
      <c r="AL114" s="43" t="s">
        <v>25</v>
      </c>
      <c r="AM114" s="114" t="s">
        <v>25</v>
      </c>
      <c r="AN114" s="43"/>
      <c r="AO114" s="43"/>
      <c r="AP114" s="43"/>
    </row>
    <row r="115" spans="1:42" ht="50.1" customHeight="1" x14ac:dyDescent="0.25">
      <c r="A115" s="43">
        <f>MONTH(TAB_HISTORICO_MANUT[[#This Row],[Hora Final]])-MONTH(TAB_HISTORICO_MANUT[[#This Row],[Hora Inicio]])</f>
        <v>0</v>
      </c>
      <c r="B115" s="42"/>
      <c r="C115" s="43"/>
      <c r="D115" s="42"/>
      <c r="E115" s="42"/>
      <c r="F115" s="42"/>
      <c r="G115" s="42"/>
      <c r="H115" s="42"/>
      <c r="I115" s="42"/>
      <c r="J115" s="42"/>
      <c r="K115" s="42"/>
      <c r="L115" s="42"/>
      <c r="M115" s="42" t="s">
        <v>99</v>
      </c>
      <c r="N11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Inicio]]=Z114,TAB_HISTORICO_MANUT[[#This Row],[Equipamento]]=AA114,TAB_HISTORICO_MANUT[[#This Row],[Descricao Despacho]]=AD114),0,1)))</f>
        <v>1</v>
      </c>
      <c r="O11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115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11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Reparo Programado</v>
      </c>
      <c r="R115" s="50">
        <f>IF($Q115="","",(TAB_HISTORICO_MANUT[[#This Row],[Hora Final]]-TAB_HISTORICO_MANUT[[#This Row],[Hora Inicio]])*24)</f>
        <v>0.36833333334652707</v>
      </c>
      <c r="S11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15" s="54" t="str">
        <f>IF(AND(TAB_HISTORICO_MANUT[[#This Row],[EXPURGO Mãe]]="SIM",TAB_HISTORICO_MANUT[[#This Row],[Tipo]]="MÃE"),"EXP.MAE",IF(TAB_HISTORICO_MANUT[[#This Row],[EXPURGO Mãe]]="NÃO","NÃO EXP.MAE",T114))</f>
        <v>NÃO EXP.MAE</v>
      </c>
      <c r="U11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15" s="56">
        <f>IF(TAB_HISTORICO_MANUT[[#This Row],[EXPURGO Filhas]]="SIM",MAX(TAB_HISTORICO_MANUT[[#This Row],[Hora Final]]-TAB_HISTORICO_MANUT[[#This Row],[Hora Inicio]],0),0)</f>
        <v>0</v>
      </c>
      <c r="W11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1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15" s="46">
        <v>46129.794699074075</v>
      </c>
      <c r="Z115" s="47">
        <v>46129.810046296298</v>
      </c>
      <c r="AA115" s="48" t="s">
        <v>209</v>
      </c>
      <c r="AB115" s="48"/>
      <c r="AC115" s="43" t="s">
        <v>524</v>
      </c>
      <c r="AD115" s="46" t="s">
        <v>145</v>
      </c>
      <c r="AE115" s="46" t="s">
        <v>180</v>
      </c>
      <c r="AF115" s="88" t="s">
        <v>210</v>
      </c>
      <c r="AG115" s="105">
        <f>IF(TAB_HISTORICO_MANUT[[#This Row],[Hora Inicio]]="","",MONTH(TAB_HISTORICO_MANUT[[#This Row],[Hora Inicio]]))</f>
        <v>4</v>
      </c>
      <c r="AH115" s="58"/>
      <c r="AI115" s="43" t="s">
        <v>235</v>
      </c>
      <c r="AJ115" s="43" t="s">
        <v>908</v>
      </c>
      <c r="AK115" s="43" t="s">
        <v>83</v>
      </c>
      <c r="AL115" s="43" t="s">
        <v>275</v>
      </c>
      <c r="AM115" s="114" t="s">
        <v>276</v>
      </c>
      <c r="AN115" s="43"/>
      <c r="AO115" s="43"/>
      <c r="AP115" s="43"/>
    </row>
    <row r="116" spans="1:42" ht="50.1" customHeight="1" x14ac:dyDescent="0.25">
      <c r="A116" s="43">
        <f>MONTH(TAB_HISTORICO_MANUT[[#This Row],[Hora Final]])-MONTH(TAB_HISTORICO_MANUT[[#This Row],[Hora Inicio]])</f>
        <v>0</v>
      </c>
      <c r="B116" s="42"/>
      <c r="C116" s="43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Inicio]]=Z115,TAB_HISTORICO_MANUT[[#This Row],[Equipamento]]=AA115,TAB_HISTORICO_MANUT[[#This Row],[Descricao Despacho]]=AD115),0,1)))</f>
        <v>0</v>
      </c>
      <c r="O11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116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11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Reparo Programado</v>
      </c>
      <c r="R116" s="50">
        <f>IF($Q116="","",(TAB_HISTORICO_MANUT[[#This Row],[Hora Final]]-TAB_HISTORICO_MANUT[[#This Row],[Hora Inicio]])*24)</f>
        <v>21.453611111151986</v>
      </c>
      <c r="S11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16" s="54" t="str">
        <f>IF(AND(TAB_HISTORICO_MANUT[[#This Row],[EXPURGO Mãe]]="SIM",TAB_HISTORICO_MANUT[[#This Row],[Tipo]]="MÃE"),"EXP.MAE",IF(TAB_HISTORICO_MANUT[[#This Row],[EXPURGO Mãe]]="NÃO","NÃO EXP.MAE",T115))</f>
        <v>NÃO EXP.MAE</v>
      </c>
      <c r="U11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16" s="56">
        <f>IF(TAB_HISTORICO_MANUT[[#This Row],[EXPURGO Filhas]]="SIM",MAX(TAB_HISTORICO_MANUT[[#This Row],[Hora Final]]-TAB_HISTORICO_MANUT[[#This Row],[Hora Inicio]],0),0)</f>
        <v>0</v>
      </c>
      <c r="W11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1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16" s="46">
        <v>46129.810046296298</v>
      </c>
      <c r="Z116" s="47">
        <v>46130.703946759262</v>
      </c>
      <c r="AA116" s="48" t="s">
        <v>209</v>
      </c>
      <c r="AB116" s="48"/>
      <c r="AC116" s="43" t="s">
        <v>363</v>
      </c>
      <c r="AD116" s="46" t="s">
        <v>145</v>
      </c>
      <c r="AE116" s="46" t="s">
        <v>359</v>
      </c>
      <c r="AF116" s="88" t="s">
        <v>210</v>
      </c>
      <c r="AG116" s="105">
        <f>IF(TAB_HISTORICO_MANUT[[#This Row],[Hora Inicio]]="","",MONTH(TAB_HISTORICO_MANUT[[#This Row],[Hora Inicio]]))</f>
        <v>4</v>
      </c>
      <c r="AH116" s="58" t="s">
        <v>898</v>
      </c>
      <c r="AI116" s="43" t="s">
        <v>235</v>
      </c>
      <c r="AJ116" s="43" t="s">
        <v>908</v>
      </c>
      <c r="AK116" s="43" t="s">
        <v>83</v>
      </c>
      <c r="AL116" s="43" t="s">
        <v>275</v>
      </c>
      <c r="AM116" s="114" t="s">
        <v>276</v>
      </c>
      <c r="AN116" s="43"/>
      <c r="AO116" s="43"/>
      <c r="AP116" s="43"/>
    </row>
    <row r="117" spans="1:42" ht="50.1" customHeight="1" x14ac:dyDescent="0.25">
      <c r="A117" s="43">
        <f>MONTH(TAB_HISTORICO_MANUT[[#This Row],[Hora Final]])-MONTH(TAB_HISTORICO_MANUT[[#This Row],[Hora Inicio]])</f>
        <v>0</v>
      </c>
      <c r="B117" s="42"/>
      <c r="C117" s="43"/>
      <c r="D117" s="42"/>
      <c r="E117" s="42"/>
      <c r="F117" s="42"/>
      <c r="G117" s="42"/>
      <c r="H117" s="42"/>
      <c r="I117" s="42"/>
      <c r="J117" s="42"/>
      <c r="K117" s="42"/>
      <c r="L117" s="42"/>
      <c r="M117" s="42" t="s">
        <v>99</v>
      </c>
      <c r="N117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Inicio]]=Z116,TAB_HISTORICO_MANUT[[#This Row],[Equipamento]]=AA116,TAB_HISTORICO_MANUT[[#This Row],[Descricao Despacho]]=AD116),0,1)))</f>
        <v/>
      </c>
      <c r="O11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117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11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117" s="50" t="str">
        <f>IF($Q117="","",(TAB_HISTORICO_MANUT[[#This Row],[Hora Final]]-TAB_HISTORICO_MANUT[[#This Row],[Hora Inicio]])*24)</f>
        <v/>
      </c>
      <c r="S11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117" s="54" t="str">
        <f>IF(AND(TAB_HISTORICO_MANUT[[#This Row],[EXPURGO Mãe]]="SIM",TAB_HISTORICO_MANUT[[#This Row],[Tipo]]="MÃE"),"EXP.MAE",IF(TAB_HISTORICO_MANUT[[#This Row],[EXPURGO Mãe]]="NÃO","NÃO EXP.MAE",T116))</f>
        <v>NÃO EXP.MAE</v>
      </c>
      <c r="U11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17" s="56">
        <f>IF(TAB_HISTORICO_MANUT[[#This Row],[EXPURGO Filhas]]="SIM",MAX(TAB_HISTORICO_MANUT[[#This Row],[Hora Final]]-TAB_HISTORICO_MANUT[[#This Row],[Hora Inicio]],0),0)</f>
        <v>0</v>
      </c>
      <c r="W11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1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17" s="46">
        <v>46130.59097222222</v>
      </c>
      <c r="Z117" s="47">
        <v>46130.673611111109</v>
      </c>
      <c r="AA117" s="48" t="s">
        <v>209</v>
      </c>
      <c r="AB117" s="48"/>
      <c r="AC117" s="43" t="s">
        <v>363</v>
      </c>
      <c r="AD117" s="46" t="s">
        <v>145</v>
      </c>
      <c r="AE117" s="46" t="s">
        <v>180</v>
      </c>
      <c r="AF117" s="88" t="s">
        <v>767</v>
      </c>
      <c r="AG117" s="105">
        <f>IF(TAB_HISTORICO_MANUT[[#This Row],[Hora Inicio]]="","",MONTH(TAB_HISTORICO_MANUT[[#This Row],[Hora Inicio]]))</f>
        <v>4</v>
      </c>
      <c r="AH117" s="58" t="s">
        <v>1069</v>
      </c>
      <c r="AI117" s="43" t="s">
        <v>235</v>
      </c>
      <c r="AJ117" s="43" t="s">
        <v>908</v>
      </c>
      <c r="AK117" s="43" t="s">
        <v>83</v>
      </c>
      <c r="AL117" s="43" t="s">
        <v>275</v>
      </c>
      <c r="AM117" s="114" t="s">
        <v>276</v>
      </c>
      <c r="AN117" s="43"/>
      <c r="AO117" s="43"/>
      <c r="AP117" s="43"/>
    </row>
    <row r="118" spans="1:42" ht="50.1" customHeight="1" x14ac:dyDescent="0.25">
      <c r="A118" s="43">
        <f>MONTH(TAB_HISTORICO_MANUT[[#This Row],[Hora Final]])-MONTH(TAB_HISTORICO_MANUT[[#This Row],[Hora Inicio]])</f>
        <v>0</v>
      </c>
      <c r="B118" s="42"/>
      <c r="C118" s="43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Inicio]]=Z117,TAB_HISTORICO_MANUT[[#This Row],[Equipamento]]=AA117,TAB_HISTORICO_MANUT[[#This Row],[Descricao Despacho]]=AD117),0,1)))</f>
        <v/>
      </c>
      <c r="O11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118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11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118" s="50" t="str">
        <f>IF($Q118="","",(TAB_HISTORICO_MANUT[[#This Row],[Hora Final]]-TAB_HISTORICO_MANUT[[#This Row],[Hora Inicio]])*24)</f>
        <v/>
      </c>
      <c r="S11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118" s="54" t="str">
        <f>IF(AND(TAB_HISTORICO_MANUT[[#This Row],[EXPURGO Mãe]]="SIM",TAB_HISTORICO_MANUT[[#This Row],[Tipo]]="MÃE"),"EXP.MAE",IF(TAB_HISTORICO_MANUT[[#This Row],[EXPURGO Mãe]]="NÃO","NÃO EXP.MAE",T117))</f>
        <v>NÃO EXP.MAE</v>
      </c>
      <c r="U11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118" s="56">
        <f>IF(TAB_HISTORICO_MANUT[[#This Row],[EXPURGO Filhas]]="SIM",MAX(TAB_HISTORICO_MANUT[[#This Row],[Hora Final]]-TAB_HISTORICO_MANUT[[#This Row],[Hora Inicio]],0),0)</f>
        <v>4.0972222217533272E-2</v>
      </c>
      <c r="W11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1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18" s="46">
        <v>46130.632638888892</v>
      </c>
      <c r="Z118" s="47">
        <v>46130.673611111109</v>
      </c>
      <c r="AA118" s="48" t="s">
        <v>209</v>
      </c>
      <c r="AB118" s="48"/>
      <c r="AC118" s="43" t="s">
        <v>363</v>
      </c>
      <c r="AD118" s="46" t="s">
        <v>145</v>
      </c>
      <c r="AE118" s="46" t="s">
        <v>180</v>
      </c>
      <c r="AF118" s="88" t="s">
        <v>767</v>
      </c>
      <c r="AG118" s="105">
        <v>4</v>
      </c>
      <c r="AH118" s="58" t="s">
        <v>1069</v>
      </c>
      <c r="AI118" s="43" t="s">
        <v>235</v>
      </c>
      <c r="AJ118" s="43" t="s">
        <v>908</v>
      </c>
      <c r="AK118" s="43" t="s">
        <v>83</v>
      </c>
      <c r="AL118" s="43" t="s">
        <v>275</v>
      </c>
      <c r="AM118" s="114" t="s">
        <v>276</v>
      </c>
      <c r="AN118" s="43"/>
      <c r="AO118" s="43"/>
      <c r="AP118" s="43"/>
    </row>
    <row r="119" spans="1:42" ht="50.1" customHeight="1" x14ac:dyDescent="0.25">
      <c r="A119" s="43">
        <f>MONTH(TAB_HISTORICO_MANUT[[#This Row],[Hora Final]])-MONTH(TAB_HISTORICO_MANUT[[#This Row],[Hora Inicio]])</f>
        <v>0</v>
      </c>
      <c r="B119" s="42"/>
      <c r="C119" s="43"/>
      <c r="D119" s="42"/>
      <c r="E119" s="42"/>
      <c r="F119" s="42"/>
      <c r="G119" s="42"/>
      <c r="H119" s="42"/>
      <c r="I119" s="42"/>
      <c r="J119" s="42"/>
      <c r="K119" s="42"/>
      <c r="L119" s="42"/>
      <c r="M119" s="42" t="s">
        <v>98</v>
      </c>
      <c r="N11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Inicio]]=Z117,TAB_HISTORICO_MANUT[[#This Row],[Equipamento]]=AA117,TAB_HISTORICO_MANUT[[#This Row],[Descricao Despacho]]=AD117),0,1)))</f>
        <v>1</v>
      </c>
      <c r="O11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119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11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Reparo Programado</v>
      </c>
      <c r="R119" s="50">
        <f>IF($Q119="","",(TAB_HISTORICO_MANUT[[#This Row],[Hora Final]]-TAB_HISTORICO_MANUT[[#This Row],[Hora Inicio]])*24)</f>
        <v>2.8691666666418314</v>
      </c>
      <c r="S11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119" s="54" t="str">
        <f>IF(AND(TAB_HISTORICO_MANUT[[#This Row],[EXPURGO Mãe]]="SIM",TAB_HISTORICO_MANUT[[#This Row],[Tipo]]="MÃE"),"EXP.MAE",IF(TAB_HISTORICO_MANUT[[#This Row],[EXPURGO Mãe]]="NÃO","NÃO EXP.MAE",T118))</f>
        <v>EXP.MAE</v>
      </c>
      <c r="U11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19" s="56">
        <f>IF(TAB_HISTORICO_MANUT[[#This Row],[EXPURGO Filhas]]="SIM",MAX(TAB_HISTORICO_MANUT[[#This Row],[Hora Final]]-TAB_HISTORICO_MANUT[[#This Row],[Hora Inicio]],0),0)</f>
        <v>0</v>
      </c>
      <c r="W11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1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19" s="46">
        <v>46130.703946759262</v>
      </c>
      <c r="Z119" s="47">
        <v>46130.823495370372</v>
      </c>
      <c r="AA119" s="48" t="s">
        <v>209</v>
      </c>
      <c r="AB119" s="48">
        <v>202602003290</v>
      </c>
      <c r="AC119" s="43" t="s">
        <v>888</v>
      </c>
      <c r="AD119" s="46" t="s">
        <v>145</v>
      </c>
      <c r="AE119" s="46" t="s">
        <v>890</v>
      </c>
      <c r="AF119" s="88" t="s">
        <v>210</v>
      </c>
      <c r="AG119" s="105">
        <f>IF(TAB_HISTORICO_MANUT[[#This Row],[Hora Inicio]]="","",MONTH(TAB_HISTORICO_MANUT[[#This Row],[Hora Inicio]]))</f>
        <v>4</v>
      </c>
      <c r="AH119" s="58" t="s">
        <v>900</v>
      </c>
      <c r="AI119" s="43" t="s">
        <v>235</v>
      </c>
      <c r="AJ119" s="43" t="s">
        <v>908</v>
      </c>
      <c r="AK119" s="43" t="s">
        <v>83</v>
      </c>
      <c r="AL119" s="43" t="s">
        <v>275</v>
      </c>
      <c r="AM119" s="114" t="s">
        <v>276</v>
      </c>
      <c r="AN119" s="43"/>
      <c r="AO119" s="43"/>
      <c r="AP119" s="43"/>
    </row>
    <row r="120" spans="1:42" ht="50.1" customHeight="1" x14ac:dyDescent="0.25">
      <c r="A120" s="43">
        <f>MONTH(TAB_HISTORICO_MANUT[[#This Row],[Hora Final]])-MONTH(TAB_HISTORICO_MANUT[[#This Row],[Hora Inicio]])</f>
        <v>0</v>
      </c>
      <c r="B120" s="42"/>
      <c r="C120" s="43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Inicio]]=Z119,TAB_HISTORICO_MANUT[[#This Row],[Equipamento]]=AA119,TAB_HISTORICO_MANUT[[#This Row],[Descricao Despacho]]=AD119),0,1)))</f>
        <v>0</v>
      </c>
      <c r="O12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120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12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Reparo Programado</v>
      </c>
      <c r="R120" s="50">
        <f>IF($Q120="","",(TAB_HISTORICO_MANUT[[#This Row],[Hora Final]]-TAB_HISTORICO_MANUT[[#This Row],[Hora Inicio]])*24)</f>
        <v>3.9361111111356877</v>
      </c>
      <c r="S12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20" s="54" t="str">
        <f>IF(AND(TAB_HISTORICO_MANUT[[#This Row],[EXPURGO Mãe]]="SIM",TAB_HISTORICO_MANUT[[#This Row],[Tipo]]="MÃE"),"EXP.MAE",IF(TAB_HISTORICO_MANUT[[#This Row],[EXPURGO Mãe]]="NÃO","NÃO EXP.MAE",T119))</f>
        <v>NÃO EXP.MAE</v>
      </c>
      <c r="U12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20" s="56">
        <f>IF(TAB_HISTORICO_MANUT[[#This Row],[EXPURGO Filhas]]="SIM",MAX(TAB_HISTORICO_MANUT[[#This Row],[Hora Final]]-TAB_HISTORICO_MANUT[[#This Row],[Hora Inicio]],0),0)</f>
        <v>0</v>
      </c>
      <c r="W12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2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20" s="46">
        <v>46130.823495370372</v>
      </c>
      <c r="Z120" s="47">
        <v>46130.987500000003</v>
      </c>
      <c r="AA120" s="48" t="s">
        <v>209</v>
      </c>
      <c r="AB120" s="48">
        <v>202602003290</v>
      </c>
      <c r="AC120" s="43" t="s">
        <v>889</v>
      </c>
      <c r="AD120" s="46" t="s">
        <v>145</v>
      </c>
      <c r="AE120" s="46" t="s">
        <v>891</v>
      </c>
      <c r="AF120" s="88" t="s">
        <v>210</v>
      </c>
      <c r="AG120" s="105">
        <f>IF(TAB_HISTORICO_MANUT[[#This Row],[Hora Inicio]]="","",MONTH(TAB_HISTORICO_MANUT[[#This Row],[Hora Inicio]]))</f>
        <v>4</v>
      </c>
      <c r="AH120" s="58" t="s">
        <v>900</v>
      </c>
      <c r="AI120" s="43" t="s">
        <v>235</v>
      </c>
      <c r="AJ120" s="43" t="s">
        <v>908</v>
      </c>
      <c r="AK120" s="43" t="s">
        <v>83</v>
      </c>
      <c r="AL120" s="43" t="s">
        <v>275</v>
      </c>
      <c r="AM120" s="114" t="s">
        <v>276</v>
      </c>
      <c r="AN120" s="43"/>
      <c r="AO120" s="43"/>
      <c r="AP120" s="43"/>
    </row>
    <row r="121" spans="1:42" ht="50.1" customHeight="1" x14ac:dyDescent="0.25">
      <c r="A121" s="43">
        <f>MONTH(TAB_HISTORICO_MANUT[[#This Row],[Hora Final]])-MONTH(TAB_HISTORICO_MANUT[[#This Row],[Hora Inicio]])</f>
        <v>0</v>
      </c>
      <c r="B121" s="42"/>
      <c r="C121" s="43"/>
      <c r="D121" s="42"/>
      <c r="E121" s="42"/>
      <c r="F121" s="42"/>
      <c r="G121" s="42"/>
      <c r="H121" s="42"/>
      <c r="I121" s="42"/>
      <c r="J121" s="42" t="s">
        <v>81</v>
      </c>
      <c r="K121" s="42"/>
      <c r="L121" s="42"/>
      <c r="M121" s="42"/>
      <c r="N12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Inicio]]=Z120,TAB_HISTORICO_MANUT[[#This Row],[Equipamento]]=AA120,TAB_HISTORICO_MANUT[[#This Row],[Descricao Despacho]]=AD120),0,1)))</f>
        <v>0</v>
      </c>
      <c r="O12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121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12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Componente (Major e Minor)</v>
      </c>
      <c r="R121" s="50">
        <f>IF($Q121="","",(TAB_HISTORICO_MANUT[[#This Row],[Hora Final]]-TAB_HISTORICO_MANUT[[#This Row],[Hora Inicio]])*24)</f>
        <v>96.067222222220153</v>
      </c>
      <c r="S12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21" s="54" t="str">
        <f>IF(AND(TAB_HISTORICO_MANUT[[#This Row],[EXPURGO Mãe]]="SIM",TAB_HISTORICO_MANUT[[#This Row],[Tipo]]="MÃE"),"EXP.MAE",IF(TAB_HISTORICO_MANUT[[#This Row],[EXPURGO Mãe]]="NÃO","NÃO EXP.MAE",T120))</f>
        <v>NÃO EXP.MAE</v>
      </c>
      <c r="U12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21" s="56">
        <f>IF(TAB_HISTORICO_MANUT[[#This Row],[EXPURGO Filhas]]="SIM",MAX(TAB_HISTORICO_MANUT[[#This Row],[Hora Final]]-TAB_HISTORICO_MANUT[[#This Row],[Hora Inicio]],0),0)</f>
        <v>0</v>
      </c>
      <c r="W12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2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21" s="46">
        <v>46130.987500000003</v>
      </c>
      <c r="Z121" s="47">
        <v>46134.990300925929</v>
      </c>
      <c r="AA121" s="48" t="s">
        <v>209</v>
      </c>
      <c r="AB121" s="48">
        <v>202602003290</v>
      </c>
      <c r="AC121" s="43" t="s">
        <v>363</v>
      </c>
      <c r="AD121" s="46" t="s">
        <v>145</v>
      </c>
      <c r="AE121" s="46" t="s">
        <v>359</v>
      </c>
      <c r="AF121" s="88" t="s">
        <v>210</v>
      </c>
      <c r="AG121" s="105">
        <f>IF(TAB_HISTORICO_MANUT[[#This Row],[Hora Inicio]]="","",MONTH(TAB_HISTORICO_MANUT[[#This Row],[Hora Inicio]]))</f>
        <v>4</v>
      </c>
      <c r="AH121" s="58" t="s">
        <v>900</v>
      </c>
      <c r="AI121" s="43" t="s">
        <v>235</v>
      </c>
      <c r="AJ121" s="43" t="s">
        <v>908</v>
      </c>
      <c r="AK121" s="43" t="s">
        <v>83</v>
      </c>
      <c r="AL121" s="43" t="s">
        <v>275</v>
      </c>
      <c r="AM121" s="114" t="s">
        <v>276</v>
      </c>
      <c r="AN121" s="43"/>
      <c r="AO121" s="43"/>
      <c r="AP121" s="43"/>
    </row>
    <row r="122" spans="1:42" ht="50.1" customHeight="1" x14ac:dyDescent="0.25">
      <c r="A122" s="43">
        <f>MONTH(TAB_HISTORICO_MANUT[[#This Row],[Hora Final]])-MONTH(TAB_HISTORICO_MANUT[[#This Row],[Hora Inicio]])</f>
        <v>0</v>
      </c>
      <c r="B122" s="42"/>
      <c r="C122" s="43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Inicio]]=Z121,TAB_HISTORICO_MANUT[[#This Row],[Equipamento]]=AA121,TAB_HISTORICO_MANUT[[#This Row],[Descricao Despacho]]=AD121),0,1)))</f>
        <v/>
      </c>
      <c r="O12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122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12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122" s="50" t="str">
        <f>IF($Q122="","",(TAB_HISTORICO_MANUT[[#This Row],[Hora Final]]-TAB_HISTORICO_MANUT[[#This Row],[Hora Inicio]])*24)</f>
        <v/>
      </c>
      <c r="S12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122" s="54" t="str">
        <f>IF(AND(TAB_HISTORICO_MANUT[[#This Row],[EXPURGO Mãe]]="SIM",TAB_HISTORICO_MANUT[[#This Row],[Tipo]]="MÃE"),"EXP.MAE",IF(TAB_HISTORICO_MANUT[[#This Row],[EXPURGO Mãe]]="NÃO","NÃO EXP.MAE",T121))</f>
        <v>NÃO EXP.MAE</v>
      </c>
      <c r="U12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122" s="56">
        <f>IF(TAB_HISTORICO_MANUT[[#This Row],[EXPURGO Filhas]]="SIM",MAX(TAB_HISTORICO_MANUT[[#This Row],[Hora Final]]-TAB_HISTORICO_MANUT[[#This Row],[Hora Inicio]],0),0)</f>
        <v>0.33333333333575865</v>
      </c>
      <c r="W12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2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22" s="46">
        <v>46131.25</v>
      </c>
      <c r="Z122" s="47">
        <v>46131.583333333336</v>
      </c>
      <c r="AA122" s="48" t="s">
        <v>209</v>
      </c>
      <c r="AB122" s="48">
        <v>202602003290</v>
      </c>
      <c r="AC122" s="43" t="s">
        <v>363</v>
      </c>
      <c r="AD122" s="46" t="s">
        <v>145</v>
      </c>
      <c r="AE122" s="46" t="s">
        <v>186</v>
      </c>
      <c r="AF122" s="88" t="s">
        <v>767</v>
      </c>
      <c r="AG122" s="105">
        <f>IF(TAB_HISTORICO_MANUT[[#This Row],[Hora Inicio]]="","",MONTH(TAB_HISTORICO_MANUT[[#This Row],[Hora Inicio]]))</f>
        <v>4</v>
      </c>
      <c r="AH122" s="58" t="s">
        <v>1070</v>
      </c>
      <c r="AI122" s="43" t="s">
        <v>235</v>
      </c>
      <c r="AJ122" s="43" t="s">
        <v>908</v>
      </c>
      <c r="AK122" s="43" t="s">
        <v>83</v>
      </c>
      <c r="AL122" s="43" t="s">
        <v>275</v>
      </c>
      <c r="AM122" s="114" t="s">
        <v>276</v>
      </c>
      <c r="AN122" s="43"/>
      <c r="AO122" s="43"/>
      <c r="AP122" s="43"/>
    </row>
    <row r="123" spans="1:42" ht="50.1" customHeight="1" x14ac:dyDescent="0.25">
      <c r="A123" s="43">
        <f>MONTH(TAB_HISTORICO_MANUT[[#This Row],[Hora Final]])-MONTH(TAB_HISTORICO_MANUT[[#This Row],[Hora Inicio]])</f>
        <v>0</v>
      </c>
      <c r="B123" s="42"/>
      <c r="C123" s="43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Inicio]]=Z122,TAB_HISTORICO_MANUT[[#This Row],[Equipamento]]=AA122,TAB_HISTORICO_MANUT[[#This Row],[Descricao Despacho]]=AD122),0,1)))</f>
        <v/>
      </c>
      <c r="O12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123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12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123" s="50" t="str">
        <f>IF($Q123="","",(TAB_HISTORICO_MANUT[[#This Row],[Hora Final]]-TAB_HISTORICO_MANUT[[#This Row],[Hora Inicio]])*24)</f>
        <v/>
      </c>
      <c r="S12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123" s="54" t="str">
        <f>IF(AND(TAB_HISTORICO_MANUT[[#This Row],[EXPURGO Mãe]]="SIM",TAB_HISTORICO_MANUT[[#This Row],[Tipo]]="MÃE"),"EXP.MAE",IF(TAB_HISTORICO_MANUT[[#This Row],[EXPURGO Mãe]]="NÃO","NÃO EXP.MAE",T122))</f>
        <v>NÃO EXP.MAE</v>
      </c>
      <c r="U12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23" s="56">
        <f>IF(TAB_HISTORICO_MANUT[[#This Row],[EXPURGO Filhas]]="SIM",MAX(TAB_HISTORICO_MANUT[[#This Row],[Hora Final]]-TAB_HISTORICO_MANUT[[#This Row],[Hora Inicio]],0),0)</f>
        <v>0</v>
      </c>
      <c r="W12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2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23" s="46">
        <v>46131.620049999998</v>
      </c>
      <c r="Z123" s="47">
        <v>46131.75</v>
      </c>
      <c r="AA123" s="48" t="s">
        <v>209</v>
      </c>
      <c r="AB123" s="48">
        <v>202602003290</v>
      </c>
      <c r="AC123" s="43" t="s">
        <v>363</v>
      </c>
      <c r="AD123" s="46" t="s">
        <v>145</v>
      </c>
      <c r="AE123" s="46" t="s">
        <v>173</v>
      </c>
      <c r="AF123" s="88" t="s">
        <v>767</v>
      </c>
      <c r="AG123" s="105">
        <f>IF(TAB_HISTORICO_MANUT[[#This Row],[Hora Inicio]]="","",MONTH(TAB_HISTORICO_MANUT[[#This Row],[Hora Inicio]]))</f>
        <v>4</v>
      </c>
      <c r="AH123" s="58"/>
      <c r="AI123" s="43" t="s">
        <v>235</v>
      </c>
      <c r="AJ123" s="43" t="s">
        <v>908</v>
      </c>
      <c r="AK123" s="43" t="s">
        <v>83</v>
      </c>
      <c r="AL123" s="43" t="s">
        <v>275</v>
      </c>
      <c r="AM123" s="114" t="s">
        <v>276</v>
      </c>
      <c r="AN123" s="43"/>
      <c r="AO123" s="43"/>
      <c r="AP123" s="43"/>
    </row>
    <row r="124" spans="1:42" ht="50.1" customHeight="1" x14ac:dyDescent="0.25">
      <c r="A124" s="43">
        <f>MONTH(TAB_HISTORICO_MANUT[[#This Row],[Hora Final]])-MONTH(TAB_HISTORICO_MANUT[[#This Row],[Hora Inicio]])</f>
        <v>0</v>
      </c>
      <c r="B124" s="42"/>
      <c r="C124" s="43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Inicio]]=Z123,TAB_HISTORICO_MANUT[[#This Row],[Equipamento]]=AA123,TAB_HISTORICO_MANUT[[#This Row],[Descricao Despacho]]=AD123),0,1)))</f>
        <v/>
      </c>
      <c r="O12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124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12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124" s="50" t="str">
        <f>IF($Q124="","",(TAB_HISTORICO_MANUT[[#This Row],[Hora Final]]-TAB_HISTORICO_MANUT[[#This Row],[Hora Inicio]])*24)</f>
        <v/>
      </c>
      <c r="S12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124" s="54" t="str">
        <f>IF(AND(TAB_HISTORICO_MANUT[[#This Row],[EXPURGO Mãe]]="SIM",TAB_HISTORICO_MANUT[[#This Row],[Tipo]]="MÃE"),"EXP.MAE",IF(TAB_HISTORICO_MANUT[[#This Row],[EXPURGO Mãe]]="NÃO","NÃO EXP.MAE",T123))</f>
        <v>NÃO EXP.MAE</v>
      </c>
      <c r="U12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124" s="56">
        <f>IF(TAB_HISTORICO_MANUT[[#This Row],[EXPURGO Filhas]]="SIM",MAX(TAB_HISTORICO_MANUT[[#This Row],[Hora Final]]-TAB_HISTORICO_MANUT[[#This Row],[Hora Inicio]],0),0)</f>
        <v>2.7777777781011537E-2</v>
      </c>
      <c r="W12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2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24" s="46">
        <v>46132.361111111109</v>
      </c>
      <c r="Z124" s="47">
        <v>46132.388888888891</v>
      </c>
      <c r="AA124" s="48" t="s">
        <v>209</v>
      </c>
      <c r="AB124" s="48">
        <v>202602003290</v>
      </c>
      <c r="AC124" s="43" t="s">
        <v>363</v>
      </c>
      <c r="AD124" s="46" t="s">
        <v>145</v>
      </c>
      <c r="AE124" s="46" t="s">
        <v>769</v>
      </c>
      <c r="AF124" s="88" t="s">
        <v>767</v>
      </c>
      <c r="AG124" s="105">
        <f>IF(TAB_HISTORICO_MANUT[[#This Row],[Hora Inicio]]="","",MONTH(TAB_HISTORICO_MANUT[[#This Row],[Hora Inicio]]))</f>
        <v>4</v>
      </c>
      <c r="AH124" s="58" t="s">
        <v>1071</v>
      </c>
      <c r="AI124" s="43" t="s">
        <v>235</v>
      </c>
      <c r="AJ124" s="43" t="s">
        <v>908</v>
      </c>
      <c r="AK124" s="43" t="s">
        <v>83</v>
      </c>
      <c r="AL124" s="43" t="s">
        <v>275</v>
      </c>
      <c r="AM124" s="114" t="s">
        <v>276</v>
      </c>
      <c r="AN124" s="43"/>
      <c r="AO124" s="43"/>
      <c r="AP124" s="43"/>
    </row>
    <row r="125" spans="1:42" ht="50.1" customHeight="1" x14ac:dyDescent="0.25">
      <c r="A125" s="43">
        <f>MONTH(TAB_HISTORICO_MANUT[[#This Row],[Hora Final]])-MONTH(TAB_HISTORICO_MANUT[[#This Row],[Hora Inicio]])</f>
        <v>0</v>
      </c>
      <c r="B125" s="42"/>
      <c r="C125" s="43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Inicio]]=Z124,TAB_HISTORICO_MANUT[[#This Row],[Equipamento]]=AA124,TAB_HISTORICO_MANUT[[#This Row],[Descricao Despacho]]=AD124),0,1)))</f>
        <v/>
      </c>
      <c r="O12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125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12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125" s="50" t="str">
        <f>IF($Q125="","",(TAB_HISTORICO_MANUT[[#This Row],[Hora Final]]-TAB_HISTORICO_MANUT[[#This Row],[Hora Inicio]])*24)</f>
        <v/>
      </c>
      <c r="S12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125" s="54" t="str">
        <f>IF(AND(TAB_HISTORICO_MANUT[[#This Row],[EXPURGO Mãe]]="SIM",TAB_HISTORICO_MANUT[[#This Row],[Tipo]]="MÃE"),"EXP.MAE",IF(TAB_HISTORICO_MANUT[[#This Row],[EXPURGO Mãe]]="NÃO","NÃO EXP.MAE",T124))</f>
        <v>NÃO EXP.MAE</v>
      </c>
      <c r="U12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125" s="56">
        <f>IF(TAB_HISTORICO_MANUT[[#This Row],[EXPURGO Filhas]]="SIM",MAX(TAB_HISTORICO_MANUT[[#This Row],[Hora Final]]-TAB_HISTORICO_MANUT[[#This Row],[Hora Inicio]],0),0)</f>
        <v>6.9444444445252884E-2</v>
      </c>
      <c r="W12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2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25" s="46">
        <v>46133.898611111108</v>
      </c>
      <c r="Z125" s="47">
        <v>46133.968055555553</v>
      </c>
      <c r="AA125" s="48" t="s">
        <v>209</v>
      </c>
      <c r="AB125" s="48">
        <v>202602003290</v>
      </c>
      <c r="AC125" s="43" t="s">
        <v>363</v>
      </c>
      <c r="AD125" s="46" t="s">
        <v>145</v>
      </c>
      <c r="AE125" s="46" t="s">
        <v>777</v>
      </c>
      <c r="AF125" s="88" t="s">
        <v>767</v>
      </c>
      <c r="AG125" s="105">
        <f>IF(TAB_HISTORICO_MANUT[[#This Row],[Hora Inicio]]="","",MONTH(TAB_HISTORICO_MANUT[[#This Row],[Hora Inicio]]))</f>
        <v>4</v>
      </c>
      <c r="AH125" s="58" t="s">
        <v>1068</v>
      </c>
      <c r="AI125" s="43" t="s">
        <v>235</v>
      </c>
      <c r="AJ125" s="43" t="s">
        <v>908</v>
      </c>
      <c r="AK125" s="43" t="s">
        <v>83</v>
      </c>
      <c r="AL125" s="43" t="s">
        <v>275</v>
      </c>
      <c r="AM125" s="114" t="s">
        <v>276</v>
      </c>
      <c r="AN125" s="43"/>
      <c r="AO125" s="43"/>
      <c r="AP125" s="43"/>
    </row>
    <row r="126" spans="1:42" ht="50.1" customHeight="1" x14ac:dyDescent="0.25">
      <c r="A126" s="43">
        <f>MONTH(TAB_HISTORICO_MANUT[[#This Row],[Hora Final]])-MONTH(TAB_HISTORICO_MANUT[[#This Row],[Hora Inicio]])</f>
        <v>0</v>
      </c>
      <c r="B126" s="42"/>
      <c r="C126" s="43"/>
      <c r="D126" s="42"/>
      <c r="E126" s="42"/>
      <c r="F126" s="42"/>
      <c r="G126" s="42"/>
      <c r="H126" s="42"/>
      <c r="I126" s="42"/>
      <c r="J126" s="42"/>
      <c r="K126" s="42"/>
      <c r="L126" s="42"/>
      <c r="M126" s="42" t="s">
        <v>99</v>
      </c>
      <c r="N126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Inicio]]=Z125,TAB_HISTORICO_MANUT[[#This Row],[Equipamento]]=AA125,TAB_HISTORICO_MANUT[[#This Row],[Descricao Despacho]]=AD125),0,1)))</f>
        <v/>
      </c>
      <c r="O12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126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12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126" s="50" t="str">
        <f>IF($Q126="","",(TAB_HISTORICO_MANUT[[#This Row],[Hora Final]]-TAB_HISTORICO_MANUT[[#This Row],[Hora Inicio]])*24)</f>
        <v/>
      </c>
      <c r="S12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126" s="54" t="str">
        <f>IF(AND(TAB_HISTORICO_MANUT[[#This Row],[EXPURGO Mãe]]="SIM",TAB_HISTORICO_MANUT[[#This Row],[Tipo]]="MÃE"),"EXP.MAE",IF(TAB_HISTORICO_MANUT[[#This Row],[EXPURGO Mãe]]="NÃO","NÃO EXP.MAE",T125))</f>
        <v>NÃO EXP.MAE</v>
      </c>
      <c r="U12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26" s="56">
        <f>IF(TAB_HISTORICO_MANUT[[#This Row],[EXPURGO Filhas]]="SIM",MAX(TAB_HISTORICO_MANUT[[#This Row],[Hora Final]]-TAB_HISTORICO_MANUT[[#This Row],[Hora Inicio]],0),0)</f>
        <v>0</v>
      </c>
      <c r="W12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2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26" s="46">
        <v>46134.188888888886</v>
      </c>
      <c r="Z126" s="47">
        <v>46134.227777777778</v>
      </c>
      <c r="AA126" s="48" t="s">
        <v>209</v>
      </c>
      <c r="AB126" s="48">
        <v>202602003290</v>
      </c>
      <c r="AC126" s="43" t="s">
        <v>363</v>
      </c>
      <c r="AD126" s="46" t="s">
        <v>145</v>
      </c>
      <c r="AE126" s="46" t="s">
        <v>777</v>
      </c>
      <c r="AF126" s="88" t="s">
        <v>767</v>
      </c>
      <c r="AG126" s="105">
        <f>IF(TAB_HISTORICO_MANUT[[#This Row],[Hora Inicio]]="","",MONTH(TAB_HISTORICO_MANUT[[#This Row],[Hora Inicio]]))</f>
        <v>4</v>
      </c>
      <c r="AH126" s="58" t="s">
        <v>1068</v>
      </c>
      <c r="AI126" s="43" t="s">
        <v>235</v>
      </c>
      <c r="AJ126" s="43" t="s">
        <v>908</v>
      </c>
      <c r="AK126" s="43" t="s">
        <v>83</v>
      </c>
      <c r="AL126" s="43" t="s">
        <v>275</v>
      </c>
      <c r="AM126" s="114" t="s">
        <v>276</v>
      </c>
      <c r="AN126" s="43"/>
      <c r="AO126" s="43"/>
      <c r="AP126" s="43"/>
    </row>
    <row r="127" spans="1:42" ht="50.1" customHeight="1" x14ac:dyDescent="0.25">
      <c r="A127" s="43">
        <f>MONTH(TAB_HISTORICO_MANUT[[#This Row],[Hora Final]])-MONTH(TAB_HISTORICO_MANUT[[#This Row],[Hora Inicio]])</f>
        <v>0</v>
      </c>
      <c r="B127" s="42"/>
      <c r="C127" s="43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Inicio]]=Z126,TAB_HISTORICO_MANUT[[#This Row],[Equipamento]]=AA126,TAB_HISTORICO_MANUT[[#This Row],[Descricao Despacho]]=AD126),0,1)))</f>
        <v/>
      </c>
      <c r="O12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127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12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127" s="50" t="str">
        <f>IF($Q127="","",(TAB_HISTORICO_MANUT[[#This Row],[Hora Final]]-TAB_HISTORICO_MANUT[[#This Row],[Hora Inicio]])*24)</f>
        <v/>
      </c>
      <c r="S12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127" s="54" t="str">
        <f>IF(AND(TAB_HISTORICO_MANUT[[#This Row],[EXPURGO Mãe]]="SIM",TAB_HISTORICO_MANUT[[#This Row],[Tipo]]="MÃE"),"EXP.MAE",IF(TAB_HISTORICO_MANUT[[#This Row],[EXPURGO Mãe]]="NÃO","NÃO EXP.MAE",T126))</f>
        <v>NÃO EXP.MAE</v>
      </c>
      <c r="U12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127" s="56">
        <f>IF(TAB_HISTORICO_MANUT[[#This Row],[EXPURGO Filhas]]="SIM",MAX(TAB_HISTORICO_MANUT[[#This Row],[Hora Final]]-TAB_HISTORICO_MANUT[[#This Row],[Hora Inicio]],0),0)</f>
        <v>1.8055555556202307E-2</v>
      </c>
      <c r="W12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2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27" s="46">
        <v>46134.209722222222</v>
      </c>
      <c r="Z127" s="47">
        <v>46134.227777777778</v>
      </c>
      <c r="AA127" s="48" t="s">
        <v>209</v>
      </c>
      <c r="AB127" s="48">
        <v>202602003290</v>
      </c>
      <c r="AC127" s="43" t="s">
        <v>363</v>
      </c>
      <c r="AD127" s="46" t="s">
        <v>145</v>
      </c>
      <c r="AE127" s="46" t="s">
        <v>777</v>
      </c>
      <c r="AF127" s="88" t="s">
        <v>767</v>
      </c>
      <c r="AG127" s="105">
        <v>4</v>
      </c>
      <c r="AH127" s="58" t="s">
        <v>1068</v>
      </c>
      <c r="AI127" s="43" t="s">
        <v>235</v>
      </c>
      <c r="AJ127" s="43" t="s">
        <v>908</v>
      </c>
      <c r="AK127" s="43" t="s">
        <v>83</v>
      </c>
      <c r="AL127" s="43" t="s">
        <v>275</v>
      </c>
      <c r="AM127" s="114" t="s">
        <v>276</v>
      </c>
      <c r="AN127" s="43"/>
      <c r="AO127" s="43"/>
      <c r="AP127" s="43"/>
    </row>
    <row r="128" spans="1:42" ht="50.1" customHeight="1" x14ac:dyDescent="0.25">
      <c r="A128" s="43">
        <f>MONTH(TAB_HISTORICO_MANUT[[#This Row],[Hora Final]])-MONTH(TAB_HISTORICO_MANUT[[#This Row],[Hora Inicio]])</f>
        <v>0</v>
      </c>
      <c r="B128" s="42"/>
      <c r="C128" s="43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Inicio]]=Z126,TAB_HISTORICO_MANUT[[#This Row],[Equipamento]]=AA126,TAB_HISTORICO_MANUT[[#This Row],[Descricao Despacho]]=AD126),0,1)))</f>
        <v/>
      </c>
      <c r="O12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128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12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128" s="50" t="str">
        <f>IF($Q128="","",(TAB_HISTORICO_MANUT[[#This Row],[Hora Final]]-TAB_HISTORICO_MANUT[[#This Row],[Hora Inicio]])*24)</f>
        <v/>
      </c>
      <c r="S12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128" s="54" t="str">
        <f>IF(AND(TAB_HISTORICO_MANUT[[#This Row],[EXPURGO Mãe]]="SIM",TAB_HISTORICO_MANUT[[#This Row],[Tipo]]="MÃE"),"EXP.MAE",IF(TAB_HISTORICO_MANUT[[#This Row],[EXPURGO Mãe]]="NÃO","NÃO EXP.MAE",T127))</f>
        <v>NÃO EXP.MAE</v>
      </c>
      <c r="U12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128" s="56">
        <f>IF(TAB_HISTORICO_MANUT[[#This Row],[EXPURGO Filhas]]="SIM",MAX(TAB_HISTORICO_MANUT[[#This Row],[Hora Final]]-TAB_HISTORICO_MANUT[[#This Row],[Hora Inicio]],0),0)</f>
        <v>1.597222221607808E-2</v>
      </c>
      <c r="W12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2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28" s="46">
        <v>46134.965277777781</v>
      </c>
      <c r="Z128" s="47">
        <v>46134.981249999997</v>
      </c>
      <c r="AA128" s="48" t="s">
        <v>209</v>
      </c>
      <c r="AB128" s="48">
        <v>202602003290</v>
      </c>
      <c r="AC128" s="43" t="s">
        <v>363</v>
      </c>
      <c r="AD128" s="46" t="s">
        <v>145</v>
      </c>
      <c r="AE128" s="46" t="s">
        <v>777</v>
      </c>
      <c r="AF128" s="88" t="s">
        <v>767</v>
      </c>
      <c r="AG128" s="105">
        <f>IF(TAB_HISTORICO_MANUT[[#This Row],[Hora Inicio]]="","",MONTH(TAB_HISTORICO_MANUT[[#This Row],[Hora Inicio]]))</f>
        <v>4</v>
      </c>
      <c r="AH128" s="58" t="s">
        <v>1068</v>
      </c>
      <c r="AI128" s="43" t="s">
        <v>235</v>
      </c>
      <c r="AJ128" s="43" t="s">
        <v>908</v>
      </c>
      <c r="AK128" s="43" t="s">
        <v>83</v>
      </c>
      <c r="AL128" s="43" t="s">
        <v>275</v>
      </c>
      <c r="AM128" s="114" t="s">
        <v>276</v>
      </c>
      <c r="AN128" s="43"/>
      <c r="AO128" s="43"/>
      <c r="AP128" s="43"/>
    </row>
    <row r="129" spans="1:42" ht="50.1" customHeight="1" x14ac:dyDescent="0.25">
      <c r="A129" s="43">
        <f>MONTH(TAB_HISTORICO_MANUT[[#This Row],[Hora Final]])-MONTH(TAB_HISTORICO_MANUT[[#This Row],[Hora Inicio]])</f>
        <v>0</v>
      </c>
      <c r="B129" s="42"/>
      <c r="C129" s="43"/>
      <c r="D129" s="42"/>
      <c r="E129" s="42"/>
      <c r="F129" s="42"/>
      <c r="G129" s="42"/>
      <c r="H129" s="42"/>
      <c r="I129" s="42"/>
      <c r="J129" s="42"/>
      <c r="K129" s="42"/>
      <c r="L129" s="42">
        <v>0</v>
      </c>
      <c r="M129" s="42"/>
      <c r="N12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Inicio]]=Z128,TAB_HISTORICO_MANUT[[#This Row],[Equipamento]]=AA128,TAB_HISTORICO_MANUT[[#This Row],[Descricao Despacho]]=AD128),0,1)))</f>
        <v>0</v>
      </c>
      <c r="O12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129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12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Reparo Programado</v>
      </c>
      <c r="R129" s="50">
        <f>IF($Q129="","",(TAB_HISTORICO_MANUT[[#This Row],[Hora Final]]-TAB_HISTORICO_MANUT[[#This Row],[Hora Inicio]])*24)</f>
        <v>8.3666666666977108</v>
      </c>
      <c r="S12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129" s="54" t="str">
        <f>IF(AND(TAB_HISTORICO_MANUT[[#This Row],[EXPURGO Mãe]]="SIM",TAB_HISTORICO_MANUT[[#This Row],[Tipo]]="MÃE"),"EXP.MAE",IF(TAB_HISTORICO_MANUT[[#This Row],[EXPURGO Mãe]]="NÃO","NÃO EXP.MAE",T128))</f>
        <v>EXP.MAE</v>
      </c>
      <c r="U12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29" s="56">
        <f>IF(TAB_HISTORICO_MANUT[[#This Row],[EXPURGO Filhas]]="SIM",MAX(TAB_HISTORICO_MANUT[[#This Row],[Hora Final]]-TAB_HISTORICO_MANUT[[#This Row],[Hora Inicio]],0),0)</f>
        <v>0</v>
      </c>
      <c r="W12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2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29" s="46">
        <v>46134.992384259262</v>
      </c>
      <c r="Z129" s="47">
        <v>46135.340995370374</v>
      </c>
      <c r="AA129" s="48" t="s">
        <v>209</v>
      </c>
      <c r="AB129" s="48"/>
      <c r="AC129" s="43" t="s">
        <v>301</v>
      </c>
      <c r="AD129" s="46" t="s">
        <v>145</v>
      </c>
      <c r="AE129" s="46" t="s">
        <v>180</v>
      </c>
      <c r="AF129" s="88" t="s">
        <v>210</v>
      </c>
      <c r="AG129" s="105">
        <f>IF(TAB_HISTORICO_MANUT[[#This Row],[Hora Inicio]]="","",MONTH(TAB_HISTORICO_MANUT[[#This Row],[Hora Inicio]]))</f>
        <v>4</v>
      </c>
      <c r="AH129" s="144" t="s">
        <v>915</v>
      </c>
      <c r="AI129" s="43" t="s">
        <v>235</v>
      </c>
      <c r="AJ129" s="43" t="s">
        <v>908</v>
      </c>
      <c r="AK129" s="43" t="s">
        <v>83</v>
      </c>
      <c r="AL129" s="43" t="s">
        <v>297</v>
      </c>
      <c r="AM129" s="114" t="s">
        <v>276</v>
      </c>
      <c r="AN129" s="43"/>
      <c r="AO129" s="43"/>
      <c r="AP129" s="43"/>
    </row>
    <row r="130" spans="1:42" ht="50.1" customHeight="1" x14ac:dyDescent="0.25">
      <c r="A130" s="43">
        <f>MONTH(TAB_HISTORICO_MANUT[[#This Row],[Hora Final]])-MONTH(TAB_HISTORICO_MANUT[[#This Row],[Hora Inicio]])</f>
        <v>0</v>
      </c>
      <c r="B130" s="42"/>
      <c r="C130" s="43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Inicio]]=Z129,TAB_HISTORICO_MANUT[[#This Row],[Equipamento]]=AA129,TAB_HISTORICO_MANUT[[#This Row],[Descricao Despacho]]=AD129),0,1)))</f>
        <v>1</v>
      </c>
      <c r="O13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130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3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130" s="50">
        <f>IF($Q130="","",(TAB_HISTORICO_MANUT[[#This Row],[Hora Final]]-TAB_HISTORICO_MANUT[[#This Row],[Hora Inicio]])*24)</f>
        <v>5.5777777777402662</v>
      </c>
      <c r="S13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30" s="54" t="str">
        <f>IF(AND(TAB_HISTORICO_MANUT[[#This Row],[EXPURGO Mãe]]="SIM",TAB_HISTORICO_MANUT[[#This Row],[Tipo]]="MÃE"),"EXP.MAE",IF(TAB_HISTORICO_MANUT[[#This Row],[EXPURGO Mãe]]="NÃO","NÃO EXP.MAE",T129))</f>
        <v>NÃO EXP.MAE</v>
      </c>
      <c r="U13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30" s="56">
        <f>IF(TAB_HISTORICO_MANUT[[#This Row],[EXPURGO Filhas]]="SIM",MAX(TAB_HISTORICO_MANUT[[#This Row],[Hora Final]]-TAB_HISTORICO_MANUT[[#This Row],[Hora Inicio]],0),0)</f>
        <v>0</v>
      </c>
      <c r="W13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3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30" s="46">
        <v>46135.340995370374</v>
      </c>
      <c r="Z130" s="47">
        <v>46135.57340277778</v>
      </c>
      <c r="AA130" s="48" t="s">
        <v>209</v>
      </c>
      <c r="AB130" s="48">
        <v>202601729918</v>
      </c>
      <c r="AC130" s="43" t="s">
        <v>211</v>
      </c>
      <c r="AD130" s="46" t="s">
        <v>144</v>
      </c>
      <c r="AE130" s="46" t="s">
        <v>213</v>
      </c>
      <c r="AF130" s="88" t="s">
        <v>210</v>
      </c>
      <c r="AG130" s="105">
        <f>IF(TAB_HISTORICO_MANUT[[#This Row],[Hora Inicio]]="","",MONTH(TAB_HISTORICO_MANUT[[#This Row],[Hora Inicio]]))</f>
        <v>4</v>
      </c>
      <c r="AH130" s="58" t="s">
        <v>926</v>
      </c>
      <c r="AI130" s="43" t="s">
        <v>21</v>
      </c>
      <c r="AJ130" s="43" t="s">
        <v>764</v>
      </c>
      <c r="AK130" s="43" t="s">
        <v>291</v>
      </c>
      <c r="AL130" s="43" t="s">
        <v>275</v>
      </c>
      <c r="AM130" s="114" t="s">
        <v>276</v>
      </c>
      <c r="AN130" s="43" t="s">
        <v>229</v>
      </c>
      <c r="AO130" s="43" t="s">
        <v>761</v>
      </c>
      <c r="AP130" s="43" t="s">
        <v>923</v>
      </c>
    </row>
    <row r="131" spans="1:42" ht="50.1" customHeight="1" x14ac:dyDescent="0.25">
      <c r="A131" s="43">
        <f>MONTH(TAB_HISTORICO_MANUT[[#This Row],[Hora Final]])-MONTH(TAB_HISTORICO_MANUT[[#This Row],[Hora Inicio]])</f>
        <v>0</v>
      </c>
      <c r="B131" s="42"/>
      <c r="C131" s="43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Inicio]]=Z130,TAB_HISTORICO_MANUT[[#This Row],[Equipamento]]=AA130,TAB_HISTORICO_MANUT[[#This Row],[Descricao Despacho]]=AD130),0,1)))</f>
        <v/>
      </c>
      <c r="O13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131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13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131" s="50" t="str">
        <f>IF($Q131="","",(TAB_HISTORICO_MANUT[[#This Row],[Hora Final]]-TAB_HISTORICO_MANUT[[#This Row],[Hora Inicio]])*24)</f>
        <v/>
      </c>
      <c r="S13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131" s="54" t="str">
        <f>IF(AND(TAB_HISTORICO_MANUT[[#This Row],[EXPURGO Mãe]]="SIM",TAB_HISTORICO_MANUT[[#This Row],[Tipo]]="MÃE"),"EXP.MAE",IF(TAB_HISTORICO_MANUT[[#This Row],[EXPURGO Mãe]]="NÃO","NÃO EXP.MAE",T130))</f>
        <v>NÃO EXP.MAE</v>
      </c>
      <c r="U13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31" s="56">
        <f>IF(TAB_HISTORICO_MANUT[[#This Row],[EXPURGO Filhas]]="SIM",MAX(TAB_HISTORICO_MANUT[[#This Row],[Hora Final]]-TAB_HISTORICO_MANUT[[#This Row],[Hora Inicio]],0),0)</f>
        <v>0</v>
      </c>
      <c r="W13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3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31" s="46">
        <v>46135.392194722226</v>
      </c>
      <c r="Z131" s="47">
        <v>46135.57340277778</v>
      </c>
      <c r="AA131" s="48" t="s">
        <v>209</v>
      </c>
      <c r="AB131" s="48">
        <v>202601729918</v>
      </c>
      <c r="AC131" s="43" t="s">
        <v>211</v>
      </c>
      <c r="AD131" s="46" t="s">
        <v>144</v>
      </c>
      <c r="AE131" s="46" t="s">
        <v>213</v>
      </c>
      <c r="AF131" s="88" t="s">
        <v>767</v>
      </c>
      <c r="AG131" s="105">
        <f>IF(TAB_HISTORICO_MANUT[[#This Row],[Hora Inicio]]="","",MONTH(TAB_HISTORICO_MANUT[[#This Row],[Hora Inicio]]))</f>
        <v>4</v>
      </c>
      <c r="AH131" s="58" t="s">
        <v>926</v>
      </c>
      <c r="AI131" s="43" t="s">
        <v>21</v>
      </c>
      <c r="AJ131" s="43" t="s">
        <v>764</v>
      </c>
      <c r="AK131" s="43" t="s">
        <v>291</v>
      </c>
      <c r="AL131" s="43" t="s">
        <v>275</v>
      </c>
      <c r="AM131" s="114" t="s">
        <v>276</v>
      </c>
      <c r="AN131" s="43"/>
      <c r="AO131" s="43"/>
      <c r="AP131" s="43"/>
    </row>
    <row r="132" spans="1:42" ht="50.1" customHeight="1" x14ac:dyDescent="0.25">
      <c r="A132" s="43">
        <f>MONTH(TAB_HISTORICO_MANUT[[#This Row],[Hora Final]])-MONTH(TAB_HISTORICO_MANUT[[#This Row],[Hora Inicio]])</f>
        <v>0</v>
      </c>
      <c r="B132" s="42"/>
      <c r="C132" s="43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Inicio]]=Z131,TAB_HISTORICO_MANUT[[#This Row],[Equipamento]]=AA131,TAB_HISTORICO_MANUT[[#This Row],[Descricao Despacho]]=AD131),0,1)))</f>
        <v>1</v>
      </c>
      <c r="O13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132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3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132" s="50">
        <f>IF($Q132="","",(TAB_HISTORICO_MANUT[[#This Row],[Hora Final]]-TAB_HISTORICO_MANUT[[#This Row],[Hora Inicio]])*24)</f>
        <v>5.9152777777053416</v>
      </c>
      <c r="S13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32" s="54" t="str">
        <f>IF(AND(TAB_HISTORICO_MANUT[[#This Row],[EXPURGO Mãe]]="SIM",TAB_HISTORICO_MANUT[[#This Row],[Tipo]]="MÃE"),"EXP.MAE",IF(TAB_HISTORICO_MANUT[[#This Row],[EXPURGO Mãe]]="NÃO","NÃO EXP.MAE",T131))</f>
        <v>NÃO EXP.MAE</v>
      </c>
      <c r="U13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32" s="56">
        <f>IF(TAB_HISTORICO_MANUT[[#This Row],[EXPURGO Filhas]]="SIM",MAX(TAB_HISTORICO_MANUT[[#This Row],[Hora Final]]-TAB_HISTORICO_MANUT[[#This Row],[Hora Inicio]],0),0)</f>
        <v>0</v>
      </c>
      <c r="W13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3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32" s="46">
        <v>46136.690428240741</v>
      </c>
      <c r="Z132" s="47">
        <v>46136.936898148146</v>
      </c>
      <c r="AA132" s="48" t="s">
        <v>209</v>
      </c>
      <c r="AB132" s="48">
        <v>202601729918</v>
      </c>
      <c r="AC132" s="43" t="s">
        <v>211</v>
      </c>
      <c r="AD132" s="46" t="s">
        <v>144</v>
      </c>
      <c r="AE132" s="46" t="s">
        <v>213</v>
      </c>
      <c r="AF132" s="88" t="s">
        <v>210</v>
      </c>
      <c r="AG132" s="105">
        <f>IF(TAB_HISTORICO_MANUT[[#This Row],[Hora Inicio]]="","",MONTH(TAB_HISTORICO_MANUT[[#This Row],[Hora Inicio]]))</f>
        <v>4</v>
      </c>
      <c r="AH132" s="58" t="s">
        <v>928</v>
      </c>
      <c r="AI132" s="43" t="s">
        <v>21</v>
      </c>
      <c r="AJ132" s="43" t="s">
        <v>764</v>
      </c>
      <c r="AK132" s="43" t="s">
        <v>291</v>
      </c>
      <c r="AL132" s="43" t="s">
        <v>286</v>
      </c>
      <c r="AM132" s="114" t="s">
        <v>615</v>
      </c>
      <c r="AN132" s="43" t="s">
        <v>229</v>
      </c>
      <c r="AO132" s="43" t="s">
        <v>761</v>
      </c>
      <c r="AP132" s="43" t="s">
        <v>924</v>
      </c>
    </row>
    <row r="133" spans="1:42" ht="50.1" customHeight="1" x14ac:dyDescent="0.25">
      <c r="A133" s="43">
        <f>MONTH(TAB_HISTORICO_MANUT[[#This Row],[Hora Final]])-MONTH(TAB_HISTORICO_MANUT[[#This Row],[Hora Inicio]])</f>
        <v>0</v>
      </c>
      <c r="B133" s="42"/>
      <c r="C133" s="43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Inicio]]=Z132,TAB_HISTORICO_MANUT[[#This Row],[Equipamento]]=AA132,TAB_HISTORICO_MANUT[[#This Row],[Descricao Despacho]]=AD132),0,1)))</f>
        <v/>
      </c>
      <c r="O13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133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13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133" s="50" t="str">
        <f>IF($Q133="","",(TAB_HISTORICO_MANUT[[#This Row],[Hora Final]]-TAB_HISTORICO_MANUT[[#This Row],[Hora Inicio]])*24)</f>
        <v/>
      </c>
      <c r="S13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133" s="54" t="str">
        <f>IF(AND(TAB_HISTORICO_MANUT[[#This Row],[EXPURGO Mãe]]="SIM",TAB_HISTORICO_MANUT[[#This Row],[Tipo]]="MÃE"),"EXP.MAE",IF(TAB_HISTORICO_MANUT[[#This Row],[EXPURGO Mãe]]="NÃO","NÃO EXP.MAE",T132))</f>
        <v>NÃO EXP.MAE</v>
      </c>
      <c r="U13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33" s="56">
        <f>IF(TAB_HISTORICO_MANUT[[#This Row],[EXPURGO Filhas]]="SIM",MAX(TAB_HISTORICO_MANUT[[#This Row],[Hora Final]]-TAB_HISTORICO_MANUT[[#This Row],[Hora Inicio]],0),0)</f>
        <v>0</v>
      </c>
      <c r="W13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3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33" s="46">
        <v>46136.744725561337</v>
      </c>
      <c r="Z133" s="47">
        <v>46136.936898148146</v>
      </c>
      <c r="AA133" s="48" t="s">
        <v>209</v>
      </c>
      <c r="AB133" s="48">
        <v>202601729918</v>
      </c>
      <c r="AC133" s="43" t="s">
        <v>211</v>
      </c>
      <c r="AD133" s="46" t="s">
        <v>144</v>
      </c>
      <c r="AE133" s="46" t="s">
        <v>213</v>
      </c>
      <c r="AF133" s="88" t="s">
        <v>767</v>
      </c>
      <c r="AG133" s="105">
        <f>IF(TAB_HISTORICO_MANUT[[#This Row],[Hora Inicio]]="","",MONTH(TAB_HISTORICO_MANUT[[#This Row],[Hora Inicio]]))</f>
        <v>4</v>
      </c>
      <c r="AH133" s="58" t="s">
        <v>928</v>
      </c>
      <c r="AI133" s="43" t="s">
        <v>21</v>
      </c>
      <c r="AJ133" s="43" t="s">
        <v>764</v>
      </c>
      <c r="AK133" s="43" t="s">
        <v>291</v>
      </c>
      <c r="AL133" s="43" t="s">
        <v>286</v>
      </c>
      <c r="AM133" s="114" t="s">
        <v>615</v>
      </c>
      <c r="AN133" s="43"/>
      <c r="AO133" s="43"/>
      <c r="AP133" s="43"/>
    </row>
    <row r="134" spans="1:42" ht="50.1" customHeight="1" x14ac:dyDescent="0.25">
      <c r="A134" s="43">
        <f>MONTH(TAB_HISTORICO_MANUT[[#This Row],[Hora Final]])-MONTH(TAB_HISTORICO_MANUT[[#This Row],[Hora Inicio]])</f>
        <v>0</v>
      </c>
      <c r="B134" s="42"/>
      <c r="C134" s="43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Inicio]]=Z133,TAB_HISTORICO_MANUT[[#This Row],[Equipamento]]=AA133,TAB_HISTORICO_MANUT[[#This Row],[Descricao Despacho]]=AD133),0,1)))</f>
        <v>1</v>
      </c>
      <c r="O13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134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13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134" s="50">
        <f>IF($Q134="","",(TAB_HISTORICO_MANUT[[#This Row],[Hora Final]]-TAB_HISTORICO_MANUT[[#This Row],[Hora Inicio]])*24)</f>
        <v>0.25722222228068858</v>
      </c>
      <c r="S13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34" s="54" t="str">
        <f>IF(AND(TAB_HISTORICO_MANUT[[#This Row],[EXPURGO Mãe]]="SIM",TAB_HISTORICO_MANUT[[#This Row],[Tipo]]="MÃE"),"EXP.MAE",IF(TAB_HISTORICO_MANUT[[#This Row],[EXPURGO Mãe]]="NÃO","NÃO EXP.MAE",T133))</f>
        <v>NÃO EXP.MAE</v>
      </c>
      <c r="U13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34" s="56">
        <f>IF(TAB_HISTORICO_MANUT[[#This Row],[EXPURGO Filhas]]="SIM",MAX(TAB_HISTORICO_MANUT[[#This Row],[Hora Final]]-TAB_HISTORICO_MANUT[[#This Row],[Hora Inicio]],0),0)</f>
        <v>0</v>
      </c>
      <c r="W13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3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34" s="46">
        <v>46137.635115740741</v>
      </c>
      <c r="Z134" s="47">
        <v>46137.645833333336</v>
      </c>
      <c r="AA134" s="48" t="s">
        <v>209</v>
      </c>
      <c r="AB134" s="48">
        <v>202601729918</v>
      </c>
      <c r="AC134" s="43" t="s">
        <v>205</v>
      </c>
      <c r="AD134" s="46" t="s">
        <v>145</v>
      </c>
      <c r="AE134" s="46" t="s">
        <v>173</v>
      </c>
      <c r="AF134" s="88" t="s">
        <v>210</v>
      </c>
      <c r="AG134" s="105">
        <f>IF(TAB_HISTORICO_MANUT[[#This Row],[Hora Inicio]]="","",MONTH(TAB_HISTORICO_MANUT[[#This Row],[Hora Inicio]]))</f>
        <v>4</v>
      </c>
      <c r="AH134" s="58"/>
      <c r="AI134" s="43" t="s">
        <v>21</v>
      </c>
      <c r="AJ134" s="43" t="s">
        <v>21</v>
      </c>
      <c r="AK134" s="43" t="s">
        <v>21</v>
      </c>
      <c r="AL134" s="43" t="s">
        <v>21</v>
      </c>
      <c r="AM134" s="114" t="s">
        <v>21</v>
      </c>
      <c r="AN134" s="43"/>
      <c r="AO134" s="43"/>
      <c r="AP134" s="43"/>
    </row>
    <row r="135" spans="1:42" ht="50.1" customHeight="1" x14ac:dyDescent="0.25">
      <c r="A135" s="43">
        <f>MONTH(TAB_HISTORICO_MANUT[[#This Row],[Hora Final]])-MONTH(TAB_HISTORICO_MANUT[[#This Row],[Hora Inicio]])</f>
        <v>0</v>
      </c>
      <c r="B135" s="42"/>
      <c r="C135" s="43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Inicio]]=Z134,TAB_HISTORICO_MANUT[[#This Row],[Equipamento]]=AA134,TAB_HISTORICO_MANUT[[#This Row],[Descricao Despacho]]=AD134),0,1)))</f>
        <v/>
      </c>
      <c r="O13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135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13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135" s="50" t="str">
        <f>IF($Q135="","",(TAB_HISTORICO_MANUT[[#This Row],[Hora Final]]-TAB_HISTORICO_MANUT[[#This Row],[Hora Inicio]])*24)</f>
        <v/>
      </c>
      <c r="S13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135" s="54" t="str">
        <f>IF(AND(TAB_HISTORICO_MANUT[[#This Row],[EXPURGO Mãe]]="SIM",TAB_HISTORICO_MANUT[[#This Row],[Tipo]]="MÃE"),"EXP.MAE",IF(TAB_HISTORICO_MANUT[[#This Row],[EXPURGO Mãe]]="NÃO","NÃO EXP.MAE",T134))</f>
        <v>NÃO EXP.MAE</v>
      </c>
      <c r="U13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35" s="56">
        <f>IF(TAB_HISTORICO_MANUT[[#This Row],[EXPURGO Filhas]]="SIM",MAX(TAB_HISTORICO_MANUT[[#This Row],[Hora Final]]-TAB_HISTORICO_MANUT[[#This Row],[Hora Inicio]],0),0)</f>
        <v>0</v>
      </c>
      <c r="W13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3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35" s="46">
        <v>46137.637476826392</v>
      </c>
      <c r="Z135" s="47">
        <v>46137.645833333336</v>
      </c>
      <c r="AA135" s="48" t="s">
        <v>209</v>
      </c>
      <c r="AB135" s="48">
        <v>202601729918</v>
      </c>
      <c r="AC135" s="43" t="s">
        <v>205</v>
      </c>
      <c r="AD135" s="46" t="s">
        <v>145</v>
      </c>
      <c r="AE135" s="46" t="s">
        <v>173</v>
      </c>
      <c r="AF135" s="88" t="s">
        <v>767</v>
      </c>
      <c r="AG135" s="105">
        <f>IF(TAB_HISTORICO_MANUT[[#This Row],[Hora Inicio]]="","",MONTH(TAB_HISTORICO_MANUT[[#This Row],[Hora Inicio]]))</f>
        <v>4</v>
      </c>
      <c r="AH135" s="58"/>
      <c r="AI135" s="43" t="s">
        <v>21</v>
      </c>
      <c r="AJ135" s="43" t="s">
        <v>21</v>
      </c>
      <c r="AK135" s="43" t="s">
        <v>21</v>
      </c>
      <c r="AL135" s="43" t="s">
        <v>21</v>
      </c>
      <c r="AM135" s="114" t="s">
        <v>21</v>
      </c>
      <c r="AN135" s="43"/>
      <c r="AO135" s="43"/>
      <c r="AP135" s="43"/>
    </row>
    <row r="136" spans="1:42" ht="50.1" customHeight="1" x14ac:dyDescent="0.25">
      <c r="A136" s="43">
        <f>MONTH(TAB_HISTORICO_MANUT[[#This Row],[Hora Final]])-MONTH(TAB_HISTORICO_MANUT[[#This Row],[Hora Inicio]])</f>
        <v>0</v>
      </c>
      <c r="B136" s="42"/>
      <c r="C136" s="43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Inicio]]=Z135,TAB_HISTORICO_MANUT[[#This Row],[Equipamento]]=AA135,TAB_HISTORICO_MANUT[[#This Row],[Descricao Despacho]]=AD135),0,1)))</f>
        <v>1</v>
      </c>
      <c r="O13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13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3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36" s="50">
        <f>IF($Q136="","",(TAB_HISTORICO_MANUT[[#This Row],[Hora Final]]-TAB_HISTORICO_MANUT[[#This Row],[Hora Inicio]])*24)</f>
        <v>6.2119444443960674</v>
      </c>
      <c r="S13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36" s="54" t="str">
        <f>IF(AND(TAB_HISTORICO_MANUT[[#This Row],[EXPURGO Mãe]]="SIM",TAB_HISTORICO_MANUT[[#This Row],[Tipo]]="MÃE"),"EXP.MAE",IF(TAB_HISTORICO_MANUT[[#This Row],[EXPURGO Mãe]]="NÃO","NÃO EXP.MAE",T135))</f>
        <v>NÃO EXP.MAE</v>
      </c>
      <c r="U13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36" s="56">
        <f>IF(TAB_HISTORICO_MANUT[[#This Row],[EXPURGO Filhas]]="SIM",MAX(TAB_HISTORICO_MANUT[[#This Row],[Hora Final]]-TAB_HISTORICO_MANUT[[#This Row],[Hora Inicio]],0),0)</f>
        <v>0</v>
      </c>
      <c r="W13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3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36" s="46">
        <v>46137.731053240743</v>
      </c>
      <c r="Z136" s="47">
        <v>46137.989884259259</v>
      </c>
      <c r="AA136" s="48" t="s">
        <v>209</v>
      </c>
      <c r="AB136" s="48">
        <v>202601729918</v>
      </c>
      <c r="AC136" s="43" t="s">
        <v>204</v>
      </c>
      <c r="AD136" s="46" t="s">
        <v>144</v>
      </c>
      <c r="AE136" s="46" t="s">
        <v>172</v>
      </c>
      <c r="AF136" s="88" t="s">
        <v>210</v>
      </c>
      <c r="AG136" s="105">
        <f>IF(TAB_HISTORICO_MANUT[[#This Row],[Hora Inicio]]="","",MONTH(TAB_HISTORICO_MANUT[[#This Row],[Hora Inicio]]))</f>
        <v>4</v>
      </c>
      <c r="AH136" s="58" t="s">
        <v>929</v>
      </c>
      <c r="AI136" s="43" t="s">
        <v>22</v>
      </c>
      <c r="AJ136" s="43" t="s">
        <v>284</v>
      </c>
      <c r="AK136" s="43" t="s">
        <v>284</v>
      </c>
      <c r="AL136" s="43" t="s">
        <v>275</v>
      </c>
      <c r="AM136" s="114" t="s">
        <v>276</v>
      </c>
      <c r="AN136" s="43" t="s">
        <v>215</v>
      </c>
      <c r="AO136" s="43" t="s">
        <v>224</v>
      </c>
      <c r="AP136" s="43" t="s">
        <v>225</v>
      </c>
    </row>
    <row r="137" spans="1:42" ht="50.1" customHeight="1" x14ac:dyDescent="0.25">
      <c r="A137" s="43">
        <f>MONTH(TAB_HISTORICO_MANUT[[#This Row],[Hora Final]])-MONTH(TAB_HISTORICO_MANUT[[#This Row],[Hora Inicio]])</f>
        <v>0</v>
      </c>
      <c r="B137" s="42"/>
      <c r="C137" s="43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Inicio]]=Z136,TAB_HISTORICO_MANUT[[#This Row],[Equipamento]]=AA136,TAB_HISTORICO_MANUT[[#This Row],[Descricao Despacho]]=AD136),0,1)))</f>
        <v>0</v>
      </c>
      <c r="O13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COMBATE INCENDIO</v>
      </c>
      <c r="P137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3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137" s="50">
        <f>IF($Q137="","",(TAB_HISTORICO_MANUT[[#This Row],[Hora Final]]-TAB_HISTORICO_MANUT[[#This Row],[Hora Inicio]])*24)</f>
        <v>3.3338888888829388</v>
      </c>
      <c r="S13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137" s="54" t="str">
        <f>IF(AND(TAB_HISTORICO_MANUT[[#This Row],[EXPURGO Mãe]]="SIM",TAB_HISTORICO_MANUT[[#This Row],[Tipo]]="MÃE"),"EXP.MAE",IF(TAB_HISTORICO_MANUT[[#This Row],[EXPURGO Mãe]]="NÃO","NÃO EXP.MAE",T136))</f>
        <v>EXP.MAE</v>
      </c>
      <c r="U13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37" s="56">
        <f>IF(TAB_HISTORICO_MANUT[[#This Row],[EXPURGO Filhas]]="SIM",MAX(TAB_HISTORICO_MANUT[[#This Row],[Hora Final]]-TAB_HISTORICO_MANUT[[#This Row],[Hora Inicio]],0),0)</f>
        <v>0</v>
      </c>
      <c r="W13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3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37" s="46">
        <v>46137.989884259259</v>
      </c>
      <c r="Z137" s="47">
        <v>46138.128796296296</v>
      </c>
      <c r="AA137" s="48" t="s">
        <v>209</v>
      </c>
      <c r="AB137" s="48">
        <v>202601729918</v>
      </c>
      <c r="AC137" s="43" t="s">
        <v>212</v>
      </c>
      <c r="AD137" s="46" t="s">
        <v>144</v>
      </c>
      <c r="AE137" s="46" t="s">
        <v>214</v>
      </c>
      <c r="AF137" s="88" t="s">
        <v>210</v>
      </c>
      <c r="AG137" s="105">
        <f>IF(TAB_HISTORICO_MANUT[[#This Row],[Hora Inicio]]="","",MONTH(TAB_HISTORICO_MANUT[[#This Row],[Hora Inicio]]))</f>
        <v>4</v>
      </c>
      <c r="AH137" s="58" t="s">
        <v>930</v>
      </c>
      <c r="AI137" s="43" t="s">
        <v>152</v>
      </c>
      <c r="AJ137" s="43" t="s">
        <v>80</v>
      </c>
      <c r="AK137" s="43" t="s">
        <v>290</v>
      </c>
      <c r="AL137" s="43" t="s">
        <v>526</v>
      </c>
      <c r="AM137" s="43" t="s">
        <v>527</v>
      </c>
      <c r="AN137" s="43" t="s">
        <v>215</v>
      </c>
      <c r="AO137" s="43" t="s">
        <v>842</v>
      </c>
      <c r="AP137" s="43" t="s">
        <v>932</v>
      </c>
    </row>
    <row r="138" spans="1:42" ht="50.1" customHeight="1" x14ac:dyDescent="0.25">
      <c r="A138" s="43">
        <f>MONTH(TAB_HISTORICO_MANUT[[#This Row],[Hora Final]])-MONTH(TAB_HISTORICO_MANUT[[#This Row],[Hora Inicio]])</f>
        <v>0</v>
      </c>
      <c r="B138" s="42"/>
      <c r="C138" s="43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Inicio]]=Z137,TAB_HISTORICO_MANUT[[#This Row],[Equipamento]]=AA137,TAB_HISTORICO_MANUT[[#This Row],[Descricao Despacho]]=AD137),0,1)))</f>
        <v>1</v>
      </c>
      <c r="O13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138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3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38" s="50">
        <f>IF($Q138="","",(TAB_HISTORICO_MANUT[[#This Row],[Hora Final]]-TAB_HISTORICO_MANUT[[#This Row],[Hora Inicio]])*24)</f>
        <v>30.640000000130385</v>
      </c>
      <c r="S13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38" s="54" t="str">
        <f>IF(AND(TAB_HISTORICO_MANUT[[#This Row],[EXPURGO Mãe]]="SIM",TAB_HISTORICO_MANUT[[#This Row],[Tipo]]="MÃE"),"EXP.MAE",IF(TAB_HISTORICO_MANUT[[#This Row],[EXPURGO Mãe]]="NÃO","NÃO EXP.MAE",T137))</f>
        <v>NÃO EXP.MAE</v>
      </c>
      <c r="U13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38" s="56">
        <f>IF(TAB_HISTORICO_MANUT[[#This Row],[EXPURGO Filhas]]="SIM",MAX(TAB_HISTORICO_MANUT[[#This Row],[Hora Final]]-TAB_HISTORICO_MANUT[[#This Row],[Hora Inicio]],0),0)</f>
        <v>0</v>
      </c>
      <c r="W13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3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38" s="46">
        <v>46140.90284722222</v>
      </c>
      <c r="Z138" s="46">
        <v>46142.179513888892</v>
      </c>
      <c r="AA138" s="48" t="s">
        <v>209</v>
      </c>
      <c r="AB138" s="48">
        <v>202601729918</v>
      </c>
      <c r="AC138" s="43" t="s">
        <v>204</v>
      </c>
      <c r="AD138" s="46" t="s">
        <v>144</v>
      </c>
      <c r="AE138" s="46" t="s">
        <v>172</v>
      </c>
      <c r="AF138" s="88" t="s">
        <v>210</v>
      </c>
      <c r="AG138" s="105">
        <f>IF(TAB_HISTORICO_MANUT[[#This Row],[Hora Inicio]]="","",MONTH(TAB_HISTORICO_MANUT[[#This Row],[Hora Inicio]]))</f>
        <v>4</v>
      </c>
      <c r="AH138" s="58" t="s">
        <v>937</v>
      </c>
      <c r="AI138" s="43" t="s">
        <v>23</v>
      </c>
      <c r="AJ138" s="43" t="s">
        <v>43</v>
      </c>
      <c r="AK138" s="43" t="s">
        <v>474</v>
      </c>
      <c r="AL138" s="43" t="s">
        <v>275</v>
      </c>
      <c r="AM138" s="114" t="s">
        <v>877</v>
      </c>
      <c r="AN138" s="43" t="s">
        <v>217</v>
      </c>
      <c r="AO138" s="43" t="s">
        <v>935</v>
      </c>
      <c r="AP138" s="43" t="s">
        <v>936</v>
      </c>
    </row>
    <row r="139" spans="1:42" ht="50.1" customHeight="1" x14ac:dyDescent="0.25">
      <c r="A139" s="43">
        <f>MONTH(TAB_HISTORICO_MANUT[[#This Row],[Hora Final]])-MONTH(TAB_HISTORICO_MANUT[[#This Row],[Hora Inicio]])</f>
        <v>0</v>
      </c>
      <c r="B139" s="42"/>
      <c r="C139" s="43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Inicio]]=Z138,TAB_HISTORICO_MANUT[[#This Row],[Equipamento]]=AA138,TAB_HISTORICO_MANUT[[#This Row],[Descricao Despacho]]=AD138),0,1)))</f>
        <v>1</v>
      </c>
      <c r="O13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139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13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Reparo Programado</v>
      </c>
      <c r="R139" s="50">
        <f>IF($Q139="","",(TAB_HISTORICO_MANUT[[#This Row],[Hora Final]]-TAB_HISTORICO_MANUT[[#This Row],[Hora Inicio]])*24)</f>
        <v>0.71388888882938772</v>
      </c>
      <c r="S13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139" s="54" t="str">
        <f>IF(AND(TAB_HISTORICO_MANUT[[#This Row],[EXPURGO Mãe]]="SIM",TAB_HISTORICO_MANUT[[#This Row],[Tipo]]="MÃE"),"EXP.MAE",IF(TAB_HISTORICO_MANUT[[#This Row],[EXPURGO Mãe]]="NÃO","NÃO EXP.MAE",T138))</f>
        <v>EXP.MAE</v>
      </c>
      <c r="U13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39" s="56">
        <f>IF(TAB_HISTORICO_MANUT[[#This Row],[EXPURGO Filhas]]="SIM",MAX(TAB_HISTORICO_MANUT[[#This Row],[Hora Final]]-TAB_HISTORICO_MANUT[[#This Row],[Hora Inicio]],0),0)</f>
        <v>0</v>
      </c>
      <c r="W13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3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39" s="126">
        <v>46144.079837962963</v>
      </c>
      <c r="Z139" s="143">
        <v>46144.109583333331</v>
      </c>
      <c r="AA139" s="48" t="s">
        <v>209</v>
      </c>
      <c r="AB139" s="48"/>
      <c r="AC139" s="43" t="s">
        <v>300</v>
      </c>
      <c r="AD139" s="46" t="s">
        <v>146</v>
      </c>
      <c r="AE139" s="46" t="s">
        <v>178</v>
      </c>
      <c r="AF139" s="88" t="s">
        <v>210</v>
      </c>
      <c r="AG139" s="105">
        <f>IF(TAB_HISTORICO_MANUT[[#This Row],[Hora Inicio]]="","",MONTH(TAB_HISTORICO_MANUT[[#This Row],[Hora Inicio]]))</f>
        <v>5</v>
      </c>
      <c r="AH139" s="58" t="s">
        <v>955</v>
      </c>
      <c r="AI139" s="43" t="s">
        <v>235</v>
      </c>
      <c r="AJ139" s="43" t="s">
        <v>717</v>
      </c>
      <c r="AK139" s="43" t="s">
        <v>422</v>
      </c>
      <c r="AL139" s="43" t="s">
        <v>279</v>
      </c>
      <c r="AM139" s="114" t="s">
        <v>280</v>
      </c>
      <c r="AN139" s="43"/>
      <c r="AO139" s="43"/>
      <c r="AP139" s="43"/>
    </row>
    <row r="140" spans="1:42" ht="50.1" customHeight="1" x14ac:dyDescent="0.25">
      <c r="A140" s="43">
        <f>MONTH(TAB_HISTORICO_MANUT[[#This Row],[Hora Final]])-MONTH(TAB_HISTORICO_MANUT[[#This Row],[Hora Inicio]])</f>
        <v>0</v>
      </c>
      <c r="B140" s="42"/>
      <c r="C140" s="43"/>
      <c r="D140" s="42"/>
      <c r="E140" s="42"/>
      <c r="F140" s="42"/>
      <c r="G140" s="42"/>
      <c r="H140" s="42"/>
      <c r="I140" s="42"/>
      <c r="J140" s="42"/>
      <c r="K140" s="42"/>
      <c r="L140" s="42"/>
      <c r="M140" s="42" t="s">
        <v>99</v>
      </c>
      <c r="N14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Inicio]]=Z139,TAB_HISTORICO_MANUT[[#This Row],[Equipamento]]=AA139,TAB_HISTORICO_MANUT[[#This Row],[Descricao Despacho]]=AD139),0,1)))</f>
        <v>1</v>
      </c>
      <c r="O14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140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14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140" s="50">
        <f>IF($Q140="","",(TAB_HISTORICO_MANUT[[#This Row],[Hora Final]]-TAB_HISTORICO_MANUT[[#This Row],[Hora Inicio]])*24)</f>
        <v>2.0180555556435138</v>
      </c>
      <c r="S14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40" s="54" t="str">
        <f>IF(AND(TAB_HISTORICO_MANUT[[#This Row],[EXPURGO Mãe]]="SIM",TAB_HISTORICO_MANUT[[#This Row],[Tipo]]="MÃE"),"EXP.MAE",IF(TAB_HISTORICO_MANUT[[#This Row],[EXPURGO Mãe]]="NÃO","NÃO EXP.MAE",T139))</f>
        <v>NÃO EXP.MAE</v>
      </c>
      <c r="U14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40" s="56">
        <f>IF(TAB_HISTORICO_MANUT[[#This Row],[EXPURGO Filhas]]="SIM",MAX(TAB_HISTORICO_MANUT[[#This Row],[Hora Final]]-TAB_HISTORICO_MANUT[[#This Row],[Hora Inicio]],0),0)</f>
        <v>0</v>
      </c>
      <c r="W14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4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40" s="46">
        <v>46144.113078703704</v>
      </c>
      <c r="Z140" s="47">
        <v>46144.197164351855</v>
      </c>
      <c r="AA140" s="48" t="s">
        <v>209</v>
      </c>
      <c r="AB140" s="48"/>
      <c r="AC140" s="43" t="s">
        <v>300</v>
      </c>
      <c r="AD140" s="46" t="s">
        <v>146</v>
      </c>
      <c r="AE140" s="46" t="s">
        <v>178</v>
      </c>
      <c r="AF140" s="88" t="s">
        <v>210</v>
      </c>
      <c r="AG140" s="105">
        <f>IF(TAB_HISTORICO_MANUT[[#This Row],[Hora Inicio]]="","",MONTH(TAB_HISTORICO_MANUT[[#This Row],[Hora Inicio]]))</f>
        <v>5</v>
      </c>
      <c r="AH140" s="58" t="s">
        <v>851</v>
      </c>
      <c r="AI140" s="43" t="s">
        <v>340</v>
      </c>
      <c r="AJ140" s="43" t="s">
        <v>341</v>
      </c>
      <c r="AK140" s="43"/>
      <c r="AL140" s="43"/>
      <c r="AM140" s="114"/>
      <c r="AN140" s="43"/>
      <c r="AO140" s="43"/>
      <c r="AP140" s="43"/>
    </row>
    <row r="141" spans="1:42" ht="50.1" customHeight="1" x14ac:dyDescent="0.25">
      <c r="A141" s="43">
        <f>MONTH(TAB_HISTORICO_MANUT[[#This Row],[Hora Final]])-MONTH(TAB_HISTORICO_MANUT[[#This Row],[Hora Inicio]])</f>
        <v>0</v>
      </c>
      <c r="B141" s="42"/>
      <c r="C141" s="43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Inicio]]=Z140,TAB_HISTORICO_MANUT[[#This Row],[Equipamento]]=AA140,TAB_HISTORICO_MANUT[[#This Row],[Descricao Despacho]]=AD140),0,1)))</f>
        <v/>
      </c>
      <c r="O14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141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14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141" s="50" t="str">
        <f>IF($Q141="","",(TAB_HISTORICO_MANUT[[#This Row],[Hora Final]]-TAB_HISTORICO_MANUT[[#This Row],[Hora Inicio]])*24)</f>
        <v/>
      </c>
      <c r="S14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141" s="54" t="str">
        <f>IF(AND(TAB_HISTORICO_MANUT[[#This Row],[EXPURGO Mãe]]="SIM",TAB_HISTORICO_MANUT[[#This Row],[Tipo]]="MÃE"),"EXP.MAE",IF(TAB_HISTORICO_MANUT[[#This Row],[EXPURGO Mãe]]="NÃO","NÃO EXP.MAE",T140))</f>
        <v>NÃO EXP.MAE</v>
      </c>
      <c r="U14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141" s="56">
        <f>IF(TAB_HISTORICO_MANUT[[#This Row],[EXPURGO Filhas]]="SIM",MAX(TAB_HISTORICO_MANUT[[#This Row],[Hora Final]]-TAB_HISTORICO_MANUT[[#This Row],[Hora Inicio]],0),0)</f>
        <v>4.2418981487571727E-2</v>
      </c>
      <c r="W14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4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41" s="46">
        <v>46144.154745370368</v>
      </c>
      <c r="Z141" s="47">
        <v>46144.197164351855</v>
      </c>
      <c r="AA141" s="48" t="s">
        <v>209</v>
      </c>
      <c r="AB141" s="48"/>
      <c r="AC141" s="43" t="s">
        <v>300</v>
      </c>
      <c r="AD141" s="46" t="s">
        <v>146</v>
      </c>
      <c r="AE141" s="46" t="s">
        <v>178</v>
      </c>
      <c r="AF141" s="88" t="s">
        <v>767</v>
      </c>
      <c r="AG141" s="105">
        <f>IF(TAB_HISTORICO_MANUT[[#This Row],[Hora Inicio]]="","",MONTH(TAB_HISTORICO_MANUT[[#This Row],[Hora Inicio]]))</f>
        <v>5</v>
      </c>
      <c r="AH141" s="58" t="s">
        <v>1297</v>
      </c>
      <c r="AI141" s="43" t="s">
        <v>340</v>
      </c>
      <c r="AJ141" s="43" t="s">
        <v>341</v>
      </c>
      <c r="AK141" s="43"/>
      <c r="AL141" s="43"/>
      <c r="AM141" s="114"/>
      <c r="AN141" s="43"/>
      <c r="AO141" s="43"/>
      <c r="AP141" s="43"/>
    </row>
    <row r="142" spans="1:42" ht="50.1" customHeight="1" x14ac:dyDescent="0.25">
      <c r="A142" s="43">
        <f>MONTH(TAB_HISTORICO_MANUT[[#This Row],[Hora Final]])-MONTH(TAB_HISTORICO_MANUT[[#This Row],[Hora Inicio]])</f>
        <v>0</v>
      </c>
      <c r="B142" s="42"/>
      <c r="C142" s="43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Inicio]]=Z141,TAB_HISTORICO_MANUT[[#This Row],[Equipamento]]=AA141,TAB_HISTORICO_MANUT[[#This Row],[Descricao Despacho]]=AD141),0,1)))</f>
        <v>0</v>
      </c>
      <c r="O14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142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14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142" s="50">
        <f>IF($Q142="","",(TAB_HISTORICO_MANUT[[#This Row],[Hora Final]]-TAB_HISTORICO_MANUT[[#This Row],[Hora Inicio]])*24)</f>
        <v>4.2680555554688908</v>
      </c>
      <c r="S14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142" s="54" t="str">
        <f>IF(AND(TAB_HISTORICO_MANUT[[#This Row],[EXPURGO Mãe]]="SIM",TAB_HISTORICO_MANUT[[#This Row],[Tipo]]="MÃE"),"EXP.MAE",IF(TAB_HISTORICO_MANUT[[#This Row],[EXPURGO Mãe]]="NÃO","NÃO EXP.MAE",T141))</f>
        <v>EXP.MAE</v>
      </c>
      <c r="U14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42" s="56">
        <f>IF(TAB_HISTORICO_MANUT[[#This Row],[EXPURGO Filhas]]="SIM",MAX(TAB_HISTORICO_MANUT[[#This Row],[Hora Final]]-TAB_HISTORICO_MANUT[[#This Row],[Hora Inicio]],0),0)</f>
        <v>0</v>
      </c>
      <c r="W14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4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42" s="46">
        <v>46144.197164351855</v>
      </c>
      <c r="Z142" s="47">
        <v>46144.375</v>
      </c>
      <c r="AA142" s="48" t="s">
        <v>209</v>
      </c>
      <c r="AB142" s="48"/>
      <c r="AC142" s="43" t="s">
        <v>362</v>
      </c>
      <c r="AD142" s="46" t="s">
        <v>146</v>
      </c>
      <c r="AE142" s="46" t="s">
        <v>175</v>
      </c>
      <c r="AF142" s="88" t="s">
        <v>210</v>
      </c>
      <c r="AG142" s="105">
        <f>IF(TAB_HISTORICO_MANUT[[#This Row],[Hora Inicio]]="","",MONTH(TAB_HISTORICO_MANUT[[#This Row],[Hora Inicio]]))</f>
        <v>5</v>
      </c>
      <c r="AH142" s="58" t="s">
        <v>851</v>
      </c>
      <c r="AI142" s="43" t="s">
        <v>340</v>
      </c>
      <c r="AJ142" s="43" t="s">
        <v>341</v>
      </c>
      <c r="AK142" s="43"/>
      <c r="AL142" s="43"/>
      <c r="AM142" s="114"/>
      <c r="AN142" s="43"/>
      <c r="AO142" s="43"/>
      <c r="AP142" s="43"/>
    </row>
    <row r="143" spans="1:42" ht="50.1" customHeight="1" x14ac:dyDescent="0.25">
      <c r="A143" s="43">
        <f>MONTH(TAB_HISTORICO_MANUT[[#This Row],[Hora Final]])-MONTH(TAB_HISTORICO_MANUT[[#This Row],[Hora Inicio]])</f>
        <v>0</v>
      </c>
      <c r="B143" s="42"/>
      <c r="C143" s="43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Inicio]]=Z142,TAB_HISTORICO_MANUT[[#This Row],[Equipamento]]=AA142,TAB_HISTORICO_MANUT[[#This Row],[Descricao Despacho]]=AD142),0,1)))</f>
        <v>0</v>
      </c>
      <c r="O14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143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14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143" s="50">
        <f>IF($Q143="","",(TAB_HISTORICO_MANUT[[#This Row],[Hora Final]]-TAB_HISTORICO_MANUT[[#This Row],[Hora Inicio]])*24)</f>
        <v>5.1747222222620621</v>
      </c>
      <c r="S14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43" s="54" t="str">
        <f>IF(AND(TAB_HISTORICO_MANUT[[#This Row],[EXPURGO Mãe]]="SIM",TAB_HISTORICO_MANUT[[#This Row],[Tipo]]="MÃE"),"EXP.MAE",IF(TAB_HISTORICO_MANUT[[#This Row],[EXPURGO Mãe]]="NÃO","NÃO EXP.MAE",T142))</f>
        <v>NÃO EXP.MAE</v>
      </c>
      <c r="U14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43" s="56">
        <f>IF(TAB_HISTORICO_MANUT[[#This Row],[EXPURGO Filhas]]="SIM",MAX(TAB_HISTORICO_MANUT[[#This Row],[Hora Final]]-TAB_HISTORICO_MANUT[[#This Row],[Hora Inicio]],0),0)</f>
        <v>0</v>
      </c>
      <c r="W14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4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43" s="46">
        <v>46144.375</v>
      </c>
      <c r="Z143" s="47">
        <v>46144.590613425928</v>
      </c>
      <c r="AA143" s="48" t="s">
        <v>209</v>
      </c>
      <c r="AB143" s="48"/>
      <c r="AC143" s="43" t="s">
        <v>302</v>
      </c>
      <c r="AD143" s="46" t="s">
        <v>146</v>
      </c>
      <c r="AE143" s="46" t="s">
        <v>311</v>
      </c>
      <c r="AF143" s="88" t="s">
        <v>210</v>
      </c>
      <c r="AG143" s="105">
        <f>IF(TAB_HISTORICO_MANUT[[#This Row],[Hora Inicio]]="","",MONTH(TAB_HISTORICO_MANUT[[#This Row],[Hora Inicio]]))</f>
        <v>5</v>
      </c>
      <c r="AH143" s="58" t="s">
        <v>851</v>
      </c>
      <c r="AI143" s="43" t="s">
        <v>340</v>
      </c>
      <c r="AJ143" s="43" t="s">
        <v>341</v>
      </c>
      <c r="AK143" s="43"/>
      <c r="AL143" s="43"/>
      <c r="AM143" s="114"/>
      <c r="AN143" s="43"/>
      <c r="AO143" s="43"/>
      <c r="AP143" s="43"/>
    </row>
    <row r="144" spans="1:42" ht="50.1" customHeight="1" x14ac:dyDescent="0.25">
      <c r="A144" s="43">
        <f>MONTH(TAB_HISTORICO_MANUT[[#This Row],[Hora Final]])-MONTH(TAB_HISTORICO_MANUT[[#This Row],[Hora Inicio]])</f>
        <v>0</v>
      </c>
      <c r="B144" s="42"/>
      <c r="C144" s="43"/>
      <c r="D144" s="42"/>
      <c r="E144" s="42"/>
      <c r="F144" s="42"/>
      <c r="G144" s="42"/>
      <c r="H144" s="42"/>
      <c r="I144" s="42"/>
      <c r="J144" s="42"/>
      <c r="K144" s="42"/>
      <c r="L144" s="42"/>
      <c r="M144" s="42" t="s">
        <v>98</v>
      </c>
      <c r="N144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Inicio]]=Z143,TAB_HISTORICO_MANUT[[#This Row],[Equipamento]]=AA143,TAB_HISTORICO_MANUT[[#This Row],[Descricao Despacho]]=AD143),0,1)))</f>
        <v/>
      </c>
      <c r="O14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144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14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144" s="50" t="str">
        <f>IF($Q144="","",(TAB_HISTORICO_MANUT[[#This Row],[Hora Final]]-TAB_HISTORICO_MANUT[[#This Row],[Hora Inicio]])*24)</f>
        <v/>
      </c>
      <c r="S14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144" s="54" t="str">
        <f>IF(AND(TAB_HISTORICO_MANUT[[#This Row],[EXPURGO Mãe]]="SIM",TAB_HISTORICO_MANUT[[#This Row],[Tipo]]="MÃE"),"EXP.MAE",IF(TAB_HISTORICO_MANUT[[#This Row],[EXPURGO Mãe]]="NÃO","NÃO EXP.MAE",T143))</f>
        <v>NÃO EXP.MAE</v>
      </c>
      <c r="U14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144" s="56">
        <f>IF(TAB_HISTORICO_MANUT[[#This Row],[EXPURGO Filhas]]="SIM",MAX(TAB_HISTORICO_MANUT[[#This Row],[Hora Final]]-TAB_HISTORICO_MANUT[[#This Row],[Hora Inicio]],0),0)</f>
        <v>4.8946759263344575E-2</v>
      </c>
      <c r="W14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4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44" s="46">
        <v>46144.541666666664</v>
      </c>
      <c r="Z144" s="47">
        <v>46144.590613425928</v>
      </c>
      <c r="AA144" s="48" t="s">
        <v>209</v>
      </c>
      <c r="AB144" s="48"/>
      <c r="AC144" s="43" t="s">
        <v>302</v>
      </c>
      <c r="AD144" s="46" t="s">
        <v>146</v>
      </c>
      <c r="AE144" s="46" t="s">
        <v>311</v>
      </c>
      <c r="AF144" s="88" t="s">
        <v>767</v>
      </c>
      <c r="AG144" s="105">
        <f>IF(TAB_HISTORICO_MANUT[[#This Row],[Hora Inicio]]="","",MONTH(TAB_HISTORICO_MANUT[[#This Row],[Hora Inicio]]))</f>
        <v>5</v>
      </c>
      <c r="AH144" s="58" t="s">
        <v>1282</v>
      </c>
      <c r="AI144" s="43" t="s">
        <v>340</v>
      </c>
      <c r="AJ144" s="43" t="s">
        <v>341</v>
      </c>
      <c r="AK144" s="43"/>
      <c r="AL144" s="43"/>
      <c r="AM144" s="114"/>
      <c r="AN144" s="43"/>
      <c r="AO144" s="43"/>
      <c r="AP144" s="43"/>
    </row>
    <row r="145" spans="1:42" ht="50.1" customHeight="1" x14ac:dyDescent="0.25">
      <c r="A145" s="43">
        <f>MONTH(TAB_HISTORICO_MANUT[[#This Row],[Hora Final]])-MONTH(TAB_HISTORICO_MANUT[[#This Row],[Hora Inicio]])</f>
        <v>0</v>
      </c>
      <c r="B145" s="42"/>
      <c r="C145" s="43"/>
      <c r="D145" s="42"/>
      <c r="E145" s="42"/>
      <c r="F145" s="42"/>
      <c r="G145" s="42"/>
      <c r="H145" s="42"/>
      <c r="I145" s="42"/>
      <c r="J145" s="42"/>
      <c r="K145" s="42"/>
      <c r="L145" s="42">
        <v>0</v>
      </c>
      <c r="M145" s="42"/>
      <c r="N14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Inicio]]=Z144,TAB_HISTORICO_MANUT[[#This Row],[Equipamento]]=AA144,TAB_HISTORICO_MANUT[[#This Row],[Descricao Despacho]]=AD144),0,1)))</f>
        <v>0</v>
      </c>
      <c r="O14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145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14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145" s="50">
        <f>IF($Q145="","",(TAB_HISTORICO_MANUT[[#This Row],[Hora Final]]-TAB_HISTORICO_MANUT[[#This Row],[Hora Inicio]])*24)</f>
        <v>27.674722222262062</v>
      </c>
      <c r="S14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45" s="54" t="str">
        <f>IF(AND(TAB_HISTORICO_MANUT[[#This Row],[EXPURGO Mãe]]="SIM",TAB_HISTORICO_MANUT[[#This Row],[Tipo]]="MÃE"),"EXP.MAE",IF(TAB_HISTORICO_MANUT[[#This Row],[EXPURGO Mãe]]="NÃO","NÃO EXP.MAE",T144))</f>
        <v>NÃO EXP.MAE</v>
      </c>
      <c r="U14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45" s="56">
        <f>IF(TAB_HISTORICO_MANUT[[#This Row],[EXPURGO Filhas]]="SIM",MAX(TAB_HISTORICO_MANUT[[#This Row],[Hora Final]]-TAB_HISTORICO_MANUT[[#This Row],[Hora Inicio]],0),0)</f>
        <v>0</v>
      </c>
      <c r="W14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4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45" s="46">
        <v>46144.590613425928</v>
      </c>
      <c r="Z145" s="47">
        <v>46145.743726851855</v>
      </c>
      <c r="AA145" s="48" t="s">
        <v>209</v>
      </c>
      <c r="AB145" s="48"/>
      <c r="AC145" s="43" t="s">
        <v>301</v>
      </c>
      <c r="AD145" s="46" t="s">
        <v>146</v>
      </c>
      <c r="AE145" s="46" t="s">
        <v>310</v>
      </c>
      <c r="AF145" s="88" t="s">
        <v>210</v>
      </c>
      <c r="AG145" s="105">
        <f>IF(TAB_HISTORICO_MANUT[[#This Row],[Hora Inicio]]="","",MONTH(TAB_HISTORICO_MANUT[[#This Row],[Hora Inicio]]))</f>
        <v>5</v>
      </c>
      <c r="AH145" s="58" t="s">
        <v>851</v>
      </c>
      <c r="AI145" s="43" t="s">
        <v>340</v>
      </c>
      <c r="AJ145" s="43" t="s">
        <v>341</v>
      </c>
      <c r="AK145" s="43"/>
      <c r="AL145" s="43"/>
      <c r="AM145" s="114"/>
      <c r="AN145" s="43"/>
      <c r="AO145" s="43"/>
      <c r="AP145" s="43"/>
    </row>
    <row r="146" spans="1:42" ht="50.1" customHeight="1" x14ac:dyDescent="0.25">
      <c r="A146" s="43">
        <f>MONTH(TAB_HISTORICO_MANUT[[#This Row],[Hora Final]])-MONTH(TAB_HISTORICO_MANUT[[#This Row],[Hora Inicio]])</f>
        <v>0</v>
      </c>
      <c r="B146" s="42"/>
      <c r="C146" s="43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Inicio]]=Z145,TAB_HISTORICO_MANUT[[#This Row],[Equipamento]]=AA145,TAB_HISTORICO_MANUT[[#This Row],[Descricao Despacho]]=AD145),0,1)))</f>
        <v>1</v>
      </c>
      <c r="O14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14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4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46" s="50">
        <f>IF($Q146="","",(TAB_HISTORICO_MANUT[[#This Row],[Hora Final]]-TAB_HISTORICO_MANUT[[#This Row],[Hora Inicio]])*24)</f>
        <v>1.058888888801448</v>
      </c>
      <c r="S14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46" s="54" t="str">
        <f>IF(AND(TAB_HISTORICO_MANUT[[#This Row],[EXPURGO Mãe]]="SIM",TAB_HISTORICO_MANUT[[#This Row],[Tipo]]="MÃE"),"EXP.MAE",IF(TAB_HISTORICO_MANUT[[#This Row],[EXPURGO Mãe]]="NÃO","NÃO EXP.MAE",T145))</f>
        <v>NÃO EXP.MAE</v>
      </c>
      <c r="U14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46" s="56">
        <f>IF(TAB_HISTORICO_MANUT[[#This Row],[EXPURGO Filhas]]="SIM",MAX(TAB_HISTORICO_MANUT[[#This Row],[Hora Final]]-TAB_HISTORICO_MANUT[[#This Row],[Hora Inicio]],0),0)</f>
        <v>0</v>
      </c>
      <c r="W14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4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46" s="46">
        <v>46145.831620370373</v>
      </c>
      <c r="Z146" s="47">
        <v>46145.875740740739</v>
      </c>
      <c r="AA146" s="48" t="s">
        <v>209</v>
      </c>
      <c r="AB146" s="48" t="s">
        <v>945</v>
      </c>
      <c r="AC146" s="43" t="s">
        <v>204</v>
      </c>
      <c r="AD146" s="46" t="s">
        <v>144</v>
      </c>
      <c r="AE146" s="46" t="s">
        <v>172</v>
      </c>
      <c r="AF146" s="88" t="s">
        <v>210</v>
      </c>
      <c r="AG146" s="105">
        <f>IF(TAB_HISTORICO_MANUT[[#This Row],[Hora Inicio]]="","",MONTH(TAB_HISTORICO_MANUT[[#This Row],[Hora Inicio]]))</f>
        <v>5</v>
      </c>
      <c r="AH146" s="58" t="s">
        <v>950</v>
      </c>
      <c r="AI146" s="43" t="s">
        <v>22</v>
      </c>
      <c r="AJ146" s="43" t="s">
        <v>717</v>
      </c>
      <c r="AK146" s="43" t="s">
        <v>613</v>
      </c>
      <c r="AL146" s="43" t="s">
        <v>354</v>
      </c>
      <c r="AM146" s="114" t="s">
        <v>355</v>
      </c>
      <c r="AN146" s="43" t="s">
        <v>215</v>
      </c>
      <c r="AO146" s="43" t="s">
        <v>546</v>
      </c>
      <c r="AP146" s="43" t="s">
        <v>939</v>
      </c>
    </row>
    <row r="147" spans="1:42" ht="50.1" customHeight="1" x14ac:dyDescent="0.25">
      <c r="A147" s="115">
        <f>MONTH(TAB_HISTORICO_MANUT[[#This Row],[Hora Final]])-MONTH(TAB_HISTORICO_MANUT[[#This Row],[Hora Inicio]])</f>
        <v>0</v>
      </c>
      <c r="B147" s="116"/>
      <c r="C147" s="115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Inicio]]=Z146,TAB_HISTORICO_MANUT[[#This Row],[Equipamento]]=AA146,TAB_HISTORICO_MANUT[[#This Row],[Descricao Despacho]]=AD146),0,1)))</f>
        <v>1</v>
      </c>
      <c r="O14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14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4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147" s="107">
        <f>IF($Q147="","",(TAB_HISTORICO_MANUT[[#This Row],[Hora Final]]-TAB_HISTORICO_MANUT[[#This Row],[Hora Inicio]])*24)</f>
        <v>0.8036111110704951</v>
      </c>
      <c r="S14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147" s="109" t="str">
        <f>IF(AND(TAB_HISTORICO_MANUT[[#This Row],[EXPURGO Mãe]]="SIM",TAB_HISTORICO_MANUT[[#This Row],[Tipo]]="MÃE"),"EXP.MAE",IF(TAB_HISTORICO_MANUT[[#This Row],[EXPURGO Mãe]]="NÃO","NÃO EXP.MAE",T146))</f>
        <v>EXP.MAE</v>
      </c>
      <c r="U14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47" s="110">
        <f>IF(TAB_HISTORICO_MANUT[[#This Row],[EXPURGO Filhas]]="SIM",MAX(TAB_HISTORICO_MANUT[[#This Row],[Hora Final]]-TAB_HISTORICO_MANUT[[#This Row],[Hora Inicio]],0),0)</f>
        <v>0</v>
      </c>
      <c r="W14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4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47" s="117">
        <v>46146.14234953704</v>
      </c>
      <c r="Z147" s="118">
        <v>46146.175833333335</v>
      </c>
      <c r="AA147" s="119" t="s">
        <v>209</v>
      </c>
      <c r="AB147" s="119" t="s">
        <v>946</v>
      </c>
      <c r="AC147" s="115" t="s">
        <v>212</v>
      </c>
      <c r="AD147" s="117" t="s">
        <v>144</v>
      </c>
      <c r="AE147" s="117" t="s">
        <v>214</v>
      </c>
      <c r="AF147" s="88" t="s">
        <v>210</v>
      </c>
      <c r="AG147" s="105">
        <f>IF(TAB_HISTORICO_MANUT[[#This Row],[Hora Inicio]]="","",MONTH(TAB_HISTORICO_MANUT[[#This Row],[Hora Inicio]]))</f>
        <v>5</v>
      </c>
      <c r="AH147" s="120" t="s">
        <v>951</v>
      </c>
      <c r="AI147" s="115" t="s">
        <v>82</v>
      </c>
      <c r="AJ147" s="115" t="s">
        <v>82</v>
      </c>
      <c r="AK147" s="115" t="s">
        <v>290</v>
      </c>
      <c r="AL147" s="115" t="s">
        <v>526</v>
      </c>
      <c r="AM147" s="115" t="s">
        <v>527</v>
      </c>
      <c r="AN147" s="115" t="s">
        <v>241</v>
      </c>
      <c r="AO147" s="115" t="s">
        <v>940</v>
      </c>
      <c r="AP147" s="115" t="s">
        <v>941</v>
      </c>
    </row>
    <row r="148" spans="1:42" ht="50.1" customHeight="1" x14ac:dyDescent="0.25">
      <c r="A148" s="43">
        <f>MONTH(TAB_HISTORICO_MANUT[[#This Row],[Hora Final]])-MONTH(TAB_HISTORICO_MANUT[[#This Row],[Hora Inicio]])</f>
        <v>0</v>
      </c>
      <c r="B148" s="42"/>
      <c r="C148" s="43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Inicio]]=Z147,TAB_HISTORICO_MANUT[[#This Row],[Equipamento]]=AA147,TAB_HISTORICO_MANUT[[#This Row],[Descricao Despacho]]=AD147),0,1)))</f>
        <v>1</v>
      </c>
      <c r="O14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148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4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48" s="50">
        <f>IF($Q148="","",(TAB_HISTORICO_MANUT[[#This Row],[Hora Final]]-TAB_HISTORICO_MANUT[[#This Row],[Hora Inicio]])*24)</f>
        <v>2.032777777814772</v>
      </c>
      <c r="S14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48" s="54" t="str">
        <f>IF(AND(TAB_HISTORICO_MANUT[[#This Row],[EXPURGO Mãe]]="SIM",TAB_HISTORICO_MANUT[[#This Row],[Tipo]]="MÃE"),"EXP.MAE",IF(TAB_HISTORICO_MANUT[[#This Row],[EXPURGO Mãe]]="NÃO","NÃO EXP.MAE",T147))</f>
        <v>NÃO EXP.MAE</v>
      </c>
      <c r="U14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48" s="56">
        <f>IF(TAB_HISTORICO_MANUT[[#This Row],[EXPURGO Filhas]]="SIM",MAX(TAB_HISTORICO_MANUT[[#This Row],[Hora Final]]-TAB_HISTORICO_MANUT[[#This Row],[Hora Inicio]],0),0)</f>
        <v>0</v>
      </c>
      <c r="W14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4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48" s="46">
        <v>46147.554560185185</v>
      </c>
      <c r="Z148" s="47">
        <v>46147.63925925926</v>
      </c>
      <c r="AA148" s="48" t="s">
        <v>209</v>
      </c>
      <c r="AB148" s="48">
        <v>202602293276</v>
      </c>
      <c r="AC148" s="43" t="s">
        <v>204</v>
      </c>
      <c r="AD148" s="46" t="s">
        <v>144</v>
      </c>
      <c r="AE148" s="46" t="s">
        <v>172</v>
      </c>
      <c r="AF148" s="88" t="s">
        <v>210</v>
      </c>
      <c r="AG148" s="105">
        <f>IF(TAB_HISTORICO_MANUT[[#This Row],[Hora Inicio]]="","",MONTH(TAB_HISTORICO_MANUT[[#This Row],[Hora Inicio]]))</f>
        <v>5</v>
      </c>
      <c r="AH148" s="58" t="s">
        <v>959</v>
      </c>
      <c r="AI148" s="43" t="s">
        <v>22</v>
      </c>
      <c r="AJ148" s="43" t="s">
        <v>962</v>
      </c>
      <c r="AK148" s="43" t="s">
        <v>963</v>
      </c>
      <c r="AL148" s="43" t="s">
        <v>82</v>
      </c>
      <c r="AM148" s="114" t="s">
        <v>276</v>
      </c>
      <c r="AN148" s="43"/>
      <c r="AO148" s="43"/>
      <c r="AP148" s="43"/>
    </row>
    <row r="149" spans="1:42" ht="50.1" customHeight="1" x14ac:dyDescent="0.25">
      <c r="A149" s="43">
        <f>MONTH(TAB_HISTORICO_MANUT[[#This Row],[Hora Final]])-MONTH(TAB_HISTORICO_MANUT[[#This Row],[Hora Inicio]])</f>
        <v>0</v>
      </c>
      <c r="B149" s="42"/>
      <c r="C149" s="43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Inicio]]=Z148,TAB_HISTORICO_MANUT[[#This Row],[Equipamento]]=AA148,TAB_HISTORICO_MANUT[[#This Row],[Descricao Despacho]]=AD148),0,1)))</f>
        <v>1</v>
      </c>
      <c r="O14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ELEVAÇÃO</v>
      </c>
      <c r="P149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4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49" s="50">
        <f>IF($Q149="","",(TAB_HISTORICO_MANUT[[#This Row],[Hora Final]]-TAB_HISTORICO_MANUT[[#This Row],[Hora Inicio]])*24)</f>
        <v>3.222222222131677</v>
      </c>
      <c r="S14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49" s="54" t="str">
        <f>IF(AND(TAB_HISTORICO_MANUT[[#This Row],[EXPURGO Mãe]]="SIM",TAB_HISTORICO_MANUT[[#This Row],[Tipo]]="MÃE"),"EXP.MAE",IF(TAB_HISTORICO_MANUT[[#This Row],[EXPURGO Mãe]]="NÃO","NÃO EXP.MAE",T148))</f>
        <v>NÃO EXP.MAE</v>
      </c>
      <c r="U14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49" s="56">
        <f>IF(TAB_HISTORICO_MANUT[[#This Row],[EXPURGO Filhas]]="SIM",MAX(TAB_HISTORICO_MANUT[[#This Row],[Hora Final]]-TAB_HISTORICO_MANUT[[#This Row],[Hora Inicio]],0),0)</f>
        <v>0</v>
      </c>
      <c r="W14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4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49" s="46">
        <v>46148.217789351853</v>
      </c>
      <c r="Z149" s="47">
        <v>46148.352048611108</v>
      </c>
      <c r="AA149" s="48" t="s">
        <v>209</v>
      </c>
      <c r="AB149" s="48" t="s">
        <v>967</v>
      </c>
      <c r="AC149" s="43" t="s">
        <v>204</v>
      </c>
      <c r="AD149" s="46" t="s">
        <v>144</v>
      </c>
      <c r="AE149" s="46" t="s">
        <v>172</v>
      </c>
      <c r="AF149" s="88" t="s">
        <v>210</v>
      </c>
      <c r="AG149" s="105">
        <f>IF(TAB_HISTORICO_MANUT[[#This Row],[Hora Inicio]]="","",MONTH(TAB_HISTORICO_MANUT[[#This Row],[Hora Inicio]]))</f>
        <v>5</v>
      </c>
      <c r="AH149" s="58" t="s">
        <v>966</v>
      </c>
      <c r="AI149" s="43" t="s">
        <v>44</v>
      </c>
      <c r="AJ149" s="43" t="s">
        <v>968</v>
      </c>
      <c r="AK149" s="43" t="s">
        <v>969</v>
      </c>
      <c r="AL149" s="43" t="s">
        <v>970</v>
      </c>
      <c r="AM149" s="114" t="s">
        <v>531</v>
      </c>
      <c r="AN149" s="43" t="s">
        <v>217</v>
      </c>
      <c r="AO149" s="43" t="s">
        <v>964</v>
      </c>
      <c r="AP149" s="43" t="s">
        <v>965</v>
      </c>
    </row>
    <row r="150" spans="1:42" ht="50.1" customHeight="1" x14ac:dyDescent="0.25">
      <c r="A150" s="43">
        <f>MONTH(TAB_HISTORICO_MANUT[[#This Row],[Hora Final]])-MONTH(TAB_HISTORICO_MANUT[[#This Row],[Hora Inicio]])</f>
        <v>0</v>
      </c>
      <c r="B150" s="42"/>
      <c r="C150" s="43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Inicio]]=Z149,TAB_HISTORICO_MANUT[[#This Row],[Equipamento]]=AA149,TAB_HISTORICO_MANUT[[#This Row],[Descricao Despacho]]=AD149),0,1)))</f>
        <v>1</v>
      </c>
      <c r="O15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150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5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50" s="50">
        <f>IF($Q150="","",(TAB_HISTORICO_MANUT[[#This Row],[Hora Final]]-TAB_HISTORICO_MANUT[[#This Row],[Hora Inicio]])*24)</f>
        <v>0.81749999988824129</v>
      </c>
      <c r="S15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50" s="54" t="str">
        <f>IF(AND(TAB_HISTORICO_MANUT[[#This Row],[EXPURGO Mãe]]="SIM",TAB_HISTORICO_MANUT[[#This Row],[Tipo]]="MÃE"),"EXP.MAE",IF(TAB_HISTORICO_MANUT[[#This Row],[EXPURGO Mãe]]="NÃO","NÃO EXP.MAE",T149))</f>
        <v>NÃO EXP.MAE</v>
      </c>
      <c r="U15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50" s="56">
        <f>IF(TAB_HISTORICO_MANUT[[#This Row],[EXPURGO Filhas]]="SIM",MAX(TAB_HISTORICO_MANUT[[#This Row],[Hora Final]]-TAB_HISTORICO_MANUT[[#This Row],[Hora Inicio]],0),0)</f>
        <v>0</v>
      </c>
      <c r="W15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5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50" s="46">
        <v>46152.204409722224</v>
      </c>
      <c r="Z150" s="47">
        <v>46152.23847222222</v>
      </c>
      <c r="AA150" s="48" t="s">
        <v>209</v>
      </c>
      <c r="AB150" s="48" t="s">
        <v>979</v>
      </c>
      <c r="AC150" s="43" t="s">
        <v>204</v>
      </c>
      <c r="AD150" s="46" t="s">
        <v>144</v>
      </c>
      <c r="AE150" s="46" t="s">
        <v>172</v>
      </c>
      <c r="AF150" s="88" t="s">
        <v>210</v>
      </c>
      <c r="AG150" s="105">
        <f>IF(TAB_HISTORICO_MANUT[[#This Row],[Hora Inicio]]="","",MONTH(TAB_HISTORICO_MANUT[[#This Row],[Hora Inicio]]))</f>
        <v>5</v>
      </c>
      <c r="AH150" s="58" t="s">
        <v>975</v>
      </c>
      <c r="AI150" s="43" t="s">
        <v>235</v>
      </c>
      <c r="AJ150" s="43" t="s">
        <v>717</v>
      </c>
      <c r="AK150" s="43" t="s">
        <v>422</v>
      </c>
      <c r="AL150" s="43" t="s">
        <v>279</v>
      </c>
      <c r="AM150" s="114" t="s">
        <v>280</v>
      </c>
      <c r="AN150" s="43" t="s">
        <v>217</v>
      </c>
      <c r="AO150" s="43" t="s">
        <v>729</v>
      </c>
      <c r="AP150" s="43" t="s">
        <v>403</v>
      </c>
    </row>
    <row r="151" spans="1:42" ht="50.1" customHeight="1" x14ac:dyDescent="0.25">
      <c r="A151" s="43">
        <f>MONTH(TAB_HISTORICO_MANUT[[#This Row],[Hora Final]])-MONTH(TAB_HISTORICO_MANUT[[#This Row],[Hora Inicio]])</f>
        <v>0</v>
      </c>
      <c r="B151" s="42"/>
      <c r="C151" s="43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Inicio]]=Z150,TAB_HISTORICO_MANUT[[#This Row],[Equipamento]]=AA150,TAB_HISTORICO_MANUT[[#This Row],[Descricao Despacho]]=AD150),0,1)))</f>
        <v>1</v>
      </c>
      <c r="O15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151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5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51" s="50">
        <f>IF($Q151="","",(TAB_HISTORICO_MANUT[[#This Row],[Hora Final]]-TAB_HISTORICO_MANUT[[#This Row],[Hora Inicio]])*24)</f>
        <v>4.091944444400724</v>
      </c>
      <c r="S15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51" s="54" t="str">
        <f>IF(AND(TAB_HISTORICO_MANUT[[#This Row],[EXPURGO Mãe]]="SIM",TAB_HISTORICO_MANUT[[#This Row],[Tipo]]="MÃE"),"EXP.MAE",IF(TAB_HISTORICO_MANUT[[#This Row],[EXPURGO Mãe]]="NÃO","NÃO EXP.MAE",T150))</f>
        <v>NÃO EXP.MAE</v>
      </c>
      <c r="U15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51" s="56">
        <f>IF(TAB_HISTORICO_MANUT[[#This Row],[EXPURGO Filhas]]="SIM",MAX(TAB_HISTORICO_MANUT[[#This Row],[Hora Final]]-TAB_HISTORICO_MANUT[[#This Row],[Hora Inicio]],0),0)</f>
        <v>0</v>
      </c>
      <c r="W15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5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51" s="46">
        <v>46154.070775462962</v>
      </c>
      <c r="Z151" s="47">
        <v>46154.241273148145</v>
      </c>
      <c r="AA151" s="48" t="s">
        <v>209</v>
      </c>
      <c r="AB151" s="48" t="s">
        <v>983</v>
      </c>
      <c r="AC151" s="43" t="s">
        <v>204</v>
      </c>
      <c r="AD151" s="46" t="s">
        <v>144</v>
      </c>
      <c r="AE151" s="46" t="s">
        <v>172</v>
      </c>
      <c r="AF151" s="88" t="s">
        <v>210</v>
      </c>
      <c r="AG151" s="105">
        <f>IF(TAB_HISTORICO_MANUT[[#This Row],[Hora Inicio]]="","",MONTH(TAB_HISTORICO_MANUT[[#This Row],[Hora Inicio]]))</f>
        <v>5</v>
      </c>
      <c r="AH151" s="58" t="s">
        <v>982</v>
      </c>
      <c r="AI151" s="43" t="s">
        <v>22</v>
      </c>
      <c r="AJ151" s="43" t="s">
        <v>284</v>
      </c>
      <c r="AK151" s="43" t="s">
        <v>284</v>
      </c>
      <c r="AL151" s="43" t="s">
        <v>275</v>
      </c>
      <c r="AM151" s="114" t="s">
        <v>276</v>
      </c>
      <c r="AN151" s="43" t="s">
        <v>217</v>
      </c>
      <c r="AO151" s="43" t="s">
        <v>682</v>
      </c>
      <c r="AP151" s="43" t="s">
        <v>837</v>
      </c>
    </row>
    <row r="152" spans="1:42" ht="50.1" customHeight="1" x14ac:dyDescent="0.25">
      <c r="A152" s="43">
        <f>MONTH(TAB_HISTORICO_MANUT[[#This Row],[Hora Final]])-MONTH(TAB_HISTORICO_MANUT[[#This Row],[Hora Inicio]])</f>
        <v>0</v>
      </c>
      <c r="B152" s="42"/>
      <c r="C152" s="43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Inicio]]=Z151,TAB_HISTORICO_MANUT[[#This Row],[Equipamento]]=AA151,TAB_HISTORICO_MANUT[[#This Row],[Descricao Despacho]]=AD151),0,1)))</f>
        <v>1</v>
      </c>
      <c r="O15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152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5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52" s="50">
        <f>IF($Q152="","",(TAB_HISTORICO_MANUT[[#This Row],[Hora Final]]-TAB_HISTORICO_MANUT[[#This Row],[Hora Inicio]])*24)</f>
        <v>4.1452777778031304</v>
      </c>
      <c r="S15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52" s="54" t="str">
        <f>IF(AND(TAB_HISTORICO_MANUT[[#This Row],[EXPURGO Mãe]]="SIM",TAB_HISTORICO_MANUT[[#This Row],[Tipo]]="MÃE"),"EXP.MAE",IF(TAB_HISTORICO_MANUT[[#This Row],[EXPURGO Mãe]]="NÃO","NÃO EXP.MAE",T151))</f>
        <v>NÃO EXP.MAE</v>
      </c>
      <c r="U15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52" s="56">
        <f>IF(TAB_HISTORICO_MANUT[[#This Row],[EXPURGO Filhas]]="SIM",MAX(TAB_HISTORICO_MANUT[[#This Row],[Hora Final]]-TAB_HISTORICO_MANUT[[#This Row],[Hora Inicio]],0),0)</f>
        <v>0</v>
      </c>
      <c r="W15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5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52" s="46">
        <v>46155.686377314814</v>
      </c>
      <c r="Z152" s="47">
        <v>46155.859097222223</v>
      </c>
      <c r="AA152" s="48" t="s">
        <v>209</v>
      </c>
      <c r="AB152" s="48" t="s">
        <v>988</v>
      </c>
      <c r="AC152" s="48" t="s">
        <v>204</v>
      </c>
      <c r="AD152" s="46" t="s">
        <v>144</v>
      </c>
      <c r="AE152" s="46" t="s">
        <v>172</v>
      </c>
      <c r="AF152" s="88" t="s">
        <v>210</v>
      </c>
      <c r="AG152" s="105">
        <f>IF(TAB_HISTORICO_MANUT[[#This Row],[Hora Inicio]]="","",MONTH(TAB_HISTORICO_MANUT[[#This Row],[Hora Inicio]]))</f>
        <v>5</v>
      </c>
      <c r="AH152" s="58" t="s">
        <v>986</v>
      </c>
      <c r="AI152" s="43" t="s">
        <v>22</v>
      </c>
      <c r="AJ152" s="43" t="s">
        <v>23</v>
      </c>
      <c r="AK152" s="43" t="s">
        <v>719</v>
      </c>
      <c r="AL152" s="43" t="s">
        <v>479</v>
      </c>
      <c r="AM152" s="114" t="s">
        <v>283</v>
      </c>
      <c r="AN152" s="43" t="s">
        <v>215</v>
      </c>
      <c r="AO152" s="43" t="s">
        <v>408</v>
      </c>
      <c r="AP152" s="43" t="s">
        <v>984</v>
      </c>
    </row>
    <row r="153" spans="1:42" ht="50.1" customHeight="1" x14ac:dyDescent="0.25">
      <c r="A153" s="43">
        <f>MONTH(TAB_HISTORICO_MANUT[[#This Row],[Hora Final]])-MONTH(TAB_HISTORICO_MANUT[[#This Row],[Hora Inicio]])</f>
        <v>0</v>
      </c>
      <c r="B153" s="42"/>
      <c r="C153" s="43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Inicio]]=Z152,TAB_HISTORICO_MANUT[[#This Row],[Equipamento]]=AA152,TAB_HISTORICO_MANUT[[#This Row],[Descricao Despacho]]=AD152),0,1)))</f>
        <v/>
      </c>
      <c r="O15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153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15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153" s="50" t="str">
        <f>IF($Q153="","",(TAB_HISTORICO_MANUT[[#This Row],[Hora Final]]-TAB_HISTORICO_MANUT[[#This Row],[Hora Inicio]])*24)</f>
        <v/>
      </c>
      <c r="S15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153" s="54" t="str">
        <f>IF(AND(TAB_HISTORICO_MANUT[[#This Row],[EXPURGO Mãe]]="SIM",TAB_HISTORICO_MANUT[[#This Row],[Tipo]]="MÃE"),"EXP.MAE",IF(TAB_HISTORICO_MANUT[[#This Row],[EXPURGO Mãe]]="NÃO","NÃO EXP.MAE",T152))</f>
        <v>NÃO EXP.MAE</v>
      </c>
      <c r="U15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153" s="56">
        <f>IF(TAB_HISTORICO_MANUT[[#This Row],[EXPURGO Filhas]]="SIM",MAX(TAB_HISTORICO_MANUT[[#This Row],[Hora Final]]-TAB_HISTORICO_MANUT[[#This Row],[Hora Inicio]],0),0)</f>
        <v>6.3622685185691807E-2</v>
      </c>
      <c r="W15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5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53" s="46">
        <v>46155.686377314814</v>
      </c>
      <c r="Z153" s="47">
        <v>46155.75</v>
      </c>
      <c r="AA153" s="48" t="s">
        <v>209</v>
      </c>
      <c r="AB153" s="48" t="s">
        <v>988</v>
      </c>
      <c r="AC153" s="48" t="s">
        <v>204</v>
      </c>
      <c r="AD153" s="46" t="s">
        <v>144</v>
      </c>
      <c r="AE153" s="46" t="s">
        <v>772</v>
      </c>
      <c r="AF153" s="88" t="s">
        <v>767</v>
      </c>
      <c r="AG153" s="105">
        <f>IF(TAB_HISTORICO_MANUT[[#This Row],[Hora Inicio]]="","",MONTH(TAB_HISTORICO_MANUT[[#This Row],[Hora Inicio]]))</f>
        <v>5</v>
      </c>
      <c r="AH153" s="58" t="s">
        <v>1285</v>
      </c>
      <c r="AI153" s="43" t="s">
        <v>22</v>
      </c>
      <c r="AJ153" s="43" t="s">
        <v>23</v>
      </c>
      <c r="AK153" s="43" t="s">
        <v>719</v>
      </c>
      <c r="AL153" s="43" t="s">
        <v>479</v>
      </c>
      <c r="AM153" s="114" t="s">
        <v>283</v>
      </c>
      <c r="AN153" s="43"/>
      <c r="AO153" s="43"/>
      <c r="AP153" s="43"/>
    </row>
    <row r="154" spans="1:42" ht="50.1" customHeight="1" x14ac:dyDescent="0.25">
      <c r="A154" s="43">
        <f>MONTH(TAB_HISTORICO_MANUT[[#This Row],[Hora Final]])-MONTH(TAB_HISTORICO_MANUT[[#This Row],[Hora Inicio]])</f>
        <v>0</v>
      </c>
      <c r="B154" s="42"/>
      <c r="C154" s="43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Inicio]]=Z153,TAB_HISTORICO_MANUT[[#This Row],[Equipamento]]=AA153,TAB_HISTORICO_MANUT[[#This Row],[Descricao Despacho]]=AD153),0,1)))</f>
        <v>1</v>
      </c>
      <c r="O15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154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5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154" s="50">
        <f>IF($Q154="","",(TAB_HISTORICO_MANUT[[#This Row],[Hora Final]]-TAB_HISTORICO_MANUT[[#This Row],[Hora Inicio]])*24)</f>
        <v>0.76749999989988282</v>
      </c>
      <c r="S15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154" s="54" t="str">
        <f>IF(AND(TAB_HISTORICO_MANUT[[#This Row],[EXPURGO Mãe]]="SIM",TAB_HISTORICO_MANUT[[#This Row],[Tipo]]="MÃE"),"EXP.MAE",IF(TAB_HISTORICO_MANUT[[#This Row],[EXPURGO Mãe]]="NÃO","NÃO EXP.MAE",T153))</f>
        <v>EXP.MAE</v>
      </c>
      <c r="U15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54" s="56">
        <f>IF(TAB_HISTORICO_MANUT[[#This Row],[EXPURGO Filhas]]="SIM",MAX(TAB_HISTORICO_MANUT[[#This Row],[Hora Final]]-TAB_HISTORICO_MANUT[[#This Row],[Hora Inicio]],0),0)</f>
        <v>0</v>
      </c>
      <c r="W15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5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54" s="46">
        <v>46157.060486111113</v>
      </c>
      <c r="Z154" s="47">
        <v>46157.092465277776</v>
      </c>
      <c r="AA154" s="48" t="s">
        <v>209</v>
      </c>
      <c r="AB154" s="48" t="s">
        <v>999</v>
      </c>
      <c r="AC154" s="43" t="s">
        <v>212</v>
      </c>
      <c r="AD154" s="46" t="s">
        <v>144</v>
      </c>
      <c r="AE154" s="46" t="s">
        <v>214</v>
      </c>
      <c r="AF154" s="88" t="s">
        <v>210</v>
      </c>
      <c r="AG154" s="105">
        <f>IF(TAB_HISTORICO_MANUT[[#This Row],[Hora Inicio]]="","",MONTH(TAB_HISTORICO_MANUT[[#This Row],[Hora Inicio]]))</f>
        <v>5</v>
      </c>
      <c r="AH154" s="58" t="s">
        <v>995</v>
      </c>
      <c r="AI154" s="43" t="s">
        <v>82</v>
      </c>
      <c r="AJ154" s="43" t="s">
        <v>82</v>
      </c>
      <c r="AK154" s="43" t="s">
        <v>290</v>
      </c>
      <c r="AL154" s="43" t="s">
        <v>282</v>
      </c>
      <c r="AM154" s="114" t="s">
        <v>276</v>
      </c>
      <c r="AN154" s="43" t="s">
        <v>215</v>
      </c>
      <c r="AO154" s="43" t="s">
        <v>759</v>
      </c>
      <c r="AP154" s="43" t="s">
        <v>760</v>
      </c>
    </row>
    <row r="155" spans="1:42" ht="50.1" customHeight="1" x14ac:dyDescent="0.25">
      <c r="A155" s="43">
        <f>MONTH(TAB_HISTORICO_MANUT[[#This Row],[Hora Final]])-MONTH(TAB_HISTORICO_MANUT[[#This Row],[Hora Inicio]])</f>
        <v>0</v>
      </c>
      <c r="B155" s="42"/>
      <c r="C155" s="43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Inicio]]=Z154,TAB_HISTORICO_MANUT[[#This Row],[Equipamento]]=AA154,TAB_HISTORICO_MANUT[[#This Row],[Descricao Despacho]]=AD154),0,1)))</f>
        <v>1</v>
      </c>
      <c r="O15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155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15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155" s="50">
        <f>IF($Q155="","",(TAB_HISTORICO_MANUT[[#This Row],[Hora Final]]-TAB_HISTORICO_MANUT[[#This Row],[Hora Inicio]])*24)</f>
        <v>3.9155555554898456</v>
      </c>
      <c r="S15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55" s="54" t="str">
        <f>IF(AND(TAB_HISTORICO_MANUT[[#This Row],[EXPURGO Mãe]]="SIM",TAB_HISTORICO_MANUT[[#This Row],[Tipo]]="MÃE"),"EXP.MAE",IF(TAB_HISTORICO_MANUT[[#This Row],[EXPURGO Mãe]]="NÃO","NÃO EXP.MAE",T154))</f>
        <v>NÃO EXP.MAE</v>
      </c>
      <c r="U15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55" s="56">
        <f>IF(TAB_HISTORICO_MANUT[[#This Row],[EXPURGO Filhas]]="SIM",MAX(TAB_HISTORICO_MANUT[[#This Row],[Hora Final]]-TAB_HISTORICO_MANUT[[#This Row],[Hora Inicio]],0),0)</f>
        <v>0</v>
      </c>
      <c r="W15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5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55" s="126">
        <v>46159.593715277777</v>
      </c>
      <c r="Z155" s="47">
        <v>46159.756863425922</v>
      </c>
      <c r="AA155" s="48" t="s">
        <v>209</v>
      </c>
      <c r="AB155" s="48"/>
      <c r="AC155" s="43" t="s">
        <v>301</v>
      </c>
      <c r="AD155" s="46" t="s">
        <v>146</v>
      </c>
      <c r="AE155" s="46" t="s">
        <v>310</v>
      </c>
      <c r="AF155" s="88" t="s">
        <v>210</v>
      </c>
      <c r="AG155" s="105">
        <f>IF(TAB_HISTORICO_MANUT[[#This Row],[Hora Inicio]]="","",MONTH(TAB_HISTORICO_MANUT[[#This Row],[Hora Inicio]]))</f>
        <v>5</v>
      </c>
      <c r="AH155" s="58" t="s">
        <v>1007</v>
      </c>
      <c r="AI155" s="43" t="s">
        <v>340</v>
      </c>
      <c r="AJ155" s="43" t="s">
        <v>436</v>
      </c>
      <c r="AK155" s="43"/>
      <c r="AL155" s="43"/>
      <c r="AM155" s="114"/>
      <c r="AN155" s="43"/>
      <c r="AO155" s="43"/>
      <c r="AP155" s="43"/>
    </row>
    <row r="156" spans="1:42" ht="50.1" customHeight="1" x14ac:dyDescent="0.25">
      <c r="A156" s="43">
        <f>MONTH(TAB_HISTORICO_MANUT[[#This Row],[Hora Final]])-MONTH(TAB_HISTORICO_MANUT[[#This Row],[Hora Inicio]])</f>
        <v>0</v>
      </c>
      <c r="B156" s="42"/>
      <c r="C156" s="43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Inicio]]=Z155,TAB_HISTORICO_MANUT[[#This Row],[Equipamento]]=AA155,TAB_HISTORICO_MANUT[[#This Row],[Descricao Despacho]]=AD155),0,1)))</f>
        <v>1</v>
      </c>
      <c r="O15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AR CONDICIONADO</v>
      </c>
      <c r="P15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5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56" s="50">
        <f>IF($Q156="","",(TAB_HISTORICO_MANUT[[#This Row],[Hora Final]]-TAB_HISTORICO_MANUT[[#This Row],[Hora Inicio]])*24)</f>
        <v>0.81111111107748002</v>
      </c>
      <c r="S15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56" s="54" t="str">
        <f>IF(AND(TAB_HISTORICO_MANUT[[#This Row],[EXPURGO Mãe]]="SIM",TAB_HISTORICO_MANUT[[#This Row],[Tipo]]="MÃE"),"EXP.MAE",IF(TAB_HISTORICO_MANUT[[#This Row],[EXPURGO Mãe]]="NÃO","NÃO EXP.MAE",T155))</f>
        <v>NÃO EXP.MAE</v>
      </c>
      <c r="U15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56" s="56">
        <f>IF(TAB_HISTORICO_MANUT[[#This Row],[EXPURGO Filhas]]="SIM",MAX(TAB_HISTORICO_MANUT[[#This Row],[Hora Final]]-TAB_HISTORICO_MANUT[[#This Row],[Hora Inicio]],0),0)</f>
        <v>0</v>
      </c>
      <c r="W15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5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56" s="46">
        <v>46160.685416666667</v>
      </c>
      <c r="Z156" s="47">
        <v>46160.719212962962</v>
      </c>
      <c r="AA156" s="48" t="s">
        <v>209</v>
      </c>
      <c r="AB156" s="48">
        <v>202602550814</v>
      </c>
      <c r="AC156" s="43" t="s">
        <v>204</v>
      </c>
      <c r="AD156" s="46" t="s">
        <v>144</v>
      </c>
      <c r="AE156" s="46" t="s">
        <v>172</v>
      </c>
      <c r="AF156" s="88" t="s">
        <v>210</v>
      </c>
      <c r="AG156" s="105">
        <f>IF(TAB_HISTORICO_MANUT[[#This Row],[Hora Inicio]]="","",MONTH(TAB_HISTORICO_MANUT[[#This Row],[Hora Inicio]]))</f>
        <v>5</v>
      </c>
      <c r="AH156" s="58" t="s">
        <v>1002</v>
      </c>
      <c r="AI156" s="43" t="s">
        <v>37</v>
      </c>
      <c r="AJ156" s="43" t="s">
        <v>692</v>
      </c>
      <c r="AK156" s="43" t="s">
        <v>693</v>
      </c>
      <c r="AL156" s="43" t="s">
        <v>479</v>
      </c>
      <c r="AM156" s="114" t="s">
        <v>541</v>
      </c>
      <c r="AN156" s="43"/>
      <c r="AO156" s="43"/>
      <c r="AP156" s="43"/>
    </row>
    <row r="157" spans="1:42" ht="50.1" customHeight="1" x14ac:dyDescent="0.25">
      <c r="A157" s="43">
        <f>MONTH(TAB_HISTORICO_MANUT[[#This Row],[Hora Final]])-MONTH(TAB_HISTORICO_MANUT[[#This Row],[Hora Inicio]])</f>
        <v>0</v>
      </c>
      <c r="B157" s="42"/>
      <c r="C157" s="43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Inicio]]=Z156,TAB_HISTORICO_MANUT[[#This Row],[Equipamento]]=AA156,TAB_HISTORICO_MANUT[[#This Row],[Descricao Despacho]]=AD156),0,1)))</f>
        <v>1</v>
      </c>
      <c r="O15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157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15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157" s="50">
        <f>IF($Q157="","",(TAB_HISTORICO_MANUT[[#This Row],[Hora Final]]-TAB_HISTORICO_MANUT[[#This Row],[Hora Inicio]])*24)</f>
        <v>0.95555555541068316</v>
      </c>
      <c r="S15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57" s="54" t="str">
        <f>IF(AND(TAB_HISTORICO_MANUT[[#This Row],[EXPURGO Mãe]]="SIM",TAB_HISTORICO_MANUT[[#This Row],[Tipo]]="MÃE"),"EXP.MAE",IF(TAB_HISTORICO_MANUT[[#This Row],[EXPURGO Mãe]]="NÃO","NÃO EXP.MAE",T156))</f>
        <v>NÃO EXP.MAE</v>
      </c>
      <c r="U15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57" s="56">
        <f>IF(TAB_HISTORICO_MANUT[[#This Row],[EXPURGO Filhas]]="SIM",MAX(TAB_HISTORICO_MANUT[[#This Row],[Hora Final]]-TAB_HISTORICO_MANUT[[#This Row],[Hora Inicio]],0),0)</f>
        <v>0</v>
      </c>
      <c r="W15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5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57" s="46">
        <v>46163.532071759262</v>
      </c>
      <c r="Z157" s="47">
        <v>46163.571886574071</v>
      </c>
      <c r="AA157" s="48" t="s">
        <v>209</v>
      </c>
      <c r="AB157" s="48"/>
      <c r="AC157" s="43" t="s">
        <v>882</v>
      </c>
      <c r="AD157" s="46" t="s">
        <v>146</v>
      </c>
      <c r="AE157" s="46" t="s">
        <v>883</v>
      </c>
      <c r="AF157" s="88" t="s">
        <v>210</v>
      </c>
      <c r="AG157" s="105">
        <f>IF(TAB_HISTORICO_MANUT[[#This Row],[Hora Inicio]]="","",MONTH(TAB_HISTORICO_MANUT[[#This Row],[Hora Inicio]]))</f>
        <v>5</v>
      </c>
      <c r="AH157" s="58" t="s">
        <v>442</v>
      </c>
      <c r="AI157" s="43" t="s">
        <v>25</v>
      </c>
      <c r="AJ157" s="43" t="s">
        <v>25</v>
      </c>
      <c r="AK157" s="43" t="s">
        <v>25</v>
      </c>
      <c r="AL157" s="43" t="s">
        <v>25</v>
      </c>
      <c r="AM157" s="114" t="s">
        <v>25</v>
      </c>
      <c r="AN157" s="43"/>
      <c r="AO157" s="43"/>
      <c r="AP157" s="43"/>
    </row>
    <row r="158" spans="1:42" ht="50.1" customHeight="1" x14ac:dyDescent="0.25">
      <c r="A158" s="43">
        <f>MONTH(TAB_HISTORICO_MANUT[[#This Row],[Hora Final]])-MONTH(TAB_HISTORICO_MANUT[[#This Row],[Hora Inicio]])</f>
        <v>0</v>
      </c>
      <c r="B158" s="42"/>
      <c r="C158" s="43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Inicio]]=Z157,TAB_HISTORICO_MANUT[[#This Row],[Equipamento]]=AA157,TAB_HISTORICO_MANUT[[#This Row],[Descricao Despacho]]=AD157),0,1)))</f>
        <v>1</v>
      </c>
      <c r="O15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158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5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58" s="50">
        <f>IF($Q158="","",(TAB_HISTORICO_MANUT[[#This Row],[Hora Final]]-TAB_HISTORICO_MANUT[[#This Row],[Hora Inicio]])*24)</f>
        <v>10.995277777779847</v>
      </c>
      <c r="S15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58" s="54" t="str">
        <f>IF(AND(TAB_HISTORICO_MANUT[[#This Row],[EXPURGO Mãe]]="SIM",TAB_HISTORICO_MANUT[[#This Row],[Tipo]]="MÃE"),"EXP.MAE",IF(TAB_HISTORICO_MANUT[[#This Row],[EXPURGO Mãe]]="NÃO","NÃO EXP.MAE",T157))</f>
        <v>NÃO EXP.MAE</v>
      </c>
      <c r="U15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58" s="56">
        <f>IF(TAB_HISTORICO_MANUT[[#This Row],[EXPURGO Filhas]]="SIM",MAX(TAB_HISTORICO_MANUT[[#This Row],[Hora Final]]-TAB_HISTORICO_MANUT[[#This Row],[Hora Inicio]],0),0)</f>
        <v>0</v>
      </c>
      <c r="W15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5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58" s="46">
        <v>46164.25</v>
      </c>
      <c r="Z158" s="47">
        <v>46164.708136574074</v>
      </c>
      <c r="AA158" s="48" t="s">
        <v>209</v>
      </c>
      <c r="AB158" s="48" t="s">
        <v>1014</v>
      </c>
      <c r="AC158" s="43" t="s">
        <v>204</v>
      </c>
      <c r="AD158" s="46" t="s">
        <v>144</v>
      </c>
      <c r="AE158" s="46" t="s">
        <v>172</v>
      </c>
      <c r="AF158" s="88" t="s">
        <v>210</v>
      </c>
      <c r="AG158" s="105">
        <f>IF(TAB_HISTORICO_MANUT[[#This Row],[Hora Inicio]]="","",MONTH(TAB_HISTORICO_MANUT[[#This Row],[Hora Inicio]]))</f>
        <v>5</v>
      </c>
      <c r="AH158" s="58" t="s">
        <v>1031</v>
      </c>
      <c r="AI158" s="43" t="s">
        <v>23</v>
      </c>
      <c r="AJ158" s="43" t="s">
        <v>43</v>
      </c>
      <c r="AK158" s="43" t="s">
        <v>1046</v>
      </c>
      <c r="AL158" s="43" t="s">
        <v>275</v>
      </c>
      <c r="AM158" s="114" t="s">
        <v>276</v>
      </c>
      <c r="AN158" s="43" t="s">
        <v>217</v>
      </c>
      <c r="AO158" s="43" t="s">
        <v>453</v>
      </c>
      <c r="AP158" s="43" t="s">
        <v>1026</v>
      </c>
    </row>
    <row r="159" spans="1:42" ht="50.1" customHeight="1" x14ac:dyDescent="0.25">
      <c r="A159" s="43">
        <f>MONTH(TAB_HISTORICO_MANUT[[#This Row],[Hora Final]])-MONTH(TAB_HISTORICO_MANUT[[#This Row],[Hora Inicio]])</f>
        <v>0</v>
      </c>
      <c r="B159" s="42"/>
      <c r="C159" s="43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Inicio]]=Z158,TAB_HISTORICO_MANUT[[#This Row],[Equipamento]]=AA158,TAB_HISTORICO_MANUT[[#This Row],[Descricao Despacho]]=AD158),0,1)))</f>
        <v>1</v>
      </c>
      <c r="O15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159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5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59" s="50">
        <f>IF($Q159="","",(TAB_HISTORICO_MANUT[[#This Row],[Hora Final]]-TAB_HISTORICO_MANUT[[#This Row],[Hora Inicio]])*24)</f>
        <v>1.0719444444403052</v>
      </c>
      <c r="S15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59" s="54" t="str">
        <f>IF(AND(TAB_HISTORICO_MANUT[[#This Row],[EXPURGO Mãe]]="SIM",TAB_HISTORICO_MANUT[[#This Row],[Tipo]]="MÃE"),"EXP.MAE",IF(TAB_HISTORICO_MANUT[[#This Row],[EXPURGO Mãe]]="NÃO","NÃO EXP.MAE",T158))</f>
        <v>NÃO EXP.MAE</v>
      </c>
      <c r="U15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59" s="56">
        <f>IF(TAB_HISTORICO_MANUT[[#This Row],[EXPURGO Filhas]]="SIM",MAX(TAB_HISTORICO_MANUT[[#This Row],[Hora Final]]-TAB_HISTORICO_MANUT[[#This Row],[Hora Inicio]],0),0)</f>
        <v>0</v>
      </c>
      <c r="W15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5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59" s="46">
        <v>46164.79446759259</v>
      </c>
      <c r="Z159" s="47">
        <v>46164.839131944442</v>
      </c>
      <c r="AA159" s="48" t="s">
        <v>209</v>
      </c>
      <c r="AB159" s="48" t="s">
        <v>1016</v>
      </c>
      <c r="AC159" s="43" t="s">
        <v>204</v>
      </c>
      <c r="AD159" s="46" t="s">
        <v>144</v>
      </c>
      <c r="AE159" s="46" t="s">
        <v>172</v>
      </c>
      <c r="AF159" s="88" t="s">
        <v>210</v>
      </c>
      <c r="AG159" s="105">
        <f>IF(TAB_HISTORICO_MANUT[[#This Row],[Hora Inicio]]="","",MONTH(TAB_HISTORICO_MANUT[[#This Row],[Hora Inicio]]))</f>
        <v>5</v>
      </c>
      <c r="AH159" s="58" t="s">
        <v>1033</v>
      </c>
      <c r="AI159" s="43" t="s">
        <v>235</v>
      </c>
      <c r="AJ159" s="43" t="s">
        <v>223</v>
      </c>
      <c r="AK159" s="43" t="s">
        <v>422</v>
      </c>
      <c r="AL159" s="43" t="s">
        <v>1044</v>
      </c>
      <c r="AM159" s="114" t="s">
        <v>280</v>
      </c>
      <c r="AN159" s="43" t="s">
        <v>217</v>
      </c>
      <c r="AO159" s="43" t="s">
        <v>705</v>
      </c>
      <c r="AP159" s="43" t="s">
        <v>218</v>
      </c>
    </row>
    <row r="160" spans="1:42" ht="50.1" customHeight="1" x14ac:dyDescent="0.25">
      <c r="A160" s="43">
        <f>MONTH(TAB_HISTORICO_MANUT[[#This Row],[Hora Final]])-MONTH(TAB_HISTORICO_MANUT[[#This Row],[Hora Inicio]])</f>
        <v>0</v>
      </c>
      <c r="B160" s="42"/>
      <c r="C160" s="43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Inicio]]=Z159,TAB_HISTORICO_MANUT[[#This Row],[Equipamento]]=AA159,TAB_HISTORICO_MANUT[[#This Row],[Descricao Despacho]]=AD159),0,1)))</f>
        <v>1</v>
      </c>
      <c r="O16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160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6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60" s="50">
        <f>IF($Q160="","",(TAB_HISTORICO_MANUT[[#This Row],[Hora Final]]-TAB_HISTORICO_MANUT[[#This Row],[Hora Inicio]])*24)</f>
        <v>4.6966666667140089</v>
      </c>
      <c r="S16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60" s="54" t="str">
        <f>IF(AND(TAB_HISTORICO_MANUT[[#This Row],[EXPURGO Mãe]]="SIM",TAB_HISTORICO_MANUT[[#This Row],[Tipo]]="MÃE"),"EXP.MAE",IF(TAB_HISTORICO_MANUT[[#This Row],[EXPURGO Mãe]]="NÃO","NÃO EXP.MAE",T159))</f>
        <v>NÃO EXP.MAE</v>
      </c>
      <c r="U16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60" s="56">
        <f>IF(TAB_HISTORICO_MANUT[[#This Row],[EXPURGO Filhas]]="SIM",MAX(TAB_HISTORICO_MANUT[[#This Row],[Hora Final]]-TAB_HISTORICO_MANUT[[#This Row],[Hora Inicio]],0),0)</f>
        <v>0</v>
      </c>
      <c r="W16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6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60" s="46">
        <v>46167.822581018518</v>
      </c>
      <c r="Z160" s="47">
        <v>46168.018275462964</v>
      </c>
      <c r="AA160" s="48" t="s">
        <v>209</v>
      </c>
      <c r="AB160" s="48" t="s">
        <v>1054</v>
      </c>
      <c r="AC160" s="43" t="s">
        <v>204</v>
      </c>
      <c r="AD160" s="46" t="s">
        <v>144</v>
      </c>
      <c r="AE160" s="46" t="s">
        <v>172</v>
      </c>
      <c r="AF160" s="88" t="s">
        <v>210</v>
      </c>
      <c r="AG160" s="105">
        <f>IF(TAB_HISTORICO_MANUT[[#This Row],[Hora Inicio]]="","",MONTH(TAB_HISTORICO_MANUT[[#This Row],[Hora Inicio]]))</f>
        <v>5</v>
      </c>
      <c r="AH160" s="58" t="s">
        <v>1043</v>
      </c>
      <c r="AI160" s="43" t="s">
        <v>22</v>
      </c>
      <c r="AJ160" s="43" t="s">
        <v>284</v>
      </c>
      <c r="AK160" s="43" t="s">
        <v>284</v>
      </c>
      <c r="AL160" s="43" t="s">
        <v>275</v>
      </c>
      <c r="AM160" s="114" t="s">
        <v>276</v>
      </c>
      <c r="AN160" s="43" t="s">
        <v>215</v>
      </c>
      <c r="AO160" s="43" t="s">
        <v>224</v>
      </c>
      <c r="AP160" s="43" t="s">
        <v>225</v>
      </c>
    </row>
    <row r="161" spans="1:42" ht="50.1" customHeight="1" x14ac:dyDescent="0.25">
      <c r="A161" s="43">
        <f>MONTH(TAB_HISTORICO_MANUT[[#This Row],[Hora Final]])-MONTH(TAB_HISTORICO_MANUT[[#This Row],[Hora Inicio]])</f>
        <v>0</v>
      </c>
      <c r="B161" s="42"/>
      <c r="C161" s="43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Inicio]]=Z160,TAB_HISTORICO_MANUT[[#This Row],[Equipamento]]=AA160,TAB_HISTORICO_MANUT[[#This Row],[Descricao Despacho]]=AD160),0,1)))</f>
        <v>1</v>
      </c>
      <c r="O16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ALERTA DE PROXIMIDADE</v>
      </c>
      <c r="P161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6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161" s="50">
        <f>IF($Q161="","",(TAB_HISTORICO_MANUT[[#This Row],[Hora Final]]-TAB_HISTORICO_MANUT[[#This Row],[Hora Inicio]])*24)</f>
        <v>1.8833333333604969</v>
      </c>
      <c r="S16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161" s="54" t="str">
        <f>IF(AND(TAB_HISTORICO_MANUT[[#This Row],[EXPURGO Mãe]]="SIM",TAB_HISTORICO_MANUT[[#This Row],[Tipo]]="MÃE"),"EXP.MAE",IF(TAB_HISTORICO_MANUT[[#This Row],[EXPURGO Mãe]]="NÃO","NÃO EXP.MAE",T160))</f>
        <v>EXP.MAE</v>
      </c>
      <c r="U16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61" s="56">
        <f>IF(TAB_HISTORICO_MANUT[[#This Row],[EXPURGO Filhas]]="SIM",MAX(TAB_HISTORICO_MANUT[[#This Row],[Hora Final]]-TAB_HISTORICO_MANUT[[#This Row],[Hora Inicio]],0),0)</f>
        <v>0</v>
      </c>
      <c r="W16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6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61" s="46">
        <v>46168.791481481479</v>
      </c>
      <c r="Z161" s="47">
        <v>46168.869953703703</v>
      </c>
      <c r="AA161" s="48" t="s">
        <v>209</v>
      </c>
      <c r="AB161" s="48" t="s">
        <v>1051</v>
      </c>
      <c r="AC161" s="43" t="s">
        <v>212</v>
      </c>
      <c r="AD161" s="46" t="s">
        <v>144</v>
      </c>
      <c r="AE161" s="46" t="s">
        <v>214</v>
      </c>
      <c r="AF161" s="88" t="s">
        <v>210</v>
      </c>
      <c r="AG161" s="105">
        <f>IF(TAB_HISTORICO_MANUT[[#This Row],[Hora Inicio]]="","",MONTH(TAB_HISTORICO_MANUT[[#This Row],[Hora Inicio]]))</f>
        <v>5</v>
      </c>
      <c r="AH161" s="58" t="s">
        <v>1058</v>
      </c>
      <c r="AI161" s="43" t="s">
        <v>153</v>
      </c>
      <c r="AJ161" s="43" t="s">
        <v>428</v>
      </c>
      <c r="AK161" s="43" t="s">
        <v>290</v>
      </c>
      <c r="AL161" s="43" t="s">
        <v>282</v>
      </c>
      <c r="AM161" s="114" t="s">
        <v>283</v>
      </c>
      <c r="AN161" s="43" t="s">
        <v>215</v>
      </c>
      <c r="AO161" s="43" t="s">
        <v>1056</v>
      </c>
      <c r="AP161" s="43" t="s">
        <v>760</v>
      </c>
    </row>
    <row r="162" spans="1:42" ht="50.1" customHeight="1" x14ac:dyDescent="0.25">
      <c r="A162" s="43">
        <f>MONTH(TAB_HISTORICO_MANUT[[#This Row],[Hora Final]])-MONTH(TAB_HISTORICO_MANUT[[#This Row],[Hora Inicio]])</f>
        <v>0</v>
      </c>
      <c r="B162" s="42"/>
      <c r="C162" s="43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Inicio]]=Z161,TAB_HISTORICO_MANUT[[#This Row],[Equipamento]]=AA161,TAB_HISTORICO_MANUT[[#This Row],[Descricao Despacho]]=AD161),0,1)))</f>
        <v>1</v>
      </c>
      <c r="O16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162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6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62" s="50">
        <f>IF($Q162="","",(TAB_HISTORICO_MANUT[[#This Row],[Hora Final]]-TAB_HISTORICO_MANUT[[#This Row],[Hora Inicio]])*24)</f>
        <v>0.76000000006752089</v>
      </c>
      <c r="S16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62" s="54" t="str">
        <f>IF(AND(TAB_HISTORICO_MANUT[[#This Row],[EXPURGO Mãe]]="SIM",TAB_HISTORICO_MANUT[[#This Row],[Tipo]]="MÃE"),"EXP.MAE",IF(TAB_HISTORICO_MANUT[[#This Row],[EXPURGO Mãe]]="NÃO","NÃO EXP.MAE",T161))</f>
        <v>NÃO EXP.MAE</v>
      </c>
      <c r="U16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62" s="56">
        <f>IF(TAB_HISTORICO_MANUT[[#This Row],[EXPURGO Filhas]]="SIM",MAX(TAB_HISTORICO_MANUT[[#This Row],[Hora Final]]-TAB_HISTORICO_MANUT[[#This Row],[Hora Inicio]],0),0)</f>
        <v>0</v>
      </c>
      <c r="W16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6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62" s="46">
        <v>46168.933229166665</v>
      </c>
      <c r="Z162" s="47">
        <v>46168.964895833335</v>
      </c>
      <c r="AA162" s="48" t="s">
        <v>209</v>
      </c>
      <c r="AB162" s="48" t="s">
        <v>1053</v>
      </c>
      <c r="AC162" s="43" t="s">
        <v>204</v>
      </c>
      <c r="AD162" s="46" t="s">
        <v>144</v>
      </c>
      <c r="AE162" s="46" t="s">
        <v>172</v>
      </c>
      <c r="AF162" s="88" t="s">
        <v>210</v>
      </c>
      <c r="AG162" s="105">
        <f>IF(TAB_HISTORICO_MANUT[[#This Row],[Hora Inicio]]="","",MONTH(TAB_HISTORICO_MANUT[[#This Row],[Hora Inicio]]))</f>
        <v>5</v>
      </c>
      <c r="AH162" s="58" t="s">
        <v>1060</v>
      </c>
      <c r="AI162" s="43" t="s">
        <v>22</v>
      </c>
      <c r="AJ162" s="43" t="s">
        <v>23</v>
      </c>
      <c r="AK162" s="43" t="s">
        <v>284</v>
      </c>
      <c r="AL162" s="43" t="s">
        <v>479</v>
      </c>
      <c r="AM162" s="114" t="s">
        <v>283</v>
      </c>
      <c r="AN162" s="43" t="s">
        <v>215</v>
      </c>
      <c r="AO162" s="43" t="s">
        <v>224</v>
      </c>
      <c r="AP162" s="43" t="s">
        <v>669</v>
      </c>
    </row>
    <row r="163" spans="1:42" ht="50.1" customHeight="1" x14ac:dyDescent="0.25">
      <c r="A163" s="115">
        <f>MONTH(TAB_HISTORICO_MANUT[[#This Row],[Hora Final]])-MONTH(TAB_HISTORICO_MANUT[[#This Row],[Hora Inicio]])</f>
        <v>0</v>
      </c>
      <c r="B163" s="116"/>
      <c r="C163" s="115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Inicio]]=Z162,TAB_HISTORICO_MANUT[[#This Row],[Equipamento]]=AA162,TAB_HISTORICO_MANUT[[#This Row],[Descricao Despacho]]=AD162),0,1)))</f>
        <v>1</v>
      </c>
      <c r="O16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16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16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163" s="107">
        <f>IF($Q163="","",(TAB_HISTORICO_MANUT[[#This Row],[Hora Final]]-TAB_HISTORICO_MANUT[[#This Row],[Hora Inicio]])*24)</f>
        <v>1.4802777777076699</v>
      </c>
      <c r="S16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63" s="109" t="str">
        <f>IF(AND(TAB_HISTORICO_MANUT[[#This Row],[EXPURGO Mãe]]="SIM",TAB_HISTORICO_MANUT[[#This Row],[Tipo]]="MÃE"),"EXP.MAE",IF(TAB_HISTORICO_MANUT[[#This Row],[EXPURGO Mãe]]="NÃO","NÃO EXP.MAE",T162))</f>
        <v>NÃO EXP.MAE</v>
      </c>
      <c r="U16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63" s="110">
        <f>IF(TAB_HISTORICO_MANUT[[#This Row],[EXPURGO Filhas]]="SIM",MAX(TAB_HISTORICO_MANUT[[#This Row],[Hora Final]]-TAB_HISTORICO_MANUT[[#This Row],[Hora Inicio]],0),0)</f>
        <v>0</v>
      </c>
      <c r="W16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6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63" s="117">
        <v>46169.516527777778</v>
      </c>
      <c r="Z163" s="47">
        <v>46169.578206018516</v>
      </c>
      <c r="AA163" s="119" t="s">
        <v>209</v>
      </c>
      <c r="AB163" s="119"/>
      <c r="AC163" s="115" t="s">
        <v>882</v>
      </c>
      <c r="AD163" s="117" t="s">
        <v>146</v>
      </c>
      <c r="AE163" s="117" t="s">
        <v>883</v>
      </c>
      <c r="AF163" s="88" t="s">
        <v>210</v>
      </c>
      <c r="AG163" s="105">
        <f>IF(TAB_HISTORICO_MANUT[[#This Row],[Hora Inicio]]="","",MONTH(TAB_HISTORICO_MANUT[[#This Row],[Hora Inicio]]))</f>
        <v>5</v>
      </c>
      <c r="AH163" s="120"/>
      <c r="AI163" s="115" t="s">
        <v>25</v>
      </c>
      <c r="AJ163" s="115" t="s">
        <v>25</v>
      </c>
      <c r="AK163" s="115" t="s">
        <v>25</v>
      </c>
      <c r="AL163" s="115" t="s">
        <v>25</v>
      </c>
      <c r="AM163" s="121" t="s">
        <v>25</v>
      </c>
      <c r="AN163" s="115"/>
      <c r="AO163" s="115"/>
      <c r="AP163" s="115"/>
    </row>
    <row r="164" spans="1:42" ht="50.1" customHeight="1" x14ac:dyDescent="0.25">
      <c r="A164" s="115">
        <f>MONTH(TAB_HISTORICO_MANUT[[#This Row],[Hora Final]])-MONTH(TAB_HISTORICO_MANUT[[#This Row],[Hora Inicio]])</f>
        <v>0</v>
      </c>
      <c r="B164" s="116"/>
      <c r="C164" s="115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Inicio]]=Z163,TAB_HISTORICO_MANUT[[#This Row],[Equipamento]]=AA163,TAB_HISTORICO_MANUT[[#This Row],[Descricao Despacho]]=AD163),0,1)))</f>
        <v>1</v>
      </c>
      <c r="O16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16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6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64" s="107">
        <f>IF($Q164="","",(TAB_HISTORICO_MANUT[[#This Row],[Hora Final]]-TAB_HISTORICO_MANUT[[#This Row],[Hora Inicio]])*24)</f>
        <v>8.8222222222248092</v>
      </c>
      <c r="S16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64" s="109" t="str">
        <f>IF(AND(TAB_HISTORICO_MANUT[[#This Row],[EXPURGO Mãe]]="SIM",TAB_HISTORICO_MANUT[[#This Row],[Tipo]]="MÃE"),"EXP.MAE",IF(TAB_HISTORICO_MANUT[[#This Row],[EXPURGO Mãe]]="NÃO","NÃO EXP.MAE",T163))</f>
        <v>NÃO EXP.MAE</v>
      </c>
      <c r="U16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64" s="110">
        <f>IF(TAB_HISTORICO_MANUT[[#This Row],[EXPURGO Filhas]]="SIM",MAX(TAB_HISTORICO_MANUT[[#This Row],[Hora Final]]-TAB_HISTORICO_MANUT[[#This Row],[Hora Inicio]],0),0)</f>
        <v>0</v>
      </c>
      <c r="W16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6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64" s="46">
        <v>46171.5622337963</v>
      </c>
      <c r="Z164" s="47">
        <v>46171.929826388892</v>
      </c>
      <c r="AA164" s="48" t="s">
        <v>209</v>
      </c>
      <c r="AB164" s="48" t="s">
        <v>1072</v>
      </c>
      <c r="AC164" s="43" t="s">
        <v>204</v>
      </c>
      <c r="AD164" s="46" t="s">
        <v>144</v>
      </c>
      <c r="AE164" s="46" t="s">
        <v>172</v>
      </c>
      <c r="AF164" s="88" t="s">
        <v>210</v>
      </c>
      <c r="AG164" s="105">
        <f>IF(TAB_HISTORICO_MANUT[[#This Row],[Hora Inicio]]="","",MONTH(TAB_HISTORICO_MANUT[[#This Row],[Hora Inicio]]))</f>
        <v>5</v>
      </c>
      <c r="AH164" s="58" t="s">
        <v>1082</v>
      </c>
      <c r="AI164" s="43" t="s">
        <v>23</v>
      </c>
      <c r="AJ164" s="43" t="s">
        <v>223</v>
      </c>
      <c r="AK164" s="43" t="s">
        <v>422</v>
      </c>
      <c r="AL164" s="43" t="s">
        <v>297</v>
      </c>
      <c r="AM164" s="114" t="s">
        <v>238</v>
      </c>
      <c r="AN164" s="115" t="s">
        <v>217</v>
      </c>
      <c r="AO164" s="115" t="s">
        <v>1094</v>
      </c>
      <c r="AP164" s="115" t="s">
        <v>218</v>
      </c>
    </row>
    <row r="165" spans="1:42" ht="50.1" customHeight="1" x14ac:dyDescent="0.25">
      <c r="A165" s="115">
        <f>MONTH(TAB_HISTORICO_MANUT[[#This Row],[Hora Final]])-MONTH(TAB_HISTORICO_MANUT[[#This Row],[Hora Inicio]])</f>
        <v>0</v>
      </c>
      <c r="B165" s="116"/>
      <c r="C165" s="115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Inicio]]=Z164,TAB_HISTORICO_MANUT[[#This Row],[Equipamento]]=AA164,TAB_HISTORICO_MANUT[[#This Row],[Descricao Despacho]]=AD164),0,1)))</f>
        <v>1</v>
      </c>
      <c r="O16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ALERTA DE PROXIMIDADE</v>
      </c>
      <c r="P16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6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165" s="107">
        <f>IF($Q165="","",(TAB_HISTORICO_MANUT[[#This Row],[Hora Final]]-TAB_HISTORICO_MANUT[[#This Row],[Hora Inicio]])*24)</f>
        <v>1.5047222222783603</v>
      </c>
      <c r="S16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165" s="109" t="str">
        <f>IF(AND(TAB_HISTORICO_MANUT[[#This Row],[EXPURGO Mãe]]="SIM",TAB_HISTORICO_MANUT[[#This Row],[Tipo]]="MÃE"),"EXP.MAE",IF(TAB_HISTORICO_MANUT[[#This Row],[EXPURGO Mãe]]="NÃO","NÃO EXP.MAE",T164))</f>
        <v>EXP.MAE</v>
      </c>
      <c r="U16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65" s="110">
        <f>IF(TAB_HISTORICO_MANUT[[#This Row],[EXPURGO Filhas]]="SIM",MAX(TAB_HISTORICO_MANUT[[#This Row],[Hora Final]]-TAB_HISTORICO_MANUT[[#This Row],[Hora Inicio]],0),0)</f>
        <v>0</v>
      </c>
      <c r="W16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6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65" s="46">
        <v>46172.778437499997</v>
      </c>
      <c r="Z165" s="47">
        <v>46172.841134259259</v>
      </c>
      <c r="AA165" s="48" t="s">
        <v>209</v>
      </c>
      <c r="AB165" s="48" t="s">
        <v>1078</v>
      </c>
      <c r="AC165" s="43" t="s">
        <v>212</v>
      </c>
      <c r="AD165" s="46" t="s">
        <v>144</v>
      </c>
      <c r="AE165" s="46" t="s">
        <v>214</v>
      </c>
      <c r="AF165" s="88" t="s">
        <v>210</v>
      </c>
      <c r="AG165" s="105">
        <f>IF(TAB_HISTORICO_MANUT[[#This Row],[Hora Inicio]]="","",MONTH(TAB_HISTORICO_MANUT[[#This Row],[Hora Inicio]]))</f>
        <v>5</v>
      </c>
      <c r="AH165" s="58" t="s">
        <v>1090</v>
      </c>
      <c r="AI165" s="43" t="s">
        <v>153</v>
      </c>
      <c r="AJ165" s="43" t="s">
        <v>428</v>
      </c>
      <c r="AK165" s="43" t="s">
        <v>880</v>
      </c>
      <c r="AL165" s="43" t="s">
        <v>540</v>
      </c>
      <c r="AM165" s="114" t="s">
        <v>541</v>
      </c>
      <c r="AN165" s="115" t="s">
        <v>241</v>
      </c>
      <c r="AO165" s="115" t="s">
        <v>312</v>
      </c>
      <c r="AP165" s="115" t="s">
        <v>313</v>
      </c>
    </row>
    <row r="166" spans="1:42" ht="50.1" customHeight="1" x14ac:dyDescent="0.25">
      <c r="A166" s="115">
        <f>MONTH(TAB_HISTORICO_MANUT[[#This Row],[Hora Final]])-MONTH(TAB_HISTORICO_MANUT[[#This Row],[Hora Inicio]])</f>
        <v>0</v>
      </c>
      <c r="B166" s="116"/>
      <c r="C166" s="115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Inicio]]=Z165,TAB_HISTORICO_MANUT[[#This Row],[Equipamento]]=AA165,TAB_HISTORICO_MANUT[[#This Row],[Descricao Despacho]]=AD165),0,1)))</f>
        <v>1</v>
      </c>
      <c r="O16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ALERTA DE PROXIMIDADE</v>
      </c>
      <c r="P16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6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166" s="107">
        <f>IF($Q166="","",(TAB_HISTORICO_MANUT[[#This Row],[Hora Final]]-TAB_HISTORICO_MANUT[[#This Row],[Hora Inicio]])*24)</f>
        <v>0.28111111116595566</v>
      </c>
      <c r="S16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166" s="109" t="str">
        <f>IF(AND(TAB_HISTORICO_MANUT[[#This Row],[EXPURGO Mãe]]="SIM",TAB_HISTORICO_MANUT[[#This Row],[Tipo]]="MÃE"),"EXP.MAE",IF(TAB_HISTORICO_MANUT[[#This Row],[EXPURGO Mãe]]="NÃO","NÃO EXP.MAE",T165))</f>
        <v>EXP.MAE</v>
      </c>
      <c r="U16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66" s="110">
        <f>IF(TAB_HISTORICO_MANUT[[#This Row],[EXPURGO Filhas]]="SIM",MAX(TAB_HISTORICO_MANUT[[#This Row],[Hora Final]]-TAB_HISTORICO_MANUT[[#This Row],[Hora Inicio]],0),0)</f>
        <v>0</v>
      </c>
      <c r="W16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6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66" s="46">
        <v>46172.999247685184</v>
      </c>
      <c r="Z166" s="47">
        <v>46173.010960648149</v>
      </c>
      <c r="AA166" s="48" t="s">
        <v>209</v>
      </c>
      <c r="AB166" s="48" t="s">
        <v>1078</v>
      </c>
      <c r="AC166" s="43" t="s">
        <v>212</v>
      </c>
      <c r="AD166" s="46" t="s">
        <v>144</v>
      </c>
      <c r="AE166" s="46" t="s">
        <v>214</v>
      </c>
      <c r="AF166" s="88" t="s">
        <v>210</v>
      </c>
      <c r="AG166" s="105">
        <f>IF(TAB_HISTORICO_MANUT[[#This Row],[Hora Inicio]]="","",MONTH(TAB_HISTORICO_MANUT[[#This Row],[Hora Inicio]]))</f>
        <v>5</v>
      </c>
      <c r="AH166" s="58" t="s">
        <v>1091</v>
      </c>
      <c r="AI166" s="43" t="s">
        <v>153</v>
      </c>
      <c r="AJ166" s="43" t="s">
        <v>428</v>
      </c>
      <c r="AK166" s="43" t="s">
        <v>763</v>
      </c>
      <c r="AL166" s="43" t="s">
        <v>282</v>
      </c>
      <c r="AM166" s="114" t="s">
        <v>276</v>
      </c>
      <c r="AN166" s="115" t="s">
        <v>241</v>
      </c>
      <c r="AO166" s="115" t="s">
        <v>1096</v>
      </c>
      <c r="AP166" s="115" t="s">
        <v>1097</v>
      </c>
    </row>
    <row r="167" spans="1:42" ht="50.1" customHeight="1" x14ac:dyDescent="0.25">
      <c r="A167" s="115">
        <f>MONTH(TAB_HISTORICO_MANUT[[#This Row],[Hora Final]])-MONTH(TAB_HISTORICO_MANUT[[#This Row],[Hora Inicio]])</f>
        <v>0</v>
      </c>
      <c r="B167" s="116"/>
      <c r="C167" s="115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Inicio]]=Z166,TAB_HISTORICO_MANUT[[#This Row],[Equipamento]]=AA166,TAB_HISTORICO_MANUT[[#This Row],[Descricao Despacho]]=AD166),0,1)))</f>
        <v>1</v>
      </c>
      <c r="O16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16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16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167" s="107">
        <f>IF($Q167="","",(TAB_HISTORICO_MANUT[[#This Row],[Hora Final]]-TAB_HISTORICO_MANUT[[#This Row],[Hora Inicio]])*24)</f>
        <v>0.4644444445730187</v>
      </c>
      <c r="S16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67" s="109" t="str">
        <f>IF(AND(TAB_HISTORICO_MANUT[[#This Row],[EXPURGO Mãe]]="SIM",TAB_HISTORICO_MANUT[[#This Row],[Tipo]]="MÃE"),"EXP.MAE",IF(TAB_HISTORICO_MANUT[[#This Row],[EXPURGO Mãe]]="NÃO","NÃO EXP.MAE",T166))</f>
        <v>NÃO EXP.MAE</v>
      </c>
      <c r="U16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67" s="110">
        <f>IF(TAB_HISTORICO_MANUT[[#This Row],[EXPURGO Filhas]]="SIM",MAX(TAB_HISTORICO_MANUT[[#This Row],[Hora Final]]-TAB_HISTORICO_MANUT[[#This Row],[Hora Inicio]],0),0)</f>
        <v>0</v>
      </c>
      <c r="W16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6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67" s="46">
        <v>46173.66134259259</v>
      </c>
      <c r="Z167" s="47">
        <v>46173.680694444447</v>
      </c>
      <c r="AA167" s="48" t="s">
        <v>209</v>
      </c>
      <c r="AB167" s="48"/>
      <c r="AC167" s="43" t="s">
        <v>205</v>
      </c>
      <c r="AD167" s="46" t="s">
        <v>145</v>
      </c>
      <c r="AE167" s="46" t="s">
        <v>173</v>
      </c>
      <c r="AF167" s="88" t="s">
        <v>210</v>
      </c>
      <c r="AG167" s="105">
        <f>IF(TAB_HISTORICO_MANUT[[#This Row],[Hora Inicio]]="","",MONTH(TAB_HISTORICO_MANUT[[#This Row],[Hora Inicio]]))</f>
        <v>5</v>
      </c>
      <c r="AH167" s="58"/>
      <c r="AI167" s="43" t="s">
        <v>21</v>
      </c>
      <c r="AJ167" s="43" t="s">
        <v>21</v>
      </c>
      <c r="AK167" s="43" t="s">
        <v>21</v>
      </c>
      <c r="AL167" s="43" t="s">
        <v>21</v>
      </c>
      <c r="AM167" s="114" t="s">
        <v>21</v>
      </c>
      <c r="AN167" s="115"/>
      <c r="AO167" s="115"/>
      <c r="AP167" s="115"/>
    </row>
    <row r="168" spans="1:42" ht="50.1" customHeight="1" x14ac:dyDescent="0.25">
      <c r="A168" s="115">
        <f>MONTH(TAB_HISTORICO_MANUT[[#This Row],[Hora Final]])-MONTH(TAB_HISTORICO_MANUT[[#This Row],[Hora Inicio]])</f>
        <v>0</v>
      </c>
      <c r="B168" s="116"/>
      <c r="C168" s="115"/>
      <c r="D168" s="116"/>
      <c r="E168" s="116"/>
      <c r="F168" s="116"/>
      <c r="G168" s="116"/>
      <c r="H168" s="116"/>
      <c r="I168" s="116" t="s">
        <v>146</v>
      </c>
      <c r="J168" s="116"/>
      <c r="K168" s="116"/>
      <c r="L168" s="116"/>
      <c r="M168" s="116"/>
      <c r="N16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Inicio]]=Z167,TAB_HISTORICO_MANUT[[#This Row],[Equipamento]]=AA167,TAB_HISTORICO_MANUT[[#This Row],[Descricao Despacho]]=AD167),0,1)))</f>
        <v>1</v>
      </c>
      <c r="O16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16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16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168" s="107">
        <f>IF($Q168="","",(TAB_HISTORICO_MANUT[[#This Row],[Hora Final]]-TAB_HISTORICO_MANUT[[#This Row],[Hora Inicio]])*24)</f>
        <v>0.85611111111938953</v>
      </c>
      <c r="S16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168" s="109" t="str">
        <f>IF(AND(TAB_HISTORICO_MANUT[[#This Row],[EXPURGO Mãe]]="SIM",TAB_HISTORICO_MANUT[[#This Row],[Tipo]]="MÃE"),"EXP.MAE",IF(TAB_HISTORICO_MANUT[[#This Row],[EXPURGO Mãe]]="NÃO","NÃO EXP.MAE",T167))</f>
        <v>EXP.MAE</v>
      </c>
      <c r="U16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68" s="110">
        <f>IF(TAB_HISTORICO_MANUT[[#This Row],[EXPURGO Filhas]]="SIM",MAX(TAB_HISTORICO_MANUT[[#This Row],[Hora Final]]-TAB_HISTORICO_MANUT[[#This Row],[Hora Inicio]],0),0)</f>
        <v>0</v>
      </c>
      <c r="W16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6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68" s="46">
        <v>46175.640567129631</v>
      </c>
      <c r="Z168" s="47">
        <v>46175.676238425927</v>
      </c>
      <c r="AA168" s="48" t="s">
        <v>209</v>
      </c>
      <c r="AB168" s="48"/>
      <c r="AC168" s="43" t="s">
        <v>524</v>
      </c>
      <c r="AD168" s="46" t="s">
        <v>145</v>
      </c>
      <c r="AE168" s="46" t="s">
        <v>180</v>
      </c>
      <c r="AF168" s="88" t="s">
        <v>210</v>
      </c>
      <c r="AG168" s="105">
        <f>IF(TAB_HISTORICO_MANUT[[#This Row],[Hora Inicio]]="","",MONTH(TAB_HISTORICO_MANUT[[#This Row],[Hora Inicio]]))</f>
        <v>6</v>
      </c>
      <c r="AH168" s="58" t="s">
        <v>1107</v>
      </c>
      <c r="AI168" s="43" t="s">
        <v>340</v>
      </c>
      <c r="AJ168" s="43" t="s">
        <v>436</v>
      </c>
      <c r="AK168" s="43"/>
      <c r="AL168" s="43"/>
      <c r="AM168" s="114"/>
      <c r="AN168" s="115"/>
      <c r="AO168" s="115"/>
      <c r="AP168" s="115"/>
    </row>
    <row r="169" spans="1:42" ht="50.1" customHeight="1" x14ac:dyDescent="0.25">
      <c r="A169" s="115">
        <f>MONTH(TAB_HISTORICO_MANUT[[#This Row],[Hora Final]])-MONTH(TAB_HISTORICO_MANUT[[#This Row],[Hora Inicio]])</f>
        <v>0</v>
      </c>
      <c r="B169" s="116"/>
      <c r="C169" s="115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Inicio]]=Z168,TAB_HISTORICO_MANUT[[#This Row],[Equipamento]]=AA168,TAB_HISTORICO_MANUT[[#This Row],[Descricao Despacho]]=AD168),0,1)))</f>
        <v>1</v>
      </c>
      <c r="O16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16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16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169" s="107">
        <f>IF($Q169="","",(TAB_HISTORICO_MANUT[[#This Row],[Hora Final]]-TAB_HISTORICO_MANUT[[#This Row],[Hora Inicio]])*24)</f>
        <v>4.4486111111473292</v>
      </c>
      <c r="S16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69" s="109" t="str">
        <f>IF(AND(TAB_HISTORICO_MANUT[[#This Row],[EXPURGO Mãe]]="SIM",TAB_HISTORICO_MANUT[[#This Row],[Tipo]]="MÃE"),"EXP.MAE",IF(TAB_HISTORICO_MANUT[[#This Row],[EXPURGO Mãe]]="NÃO","NÃO EXP.MAE",T168))</f>
        <v>NÃO EXP.MAE</v>
      </c>
      <c r="U16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69" s="110">
        <f>IF(TAB_HISTORICO_MANUT[[#This Row],[EXPURGO Filhas]]="SIM",MAX(TAB_HISTORICO_MANUT[[#This Row],[Hora Final]]-TAB_HISTORICO_MANUT[[#This Row],[Hora Inicio]],0),0)</f>
        <v>0</v>
      </c>
      <c r="W16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6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69" s="46">
        <v>46175.676238425927</v>
      </c>
      <c r="Z169" s="47">
        <v>46175.861597222225</v>
      </c>
      <c r="AA169" s="48" t="s">
        <v>209</v>
      </c>
      <c r="AB169" s="48"/>
      <c r="AC169" s="43" t="s">
        <v>301</v>
      </c>
      <c r="AD169" s="46" t="s">
        <v>146</v>
      </c>
      <c r="AE169" s="46" t="s">
        <v>310</v>
      </c>
      <c r="AF169" s="88" t="s">
        <v>210</v>
      </c>
      <c r="AG169" s="105">
        <f>IF(TAB_HISTORICO_MANUT[[#This Row],[Hora Inicio]]="","",MONTH(TAB_HISTORICO_MANUT[[#This Row],[Hora Inicio]]))</f>
        <v>6</v>
      </c>
      <c r="AH169" s="58" t="s">
        <v>1107</v>
      </c>
      <c r="AI169" s="43" t="s">
        <v>340</v>
      </c>
      <c r="AJ169" s="43" t="s">
        <v>432</v>
      </c>
      <c r="AK169" s="43"/>
      <c r="AL169" s="43"/>
      <c r="AM169" s="114"/>
      <c r="AN169" s="115"/>
      <c r="AO169" s="115"/>
      <c r="AP169" s="115"/>
    </row>
    <row r="170" spans="1:42" ht="50.1" customHeight="1" x14ac:dyDescent="0.25">
      <c r="A170" s="115">
        <f>MONTH(TAB_HISTORICO_MANUT[[#This Row],[Hora Final]])-MONTH(TAB_HISTORICO_MANUT[[#This Row],[Hora Inicio]])</f>
        <v>0</v>
      </c>
      <c r="B170" s="116"/>
      <c r="C170" s="115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Inicio]]=Z169,TAB_HISTORICO_MANUT[[#This Row],[Equipamento]]=AA169,TAB_HISTORICO_MANUT[[#This Row],[Descricao Despacho]]=AD169),0,1)))</f>
        <v>0</v>
      </c>
      <c r="O17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17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17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170" s="107">
        <f>IF($Q170="","",(TAB_HISTORICO_MANUT[[#This Row],[Hora Final]]-TAB_HISTORICO_MANUT[[#This Row],[Hora Inicio]])*24)</f>
        <v>2.9524999998975545</v>
      </c>
      <c r="S17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170" s="109" t="str">
        <f>IF(AND(TAB_HISTORICO_MANUT[[#This Row],[EXPURGO Mãe]]="SIM",TAB_HISTORICO_MANUT[[#This Row],[Tipo]]="MÃE"),"EXP.MAE",IF(TAB_HISTORICO_MANUT[[#This Row],[EXPURGO Mãe]]="NÃO","NÃO EXP.MAE",T169))</f>
        <v>EXP.MAE</v>
      </c>
      <c r="U17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70" s="110">
        <f>IF(TAB_HISTORICO_MANUT[[#This Row],[EXPURGO Filhas]]="SIM",MAX(TAB_HISTORICO_MANUT[[#This Row],[Hora Final]]-TAB_HISTORICO_MANUT[[#This Row],[Hora Inicio]],0),0)</f>
        <v>0</v>
      </c>
      <c r="W17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7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70" s="46">
        <v>46175.861597222225</v>
      </c>
      <c r="Z170" s="47">
        <v>46175.984618055554</v>
      </c>
      <c r="AA170" s="48" t="s">
        <v>209</v>
      </c>
      <c r="AB170" s="48"/>
      <c r="AC170" s="43" t="s">
        <v>362</v>
      </c>
      <c r="AD170" s="46" t="s">
        <v>146</v>
      </c>
      <c r="AE170" s="46" t="s">
        <v>175</v>
      </c>
      <c r="AF170" s="88" t="s">
        <v>210</v>
      </c>
      <c r="AG170" s="105">
        <f>IF(TAB_HISTORICO_MANUT[[#This Row],[Hora Inicio]]="","",MONTH(TAB_HISTORICO_MANUT[[#This Row],[Hora Inicio]]))</f>
        <v>6</v>
      </c>
      <c r="AH170" s="58" t="s">
        <v>1107</v>
      </c>
      <c r="AI170" s="43" t="s">
        <v>340</v>
      </c>
      <c r="AJ170" s="43" t="s">
        <v>432</v>
      </c>
      <c r="AK170" s="43"/>
      <c r="AL170" s="43"/>
      <c r="AM170" s="114"/>
      <c r="AN170" s="115"/>
      <c r="AO170" s="115"/>
      <c r="AP170" s="115"/>
    </row>
    <row r="171" spans="1:42" ht="50.1" customHeight="1" x14ac:dyDescent="0.25">
      <c r="A171" s="43">
        <f>MONTH(TAB_HISTORICO_MANUT[[#This Row],[Hora Final]])-MONTH(TAB_HISTORICO_MANUT[[#This Row],[Hora Inicio]])</f>
        <v>0</v>
      </c>
      <c r="B171" s="42"/>
      <c r="C171" s="43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Inicio]]=Z170,TAB_HISTORICO_MANUT[[#This Row],[Equipamento]]=AA170,TAB_HISTORICO_MANUT[[#This Row],[Descricao Despacho]]=AD170),0,1)))</f>
        <v>0</v>
      </c>
      <c r="O17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17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17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171" s="107">
        <f>IF($Q171="","",(TAB_HISTORICO_MANUT[[#This Row],[Hora Final]]-TAB_HISTORICO_MANUT[[#This Row],[Hora Inicio]])*24)</f>
        <v>2.4499999999534339</v>
      </c>
      <c r="S17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71" s="109" t="str">
        <f>IF(AND(TAB_HISTORICO_MANUT[[#This Row],[EXPURGO Mãe]]="SIM",TAB_HISTORICO_MANUT[[#This Row],[Tipo]]="MÃE"),"EXP.MAE",IF(TAB_HISTORICO_MANUT[[#This Row],[EXPURGO Mãe]]="NÃO","NÃO EXP.MAE",T170))</f>
        <v>NÃO EXP.MAE</v>
      </c>
      <c r="U17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71" s="110">
        <f>IF(TAB_HISTORICO_MANUT[[#This Row],[EXPURGO Filhas]]="SIM",MAX(TAB_HISTORICO_MANUT[[#This Row],[Hora Final]]-TAB_HISTORICO_MANUT[[#This Row],[Hora Inicio]],0),0)</f>
        <v>0</v>
      </c>
      <c r="W17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7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71" s="46">
        <v>46175.984618055554</v>
      </c>
      <c r="Z171" s="47">
        <v>46176.086701388886</v>
      </c>
      <c r="AA171" s="48" t="s">
        <v>209</v>
      </c>
      <c r="AB171" s="48"/>
      <c r="AC171" s="43" t="s">
        <v>302</v>
      </c>
      <c r="AD171" s="46" t="s">
        <v>146</v>
      </c>
      <c r="AE171" s="46" t="s">
        <v>311</v>
      </c>
      <c r="AF171" s="88" t="s">
        <v>210</v>
      </c>
      <c r="AG171" s="105">
        <f>IF(TAB_HISTORICO_MANUT[[#This Row],[Hora Inicio]]="","",MONTH(TAB_HISTORICO_MANUT[[#This Row],[Hora Inicio]]))</f>
        <v>6</v>
      </c>
      <c r="AH171" s="58" t="s">
        <v>1107</v>
      </c>
      <c r="AI171" s="43" t="s">
        <v>340</v>
      </c>
      <c r="AJ171" s="43" t="s">
        <v>432</v>
      </c>
      <c r="AK171" s="43"/>
      <c r="AL171" s="43"/>
      <c r="AM171" s="114"/>
      <c r="AN171" s="43"/>
      <c r="AO171" s="43"/>
      <c r="AP171" s="43"/>
    </row>
    <row r="172" spans="1:42" ht="50.1" customHeight="1" x14ac:dyDescent="0.25">
      <c r="A172" s="43">
        <f>MONTH(TAB_HISTORICO_MANUT[[#This Row],[Hora Final]])-MONTH(TAB_HISTORICO_MANUT[[#This Row],[Hora Inicio]])</f>
        <v>0</v>
      </c>
      <c r="B172" s="42"/>
      <c r="C172" s="43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Inicio]]=Z171,TAB_HISTORICO_MANUT[[#This Row],[Equipamento]]=AA171,TAB_HISTORICO_MANUT[[#This Row],[Descricao Despacho]]=AD171),0,1)))</f>
        <v>0</v>
      </c>
      <c r="O17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172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17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172" s="50">
        <f>IF($Q172="","",(TAB_HISTORICO_MANUT[[#This Row],[Hora Final]]-TAB_HISTORICO_MANUT[[#This Row],[Hora Inicio]])*24)</f>
        <v>24.908611111168284</v>
      </c>
      <c r="S17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72" s="54" t="str">
        <f>IF(AND(TAB_HISTORICO_MANUT[[#This Row],[EXPURGO Mãe]]="SIM",TAB_HISTORICO_MANUT[[#This Row],[Tipo]]="MÃE"),"EXP.MAE",IF(TAB_HISTORICO_MANUT[[#This Row],[EXPURGO Mãe]]="NÃO","NÃO EXP.MAE",T171))</f>
        <v>NÃO EXP.MAE</v>
      </c>
      <c r="U17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72" s="56">
        <f>IF(TAB_HISTORICO_MANUT[[#This Row],[EXPURGO Filhas]]="SIM",MAX(TAB_HISTORICO_MANUT[[#This Row],[Hora Final]]-TAB_HISTORICO_MANUT[[#This Row],[Hora Inicio]],0),0)</f>
        <v>0</v>
      </c>
      <c r="W17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7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72" s="46">
        <v>46176.086701388886</v>
      </c>
      <c r="Z172" s="47">
        <v>46177.124560185184</v>
      </c>
      <c r="AA172" s="48" t="s">
        <v>209</v>
      </c>
      <c r="AB172" s="48"/>
      <c r="AC172" s="43" t="s">
        <v>301</v>
      </c>
      <c r="AD172" s="46" t="s">
        <v>146</v>
      </c>
      <c r="AE172" s="46" t="s">
        <v>310</v>
      </c>
      <c r="AF172" s="88" t="s">
        <v>210</v>
      </c>
      <c r="AG172" s="105">
        <f>IF(TAB_HISTORICO_MANUT[[#This Row],[Hora Inicio]]="","",MONTH(TAB_HISTORICO_MANUT[[#This Row],[Hora Inicio]]))</f>
        <v>6</v>
      </c>
      <c r="AH172" s="58" t="s">
        <v>1107</v>
      </c>
      <c r="AI172" s="43" t="s">
        <v>340</v>
      </c>
      <c r="AJ172" s="43" t="s">
        <v>432</v>
      </c>
      <c r="AK172" s="43"/>
      <c r="AL172" s="43"/>
      <c r="AM172" s="114"/>
      <c r="AN172" s="43"/>
      <c r="AO172" s="43"/>
      <c r="AP172" s="43"/>
    </row>
    <row r="173" spans="1:42" ht="50.1" customHeight="1" x14ac:dyDescent="0.25">
      <c r="A173" s="43">
        <f>MONTH(TAB_HISTORICO_MANUT[[#This Row],[Hora Final]])-MONTH(TAB_HISTORICO_MANUT[[#This Row],[Hora Inicio]])</f>
        <v>0</v>
      </c>
      <c r="B173" s="42"/>
      <c r="C173" s="43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Inicio]]=Z172,TAB_HISTORICO_MANUT[[#This Row],[Equipamento]]=AA172,TAB_HISTORICO_MANUT[[#This Row],[Descricao Despacho]]=AD172),0,1)))</f>
        <v/>
      </c>
      <c r="O17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173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17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173" s="50" t="str">
        <f>IF($Q173="","",(TAB_HISTORICO_MANUT[[#This Row],[Hora Final]]-TAB_HISTORICO_MANUT[[#This Row],[Hora Inicio]])*24)</f>
        <v/>
      </c>
      <c r="S17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173" s="54" t="str">
        <f>IF(AND(TAB_HISTORICO_MANUT[[#This Row],[EXPURGO Mãe]]="SIM",TAB_HISTORICO_MANUT[[#This Row],[Tipo]]="MÃE"),"EXP.MAE",IF(TAB_HISTORICO_MANUT[[#This Row],[EXPURGO Mãe]]="NÃO","NÃO EXP.MAE",T172))</f>
        <v>NÃO EXP.MAE</v>
      </c>
      <c r="U17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173" s="56">
        <f>IF(TAB_HISTORICO_MANUT[[#This Row],[EXPURGO Filhas]]="SIM",MAX(TAB_HISTORICO_MANUT[[#This Row],[Hora Final]]-TAB_HISTORICO_MANUT[[#This Row],[Hora Inicio]],0),0)</f>
        <v>1.8055555556202307E-2</v>
      </c>
      <c r="W17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7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73" s="46">
        <v>46176.504861111112</v>
      </c>
      <c r="Z173" s="47">
        <v>46176.522916666669</v>
      </c>
      <c r="AA173" s="48" t="s">
        <v>209</v>
      </c>
      <c r="AB173" s="48"/>
      <c r="AC173" s="43" t="s">
        <v>301</v>
      </c>
      <c r="AD173" s="46" t="s">
        <v>146</v>
      </c>
      <c r="AE173" s="46" t="s">
        <v>177</v>
      </c>
      <c r="AF173" s="88" t="s">
        <v>767</v>
      </c>
      <c r="AG173" s="105">
        <f>IF(TAB_HISTORICO_MANUT[[#This Row],[Hora Inicio]]="","",MONTH(TAB_HISTORICO_MANUT[[#This Row],[Hora Inicio]]))</f>
        <v>6</v>
      </c>
      <c r="AH173" s="58" t="s">
        <v>1303</v>
      </c>
      <c r="AI173" s="43" t="s">
        <v>340</v>
      </c>
      <c r="AJ173" s="43" t="s">
        <v>432</v>
      </c>
      <c r="AK173" s="43"/>
      <c r="AL173" s="43"/>
      <c r="AM173" s="114"/>
      <c r="AN173" s="43"/>
      <c r="AO173" s="43"/>
      <c r="AP173" s="43"/>
    </row>
    <row r="174" spans="1:42" ht="50.1" customHeight="1" x14ac:dyDescent="0.25">
      <c r="A174" s="43">
        <f>MONTH(TAB_HISTORICO_MANUT[[#This Row],[Hora Final]])-MONTH(TAB_HISTORICO_MANUT[[#This Row],[Hora Inicio]])</f>
        <v>0</v>
      </c>
      <c r="B174" s="42"/>
      <c r="C174" s="43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Inicio]]=Z173,TAB_HISTORICO_MANUT[[#This Row],[Equipamento]]=AA173,TAB_HISTORICO_MANUT[[#This Row],[Descricao Despacho]]=AD173),0,1)))</f>
        <v>1</v>
      </c>
      <c r="O17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ALERTA DE PROXIMIDADE</v>
      </c>
      <c r="P174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7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174" s="50">
        <f>IF($Q174="","",(TAB_HISTORICO_MANUT[[#This Row],[Hora Final]]-TAB_HISTORICO_MANUT[[#This Row],[Hora Inicio]])*24)</f>
        <v>1.6013888888410293</v>
      </c>
      <c r="S17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174" s="54" t="str">
        <f>IF(AND(TAB_HISTORICO_MANUT[[#This Row],[EXPURGO Mãe]]="SIM",TAB_HISTORICO_MANUT[[#This Row],[Tipo]]="MÃE"),"EXP.MAE",IF(TAB_HISTORICO_MANUT[[#This Row],[EXPURGO Mãe]]="NÃO","NÃO EXP.MAE",T173))</f>
        <v>EXP.MAE</v>
      </c>
      <c r="U17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74" s="56">
        <f>IF(TAB_HISTORICO_MANUT[[#This Row],[EXPURGO Filhas]]="SIM",MAX(TAB_HISTORICO_MANUT[[#This Row],[Hora Final]]-TAB_HISTORICO_MANUT[[#This Row],[Hora Inicio]],0),0)</f>
        <v>0</v>
      </c>
      <c r="W17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7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74" s="46">
        <v>46177.773263888892</v>
      </c>
      <c r="Z174" s="47">
        <v>46177.839988425927</v>
      </c>
      <c r="AA174" s="48" t="s">
        <v>209</v>
      </c>
      <c r="AB174" s="48" t="s">
        <v>1116</v>
      </c>
      <c r="AC174" s="43" t="s">
        <v>212</v>
      </c>
      <c r="AD174" s="46" t="s">
        <v>144</v>
      </c>
      <c r="AE174" s="46" t="s">
        <v>214</v>
      </c>
      <c r="AF174" s="88" t="s">
        <v>210</v>
      </c>
      <c r="AG174" s="105">
        <f>IF(TAB_HISTORICO_MANUT[[#This Row],[Hora Inicio]]="","",MONTH(TAB_HISTORICO_MANUT[[#This Row],[Hora Inicio]]))</f>
        <v>6</v>
      </c>
      <c r="AH174" s="58" t="s">
        <v>1113</v>
      </c>
      <c r="AI174" s="43" t="s">
        <v>153</v>
      </c>
      <c r="AJ174" s="43" t="s">
        <v>428</v>
      </c>
      <c r="AK174" s="43" t="s">
        <v>461</v>
      </c>
      <c r="AL174" s="43" t="s">
        <v>275</v>
      </c>
      <c r="AM174" s="114" t="s">
        <v>276</v>
      </c>
      <c r="AN174" s="43" t="s">
        <v>241</v>
      </c>
      <c r="AO174" s="43" t="s">
        <v>455</v>
      </c>
      <c r="AP174" s="43" t="s">
        <v>413</v>
      </c>
    </row>
    <row r="175" spans="1:42" ht="50.1" customHeight="1" x14ac:dyDescent="0.25">
      <c r="A175" s="43">
        <f>MONTH(TAB_HISTORICO_MANUT[[#This Row],[Hora Final]])-MONTH(TAB_HISTORICO_MANUT[[#This Row],[Hora Inicio]])</f>
        <v>0</v>
      </c>
      <c r="B175" s="42"/>
      <c r="C175" s="43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Inicio]]=Z174,TAB_HISTORICO_MANUT[[#This Row],[Equipamento]]=AA174,TAB_HISTORICO_MANUT[[#This Row],[Descricao Despacho]]=AD174),0,1)))</f>
        <v>1</v>
      </c>
      <c r="O17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175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17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175" s="50">
        <f>IF($Q175="","",(TAB_HISTORICO_MANUT[[#This Row],[Hora Final]]-TAB_HISTORICO_MANUT[[#This Row],[Hora Inicio]])*24)</f>
        <v>0.60138888889923692</v>
      </c>
      <c r="S17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75" s="54" t="str">
        <f>IF(AND(TAB_HISTORICO_MANUT[[#This Row],[EXPURGO Mãe]]="SIM",TAB_HISTORICO_MANUT[[#This Row],[Tipo]]="MÃE"),"EXP.MAE",IF(TAB_HISTORICO_MANUT[[#This Row],[EXPURGO Mãe]]="NÃO","NÃO EXP.MAE",T174))</f>
        <v>NÃO EXP.MAE</v>
      </c>
      <c r="U17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75" s="56">
        <f>IF(TAB_HISTORICO_MANUT[[#This Row],[EXPURGO Filhas]]="SIM",MAX(TAB_HISTORICO_MANUT[[#This Row],[Hora Final]]-TAB_HISTORICO_MANUT[[#This Row],[Hora Inicio]],0),0)</f>
        <v>0</v>
      </c>
      <c r="W17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7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75" s="46">
        <v>46181.561296296299</v>
      </c>
      <c r="Z175" s="47">
        <v>46181.586354166669</v>
      </c>
      <c r="AA175" s="48" t="s">
        <v>209</v>
      </c>
      <c r="AB175" s="48"/>
      <c r="AC175" s="43" t="s">
        <v>882</v>
      </c>
      <c r="AD175" s="46" t="s">
        <v>146</v>
      </c>
      <c r="AE175" s="46" t="s">
        <v>883</v>
      </c>
      <c r="AF175" s="88" t="s">
        <v>210</v>
      </c>
      <c r="AG175" s="105">
        <f>IF(TAB_HISTORICO_MANUT[[#This Row],[Hora Inicio]]="","",MONTH(TAB_HISTORICO_MANUT[[#This Row],[Hora Inicio]]))</f>
        <v>6</v>
      </c>
      <c r="AH175" s="58"/>
      <c r="AI175" s="43" t="s">
        <v>25</v>
      </c>
      <c r="AJ175" s="43" t="s">
        <v>25</v>
      </c>
      <c r="AK175" s="43" t="s">
        <v>25</v>
      </c>
      <c r="AL175" s="43" t="s">
        <v>25</v>
      </c>
      <c r="AM175" s="114" t="s">
        <v>25</v>
      </c>
      <c r="AN175" s="43"/>
      <c r="AO175" s="43"/>
      <c r="AP175" s="43"/>
    </row>
    <row r="176" spans="1:42" ht="50.1" customHeight="1" x14ac:dyDescent="0.25">
      <c r="A176" s="43">
        <f>MONTH(TAB_HISTORICO_MANUT[[#This Row],[Hora Final]])-MONTH(TAB_HISTORICO_MANUT[[#This Row],[Hora Inicio]])</f>
        <v>0</v>
      </c>
      <c r="B176" s="42"/>
      <c r="C176" s="43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Inicio]]=Z175,TAB_HISTORICO_MANUT[[#This Row],[Equipamento]]=AA175,TAB_HISTORICO_MANUT[[#This Row],[Descricao Despacho]]=AD175),0,1)))</f>
        <v>1</v>
      </c>
      <c r="O17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ALERTA DE PROXIMIDADE</v>
      </c>
      <c r="P17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7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176" s="50">
        <f>IF($Q176="","",(TAB_HISTORICO_MANUT[[#This Row],[Hora Final]]-TAB_HISTORICO_MANUT[[#This Row],[Hora Inicio]])*24)</f>
        <v>0.78944444441003725</v>
      </c>
      <c r="S17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176" s="54" t="str">
        <f>IF(AND(TAB_HISTORICO_MANUT[[#This Row],[EXPURGO Mãe]]="SIM",TAB_HISTORICO_MANUT[[#This Row],[Tipo]]="MÃE"),"EXP.MAE",IF(TAB_HISTORICO_MANUT[[#This Row],[EXPURGO Mãe]]="NÃO","NÃO EXP.MAE",T175))</f>
        <v>EXP.MAE</v>
      </c>
      <c r="U17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76" s="56">
        <f>IF(TAB_HISTORICO_MANUT[[#This Row],[EXPURGO Filhas]]="SIM",MAX(TAB_HISTORICO_MANUT[[#This Row],[Hora Final]]-TAB_HISTORICO_MANUT[[#This Row],[Hora Inicio]],0),0)</f>
        <v>0</v>
      </c>
      <c r="W17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7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76" s="46">
        <v>46181.804236111115</v>
      </c>
      <c r="Z176" s="47">
        <v>46181.837129629632</v>
      </c>
      <c r="AA176" s="48" t="s">
        <v>209</v>
      </c>
      <c r="AB176" s="48" t="s">
        <v>1128</v>
      </c>
      <c r="AC176" s="43" t="s">
        <v>212</v>
      </c>
      <c r="AD176" s="46" t="s">
        <v>144</v>
      </c>
      <c r="AE176" s="46" t="s">
        <v>214</v>
      </c>
      <c r="AF176" s="88" t="s">
        <v>210</v>
      </c>
      <c r="AG176" s="105">
        <f>IF(TAB_HISTORICO_MANUT[[#This Row],[Hora Inicio]]="","",MONTH(TAB_HISTORICO_MANUT[[#This Row],[Hora Inicio]]))</f>
        <v>6</v>
      </c>
      <c r="AH176" s="58" t="s">
        <v>1129</v>
      </c>
      <c r="AI176" s="43" t="s">
        <v>153</v>
      </c>
      <c r="AJ176" s="43" t="s">
        <v>428</v>
      </c>
      <c r="AK176" s="43" t="s">
        <v>1130</v>
      </c>
      <c r="AL176" s="43" t="s">
        <v>1131</v>
      </c>
      <c r="AM176" s="114" t="s">
        <v>1132</v>
      </c>
      <c r="AN176" s="43" t="s">
        <v>215</v>
      </c>
      <c r="AO176" s="43" t="s">
        <v>759</v>
      </c>
      <c r="AP176" s="43" t="s">
        <v>760</v>
      </c>
    </row>
    <row r="177" spans="1:42" ht="50.1" customHeight="1" x14ac:dyDescent="0.25">
      <c r="A177" s="43">
        <f>MONTH(TAB_HISTORICO_MANUT[[#This Row],[Hora Final]])-MONTH(TAB_HISTORICO_MANUT[[#This Row],[Hora Inicio]])</f>
        <v>0</v>
      </c>
      <c r="B177" s="42"/>
      <c r="C177" s="43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Inicio]]=Z176,TAB_HISTORICO_MANUT[[#This Row],[Equipamento]]=AA176,TAB_HISTORICO_MANUT[[#This Row],[Descricao Despacho]]=AD176),0,1)))</f>
        <v>1</v>
      </c>
      <c r="O17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177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7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77" s="50">
        <f>IF($Q177="","",(TAB_HISTORICO_MANUT[[#This Row],[Hora Final]]-TAB_HISTORICO_MANUT[[#This Row],[Hora Inicio]])*24)</f>
        <v>0.40277777781011537</v>
      </c>
      <c r="S17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77" s="54" t="str">
        <f>IF(AND(TAB_HISTORICO_MANUT[[#This Row],[EXPURGO Mãe]]="SIM",TAB_HISTORICO_MANUT[[#This Row],[Tipo]]="MÃE"),"EXP.MAE",IF(TAB_HISTORICO_MANUT[[#This Row],[EXPURGO Mãe]]="NÃO","NÃO EXP.MAE",T176))</f>
        <v>NÃO EXP.MAE</v>
      </c>
      <c r="U17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77" s="56">
        <f>IF(TAB_HISTORICO_MANUT[[#This Row],[EXPURGO Filhas]]="SIM",MAX(TAB_HISTORICO_MANUT[[#This Row],[Hora Final]]-TAB_HISTORICO_MANUT[[#This Row],[Hora Inicio]],0),0)</f>
        <v>0</v>
      </c>
      <c r="W17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7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77" s="46">
        <v>46183.594687500001</v>
      </c>
      <c r="Z177" s="47">
        <v>46183.61146990741</v>
      </c>
      <c r="AA177" s="48" t="s">
        <v>209</v>
      </c>
      <c r="AB177" s="48" t="s">
        <v>1138</v>
      </c>
      <c r="AC177" s="43" t="s">
        <v>204</v>
      </c>
      <c r="AD177" s="46" t="s">
        <v>144</v>
      </c>
      <c r="AE177" s="46" t="s">
        <v>172</v>
      </c>
      <c r="AF177" s="88" t="s">
        <v>210</v>
      </c>
      <c r="AG177" s="105">
        <f>IF(TAB_HISTORICO_MANUT[[#This Row],[Hora Inicio]]="","",MONTH(TAB_HISTORICO_MANUT[[#This Row],[Hora Inicio]]))</f>
        <v>6</v>
      </c>
      <c r="AH177" s="58" t="s">
        <v>1139</v>
      </c>
      <c r="AI177" s="43" t="s">
        <v>235</v>
      </c>
      <c r="AJ177" s="43" t="s">
        <v>717</v>
      </c>
      <c r="AK177" s="43" t="s">
        <v>422</v>
      </c>
      <c r="AL177" s="43" t="s">
        <v>279</v>
      </c>
      <c r="AM177" s="114" t="s">
        <v>280</v>
      </c>
      <c r="AN177" s="43" t="s">
        <v>217</v>
      </c>
      <c r="AO177" s="43" t="s">
        <v>729</v>
      </c>
      <c r="AP177" s="43" t="s">
        <v>403</v>
      </c>
    </row>
    <row r="178" spans="1:42" ht="50.1" customHeight="1" x14ac:dyDescent="0.25">
      <c r="A178" s="43">
        <f>MONTH(TAB_HISTORICO_MANUT[[#This Row],[Hora Final]])-MONTH(TAB_HISTORICO_MANUT[[#This Row],[Hora Inicio]])</f>
        <v>0</v>
      </c>
      <c r="B178" s="42"/>
      <c r="C178" s="43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Inicio]]=Z177,TAB_HISTORICO_MANUT[[#This Row],[Equipamento]]=AA177,TAB_HISTORICO_MANUT[[#This Row],[Descricao Despacho]]=AD177),0,1)))</f>
        <v>1</v>
      </c>
      <c r="O17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ALERTA DE PROXIMIDADE</v>
      </c>
      <c r="P178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7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178" s="50">
        <f>IF($Q178="","",(TAB_HISTORICO_MANUT[[#This Row],[Hora Final]]-TAB_HISTORICO_MANUT[[#This Row],[Hora Inicio]])*24)</f>
        <v>4.5736111112055369</v>
      </c>
      <c r="S17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178" s="54" t="str">
        <f>IF(AND(TAB_HISTORICO_MANUT[[#This Row],[EXPURGO Mãe]]="SIM",TAB_HISTORICO_MANUT[[#This Row],[Tipo]]="MÃE"),"EXP.MAE",IF(TAB_HISTORICO_MANUT[[#This Row],[EXPURGO Mãe]]="NÃO","NÃO EXP.MAE",T177))</f>
        <v>EXP.MAE</v>
      </c>
      <c r="U17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78" s="56">
        <f>IF(TAB_HISTORICO_MANUT[[#This Row],[EXPURGO Filhas]]="SIM",MAX(TAB_HISTORICO_MANUT[[#This Row],[Hora Final]]-TAB_HISTORICO_MANUT[[#This Row],[Hora Inicio]],0),0)</f>
        <v>0</v>
      </c>
      <c r="W17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7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78" s="46">
        <v>46184.381655092591</v>
      </c>
      <c r="Z178" s="47">
        <v>46184.572222222225</v>
      </c>
      <c r="AA178" s="48" t="s">
        <v>209</v>
      </c>
      <c r="AB178" s="48" t="s">
        <v>1140</v>
      </c>
      <c r="AC178" s="43" t="s">
        <v>212</v>
      </c>
      <c r="AD178" s="46" t="s">
        <v>144</v>
      </c>
      <c r="AE178" s="46" t="s">
        <v>214</v>
      </c>
      <c r="AF178" s="88" t="s">
        <v>210</v>
      </c>
      <c r="AG178" s="105">
        <f>IF(TAB_HISTORICO_MANUT[[#This Row],[Hora Inicio]]="","",MONTH(TAB_HISTORICO_MANUT[[#This Row],[Hora Inicio]]))</f>
        <v>6</v>
      </c>
      <c r="AH178" s="58" t="s">
        <v>1150</v>
      </c>
      <c r="AI178" s="43" t="s">
        <v>153</v>
      </c>
      <c r="AJ178" s="43" t="s">
        <v>428</v>
      </c>
      <c r="AK178" s="43" t="s">
        <v>290</v>
      </c>
      <c r="AL178" s="43" t="s">
        <v>282</v>
      </c>
      <c r="AM178" s="114" t="s">
        <v>283</v>
      </c>
      <c r="AN178" s="43" t="s">
        <v>241</v>
      </c>
      <c r="AO178" s="43" t="s">
        <v>412</v>
      </c>
      <c r="AP178" s="43" t="s">
        <v>413</v>
      </c>
    </row>
    <row r="179" spans="1:42" ht="50.1" customHeight="1" x14ac:dyDescent="0.25">
      <c r="A179" s="43">
        <f>MONTH(TAB_HISTORICO_MANUT[[#This Row],[Hora Final]])-MONTH(TAB_HISTORICO_MANUT[[#This Row],[Hora Inicio]])</f>
        <v>0</v>
      </c>
      <c r="B179" s="42"/>
      <c r="C179" s="43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Inicio]]=Z178,TAB_HISTORICO_MANUT[[#This Row],[Equipamento]]=AA178,TAB_HISTORICO_MANUT[[#This Row],[Descricao Despacho]]=AD178),0,1)))</f>
        <v>1</v>
      </c>
      <c r="O17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COMBATE INCENDIO</v>
      </c>
      <c r="P179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7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179" s="50">
        <f>IF($Q179="","",(TAB_HISTORICO_MANUT[[#This Row],[Hora Final]]-TAB_HISTORICO_MANUT[[#This Row],[Hora Inicio]])*24)</f>
        <v>0.55166666675359011</v>
      </c>
      <c r="S17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179" s="54" t="str">
        <f>IF(AND(TAB_HISTORICO_MANUT[[#This Row],[EXPURGO Mãe]]="SIM",TAB_HISTORICO_MANUT[[#This Row],[Tipo]]="MÃE"),"EXP.MAE",IF(TAB_HISTORICO_MANUT[[#This Row],[EXPURGO Mãe]]="NÃO","NÃO EXP.MAE",T178))</f>
        <v>EXP.MAE</v>
      </c>
      <c r="U17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79" s="56">
        <f>IF(TAB_HISTORICO_MANUT[[#This Row],[EXPURGO Filhas]]="SIM",MAX(TAB_HISTORICO_MANUT[[#This Row],[Hora Final]]-TAB_HISTORICO_MANUT[[#This Row],[Hora Inicio]],0),0)</f>
        <v>0</v>
      </c>
      <c r="W17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7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79" s="46">
        <v>46186.746041666665</v>
      </c>
      <c r="Z179" s="47">
        <v>46186.76902777778</v>
      </c>
      <c r="AA179" s="48" t="s">
        <v>209</v>
      </c>
      <c r="AB179" s="48" t="s">
        <v>240</v>
      </c>
      <c r="AC179" s="43" t="s">
        <v>204</v>
      </c>
      <c r="AD179" s="46" t="s">
        <v>144</v>
      </c>
      <c r="AE179" s="46" t="s">
        <v>172</v>
      </c>
      <c r="AF179" s="88" t="s">
        <v>210</v>
      </c>
      <c r="AG179" s="105">
        <f>IF(TAB_HISTORICO_MANUT[[#This Row],[Hora Inicio]]="","",MONTH(TAB_HISTORICO_MANUT[[#This Row],[Hora Inicio]]))</f>
        <v>6</v>
      </c>
      <c r="AH179" s="58" t="s">
        <v>1153</v>
      </c>
      <c r="AI179" s="43" t="s">
        <v>152</v>
      </c>
      <c r="AJ179" s="43" t="s">
        <v>1159</v>
      </c>
      <c r="AK179" s="43" t="s">
        <v>290</v>
      </c>
      <c r="AL179" s="43" t="s">
        <v>479</v>
      </c>
      <c r="AM179" s="43" t="s">
        <v>238</v>
      </c>
      <c r="AN179" s="43" t="s">
        <v>215</v>
      </c>
      <c r="AO179" s="43" t="s">
        <v>842</v>
      </c>
      <c r="AP179" s="43" t="s">
        <v>932</v>
      </c>
    </row>
    <row r="180" spans="1:42" ht="50.1" customHeight="1" x14ac:dyDescent="0.25">
      <c r="A180" s="43">
        <f>MONTH(TAB_HISTORICO_MANUT[[#This Row],[Hora Final]])-MONTH(TAB_HISTORICO_MANUT[[#This Row],[Hora Inicio]])</f>
        <v>0</v>
      </c>
      <c r="B180" s="42"/>
      <c r="C180" s="43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Inicio]]=Z179,TAB_HISTORICO_MANUT[[#This Row],[Equipamento]]=AA179,TAB_HISTORICO_MANUT[[#This Row],[Descricao Despacho]]=AD179),0,1)))</f>
        <v>0</v>
      </c>
      <c r="O18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COMBATE INCENDIO</v>
      </c>
      <c r="P180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8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180" s="50">
        <f>IF($Q180="","",(TAB_HISTORICO_MANUT[[#This Row],[Hora Final]]-TAB_HISTORICO_MANUT[[#This Row],[Hora Inicio]])*24)</f>
        <v>2.2802777776960284</v>
      </c>
      <c r="S18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180" s="54" t="str">
        <f>IF(AND(TAB_HISTORICO_MANUT[[#This Row],[EXPURGO Mãe]]="SIM",TAB_HISTORICO_MANUT[[#This Row],[Tipo]]="MÃE"),"EXP.MAE",IF(TAB_HISTORICO_MANUT[[#This Row],[EXPURGO Mãe]]="NÃO","NÃO EXP.MAE",T179))</f>
        <v>EXP.MAE</v>
      </c>
      <c r="U18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80" s="56">
        <f>IF(TAB_HISTORICO_MANUT[[#This Row],[EXPURGO Filhas]]="SIM",MAX(TAB_HISTORICO_MANUT[[#This Row],[Hora Final]]-TAB_HISTORICO_MANUT[[#This Row],[Hora Inicio]],0),0)</f>
        <v>0</v>
      </c>
      <c r="W18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8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80" s="46">
        <v>46186.76902777778</v>
      </c>
      <c r="Z180" s="47">
        <v>46186.864039351851</v>
      </c>
      <c r="AA180" s="48" t="s">
        <v>209</v>
      </c>
      <c r="AB180" s="48" t="s">
        <v>1142</v>
      </c>
      <c r="AC180" s="43" t="s">
        <v>204</v>
      </c>
      <c r="AD180" s="46" t="s">
        <v>144</v>
      </c>
      <c r="AE180" s="46" t="s">
        <v>172</v>
      </c>
      <c r="AF180" s="88" t="s">
        <v>210</v>
      </c>
      <c r="AG180" s="105">
        <f>IF(TAB_HISTORICO_MANUT[[#This Row],[Hora Inicio]]="","",MONTH(TAB_HISTORICO_MANUT[[#This Row],[Hora Inicio]]))</f>
        <v>6</v>
      </c>
      <c r="AH180" s="58" t="s">
        <v>1153</v>
      </c>
      <c r="AI180" s="43" t="s">
        <v>152</v>
      </c>
      <c r="AJ180" s="43" t="s">
        <v>1159</v>
      </c>
      <c r="AK180" s="43" t="s">
        <v>290</v>
      </c>
      <c r="AL180" s="43" t="s">
        <v>479</v>
      </c>
      <c r="AM180" s="43" t="s">
        <v>238</v>
      </c>
      <c r="AN180" s="43" t="s">
        <v>215</v>
      </c>
      <c r="AO180" s="43" t="s">
        <v>1145</v>
      </c>
      <c r="AP180" s="43" t="s">
        <v>1146</v>
      </c>
    </row>
    <row r="181" spans="1:42" ht="50.1" customHeight="1" x14ac:dyDescent="0.25">
      <c r="A181" s="43">
        <f>MONTH(TAB_HISTORICO_MANUT[[#This Row],[Hora Final]])-MONTH(TAB_HISTORICO_MANUT[[#This Row],[Hora Inicio]])</f>
        <v>0</v>
      </c>
      <c r="B181" s="42"/>
      <c r="C181" s="43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Inicio]]=Z180,TAB_HISTORICO_MANUT[[#This Row],[Equipamento]]=AA180,TAB_HISTORICO_MANUT[[#This Row],[Descricao Despacho]]=AD180),0,1)))</f>
        <v>1</v>
      </c>
      <c r="O18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181" s="50" t="str">
        <f>IF(TAB_HISTORICO_MANUT[[#This Row],[CONT. OCOR.]]="","",IF(TAB_HISTORICO_MANUT[[#This Row],[Ajuste - Cod. Despacho]]="",TAB_HISTORICO_MANUT[[#This Row],[Descricao Despacho]],TAB_HISTORICO_MANUT[[#This Row],[Ajuste - Cod. Despacho]]))</f>
        <v>HAC - Hora Acidente</v>
      </c>
      <c r="Q18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Acidente operacional</v>
      </c>
      <c r="R181" s="50">
        <f>IF($Q181="","",(TAB_HISTORICO_MANUT[[#This Row],[Hora Final]]-TAB_HISTORICO_MANUT[[#This Row],[Hora Inicio]])*24)</f>
        <v>14.800833333400078</v>
      </c>
      <c r="S18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181" s="54" t="str">
        <f>IF(AND(TAB_HISTORICO_MANUT[[#This Row],[EXPURGO Mãe]]="SIM",TAB_HISTORICO_MANUT[[#This Row],[Tipo]]="MÃE"),"EXP.MAE",IF(TAB_HISTORICO_MANUT[[#This Row],[EXPURGO Mãe]]="NÃO","NÃO EXP.MAE",T180))</f>
        <v>EXP.MAE</v>
      </c>
      <c r="U18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81" s="56">
        <f>IF(TAB_HISTORICO_MANUT[[#This Row],[EXPURGO Filhas]]="SIM",MAX(TAB_HISTORICO_MANUT[[#This Row],[Hora Final]]-TAB_HISTORICO_MANUT[[#This Row],[Hora Inicio]],0),0)</f>
        <v>0</v>
      </c>
      <c r="W18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8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81" s="46">
        <v>46190.104513888888</v>
      </c>
      <c r="Z181" s="47">
        <v>46190.721215277779</v>
      </c>
      <c r="AA181" s="48" t="s">
        <v>209</v>
      </c>
      <c r="AB181" s="48"/>
      <c r="AC181" s="43" t="s">
        <v>243</v>
      </c>
      <c r="AD181" s="46" t="s">
        <v>147</v>
      </c>
      <c r="AE181" s="46" t="s">
        <v>244</v>
      </c>
      <c r="AF181" s="88" t="s">
        <v>210</v>
      </c>
      <c r="AG181" s="105">
        <f>IF(TAB_HISTORICO_MANUT[[#This Row],[Hora Inicio]]="","",MONTH(TAB_HISTORICO_MANUT[[#This Row],[Hora Inicio]]))</f>
        <v>6</v>
      </c>
      <c r="AH181" s="58" t="s">
        <v>1176</v>
      </c>
      <c r="AI181" s="43" t="s">
        <v>23</v>
      </c>
      <c r="AJ181" s="43" t="s">
        <v>277</v>
      </c>
      <c r="AK181" s="43" t="s">
        <v>1180</v>
      </c>
      <c r="AL181" s="43" t="s">
        <v>275</v>
      </c>
      <c r="AM181" s="43" t="s">
        <v>276</v>
      </c>
      <c r="AN181" s="43"/>
      <c r="AO181" s="43"/>
      <c r="AP181" s="43"/>
    </row>
    <row r="182" spans="1:42" ht="50.1" customHeight="1" x14ac:dyDescent="0.25">
      <c r="A182" s="43">
        <f>MONTH(TAB_HISTORICO_MANUT[[#This Row],[Hora Final]])-MONTH(TAB_HISTORICO_MANUT[[#This Row],[Hora Inicio]])</f>
        <v>0</v>
      </c>
      <c r="B182" s="42"/>
      <c r="C182" s="43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Inicio]]=Z181,TAB_HISTORICO_MANUT[[#This Row],[Equipamento]]=AA181,TAB_HISTORICO_MANUT[[#This Row],[Descricao Despacho]]=AD181),0,1)))</f>
        <v>1</v>
      </c>
      <c r="O18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182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8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82" s="50">
        <f>IF($Q182="","",(TAB_HISTORICO_MANUT[[#This Row],[Hora Final]]-TAB_HISTORICO_MANUT[[#This Row],[Hora Inicio]])*24)</f>
        <v>1.8133333334117197</v>
      </c>
      <c r="S18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82" s="54" t="str">
        <f>IF(AND(TAB_HISTORICO_MANUT[[#This Row],[EXPURGO Mãe]]="SIM",TAB_HISTORICO_MANUT[[#This Row],[Tipo]]="MÃE"),"EXP.MAE",IF(TAB_HISTORICO_MANUT[[#This Row],[EXPURGO Mãe]]="NÃO","NÃO EXP.MAE",T181))</f>
        <v>NÃO EXP.MAE</v>
      </c>
      <c r="U18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82" s="56">
        <f>IF(TAB_HISTORICO_MANUT[[#This Row],[EXPURGO Filhas]]="SIM",MAX(TAB_HISTORICO_MANUT[[#This Row],[Hora Final]]-TAB_HISTORICO_MANUT[[#This Row],[Hora Inicio]],0),0)</f>
        <v>0</v>
      </c>
      <c r="W18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8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82" s="46">
        <v>46191.399236111109</v>
      </c>
      <c r="Z182" s="47">
        <v>46191.474791666667</v>
      </c>
      <c r="AA182" s="48" t="s">
        <v>209</v>
      </c>
      <c r="AB182" s="48" t="s">
        <v>1182</v>
      </c>
      <c r="AC182" s="43" t="s">
        <v>204</v>
      </c>
      <c r="AD182" s="46" t="s">
        <v>144</v>
      </c>
      <c r="AE182" s="46" t="s">
        <v>172</v>
      </c>
      <c r="AF182" s="88" t="s">
        <v>210</v>
      </c>
      <c r="AG182" s="105">
        <f>IF(TAB_HISTORICO_MANUT[[#This Row],[Hora Inicio]]="","",MONTH(TAB_HISTORICO_MANUT[[#This Row],[Hora Inicio]]))</f>
        <v>6</v>
      </c>
      <c r="AH182" s="58" t="s">
        <v>1181</v>
      </c>
      <c r="AI182" s="43" t="s">
        <v>24</v>
      </c>
      <c r="AJ182" s="43" t="s">
        <v>717</v>
      </c>
      <c r="AK182" s="43" t="s">
        <v>422</v>
      </c>
      <c r="AL182" s="43" t="s">
        <v>279</v>
      </c>
      <c r="AM182" s="43" t="s">
        <v>280</v>
      </c>
      <c r="AN182" s="43" t="s">
        <v>217</v>
      </c>
      <c r="AO182" s="43" t="s">
        <v>405</v>
      </c>
      <c r="AP182" s="43" t="s">
        <v>403</v>
      </c>
    </row>
    <row r="183" spans="1:42" ht="50.1" customHeight="1" x14ac:dyDescent="0.25">
      <c r="A183" s="43">
        <f>MONTH(TAB_HISTORICO_MANUT[[#This Row],[Hora Final]])-MONTH(TAB_HISTORICO_MANUT[[#This Row],[Hora Inicio]])</f>
        <v>0</v>
      </c>
      <c r="B183" s="42"/>
      <c r="C183" s="43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Inicio]]=Z182,TAB_HISTORICO_MANUT[[#This Row],[Equipamento]]=AA182,TAB_HISTORICO_MANUT[[#This Row],[Descricao Despacho]]=AD182),0,1)))</f>
        <v/>
      </c>
      <c r="O18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183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18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183" s="50" t="str">
        <f>IF($Q183="","",(TAB_HISTORICO_MANUT[[#This Row],[Hora Final]]-TAB_HISTORICO_MANUT[[#This Row],[Hora Inicio]])*24)</f>
        <v/>
      </c>
      <c r="S18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183" s="54" t="str">
        <f>IF(AND(TAB_HISTORICO_MANUT[[#This Row],[EXPURGO Mãe]]="SIM",TAB_HISTORICO_MANUT[[#This Row],[Tipo]]="MÃE"),"EXP.MAE",IF(TAB_HISTORICO_MANUT[[#This Row],[EXPURGO Mãe]]="NÃO","NÃO EXP.MAE",T182))</f>
        <v>NÃO EXP.MAE</v>
      </c>
      <c r="U18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183" s="56">
        <f>IF(TAB_HISTORICO_MANUT[[#This Row],[EXPURGO Filhas]]="SIM",MAX(TAB_HISTORICO_MANUT[[#This Row],[Hora Final]]-TAB_HISTORICO_MANUT[[#This Row],[Hora Inicio]],0),0)</f>
        <v>3.680555555911269E-2</v>
      </c>
      <c r="W18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8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83" s="46">
        <v>46191.4375</v>
      </c>
      <c r="Z183" s="47">
        <v>46191.474305555559</v>
      </c>
      <c r="AA183" s="48" t="s">
        <v>209</v>
      </c>
      <c r="AB183" s="48">
        <v>202603128887</v>
      </c>
      <c r="AC183" s="43" t="s">
        <v>204</v>
      </c>
      <c r="AD183" s="46" t="s">
        <v>144</v>
      </c>
      <c r="AE183" s="46" t="s">
        <v>765</v>
      </c>
      <c r="AF183" s="88" t="s">
        <v>767</v>
      </c>
      <c r="AG183" s="105">
        <f>IF(TAB_HISTORICO_MANUT[[#This Row],[Hora Inicio]]="","",MONTH(TAB_HISTORICO_MANUT[[#This Row],[Hora Inicio]]))</f>
        <v>6</v>
      </c>
      <c r="AH183" s="58" t="s">
        <v>1304</v>
      </c>
      <c r="AI183" s="43" t="s">
        <v>24</v>
      </c>
      <c r="AJ183" s="43" t="s">
        <v>717</v>
      </c>
      <c r="AK183" s="43" t="s">
        <v>422</v>
      </c>
      <c r="AL183" s="43" t="s">
        <v>279</v>
      </c>
      <c r="AM183" s="43" t="s">
        <v>280</v>
      </c>
      <c r="AN183" s="43"/>
      <c r="AO183" s="43"/>
      <c r="AP183" s="43"/>
    </row>
    <row r="184" spans="1:42" ht="50.1" customHeight="1" x14ac:dyDescent="0.25">
      <c r="A184" s="43">
        <f>MONTH(TAB_HISTORICO_MANUT[[#This Row],[Hora Final]])-MONTH(TAB_HISTORICO_MANUT[[#This Row],[Hora Inicio]])</f>
        <v>0</v>
      </c>
      <c r="B184" s="42"/>
      <c r="C184" s="43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Inicio]]=Z183,TAB_HISTORICO_MANUT[[#This Row],[Equipamento]]=AA183,TAB_HISTORICO_MANUT[[#This Row],[Descricao Despacho]]=AD183),0,1)))</f>
        <v>1</v>
      </c>
      <c r="O18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184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8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84" s="50">
        <f>IF($Q184="","",(TAB_HISTORICO_MANUT[[#This Row],[Hora Final]]-TAB_HISTORICO_MANUT[[#This Row],[Hora Inicio]])*24)</f>
        <v>1.1133333334000781</v>
      </c>
      <c r="S18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84" s="54" t="str">
        <f>IF(AND(TAB_HISTORICO_MANUT[[#This Row],[EXPURGO Mãe]]="SIM",TAB_HISTORICO_MANUT[[#This Row],[Tipo]]="MÃE"),"EXP.MAE",IF(TAB_HISTORICO_MANUT[[#This Row],[EXPURGO Mãe]]="NÃO","NÃO EXP.MAE",T183))</f>
        <v>NÃO EXP.MAE</v>
      </c>
      <c r="U18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84" s="56">
        <f>IF(TAB_HISTORICO_MANUT[[#This Row],[EXPURGO Filhas]]="SIM",MAX(TAB_HISTORICO_MANUT[[#This Row],[Hora Final]]-TAB_HISTORICO_MANUT[[#This Row],[Hora Inicio]],0),0)</f>
        <v>0</v>
      </c>
      <c r="W18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8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84" s="46">
        <v>46192.677037037036</v>
      </c>
      <c r="Z184" s="47">
        <v>46192.723425925928</v>
      </c>
      <c r="AA184" s="48" t="s">
        <v>209</v>
      </c>
      <c r="AB184" s="48" t="s">
        <v>1184</v>
      </c>
      <c r="AC184" s="43" t="s">
        <v>204</v>
      </c>
      <c r="AD184" s="46" t="s">
        <v>144</v>
      </c>
      <c r="AE184" s="46" t="s">
        <v>172</v>
      </c>
      <c r="AF184" s="88" t="s">
        <v>210</v>
      </c>
      <c r="AG184" s="105">
        <f>IF(TAB_HISTORICO_MANUT[[#This Row],[Hora Inicio]]="","",MONTH(TAB_HISTORICO_MANUT[[#This Row],[Hora Inicio]]))</f>
        <v>6</v>
      </c>
      <c r="AH184" s="58" t="s">
        <v>1195</v>
      </c>
      <c r="AI184" s="43" t="s">
        <v>24</v>
      </c>
      <c r="AJ184" s="43" t="s">
        <v>223</v>
      </c>
      <c r="AK184" s="43" t="s">
        <v>422</v>
      </c>
      <c r="AL184" s="43" t="s">
        <v>279</v>
      </c>
      <c r="AM184" s="114" t="s">
        <v>280</v>
      </c>
      <c r="AN184" s="43" t="s">
        <v>217</v>
      </c>
      <c r="AO184" s="43" t="s">
        <v>405</v>
      </c>
      <c r="AP184" s="43" t="s">
        <v>403</v>
      </c>
    </row>
    <row r="185" spans="1:42" ht="50.1" customHeight="1" x14ac:dyDescent="0.25">
      <c r="A185" s="43">
        <f>MONTH(TAB_HISTORICO_MANUT[[#This Row],[Hora Final]])-MONTH(TAB_HISTORICO_MANUT[[#This Row],[Hora Inicio]])</f>
        <v>0</v>
      </c>
      <c r="B185" s="42"/>
      <c r="C185" s="43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Inicio]]=Z184,TAB_HISTORICO_MANUT[[#This Row],[Equipamento]]=AA184,TAB_HISTORICO_MANUT[[#This Row],[Descricao Despacho]]=AD184),0,1)))</f>
        <v/>
      </c>
      <c r="O18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185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18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185" s="50" t="str">
        <f>IF($Q185="","",(TAB_HISTORICO_MANUT[[#This Row],[Hora Final]]-TAB_HISTORICO_MANUT[[#This Row],[Hora Inicio]])*24)</f>
        <v/>
      </c>
      <c r="S18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185" s="54" t="str">
        <f>IF(AND(TAB_HISTORICO_MANUT[[#This Row],[EXPURGO Mãe]]="SIM",TAB_HISTORICO_MANUT[[#This Row],[Tipo]]="MÃE"),"EXP.MAE",IF(TAB_HISTORICO_MANUT[[#This Row],[EXPURGO Mãe]]="NÃO","NÃO EXP.MAE",T184))</f>
        <v>NÃO EXP.MAE</v>
      </c>
      <c r="U18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185" s="56">
        <f>IF(TAB_HISTORICO_MANUT[[#This Row],[EXPURGO Filhas]]="SIM",MAX(TAB_HISTORICO_MANUT[[#This Row],[Hora Final]]-TAB_HISTORICO_MANUT[[#This Row],[Hora Inicio]],0),0)</f>
        <v>1.3888888890505768E-2</v>
      </c>
      <c r="W18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8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85" s="46">
        <v>46192.701388888891</v>
      </c>
      <c r="Z185" s="47">
        <v>46192.715277777781</v>
      </c>
      <c r="AA185" s="48" t="s">
        <v>209</v>
      </c>
      <c r="AB185" s="48">
        <v>202603166032</v>
      </c>
      <c r="AC185" s="43" t="s">
        <v>204</v>
      </c>
      <c r="AD185" s="46" t="s">
        <v>144</v>
      </c>
      <c r="AE185" s="46" t="s">
        <v>765</v>
      </c>
      <c r="AF185" s="88" t="s">
        <v>767</v>
      </c>
      <c r="AG185" s="105">
        <f>IF(TAB_HISTORICO_MANUT[[#This Row],[Hora Inicio]]="","",MONTH(TAB_HISTORICO_MANUT[[#This Row],[Hora Inicio]]))</f>
        <v>6</v>
      </c>
      <c r="AH185" s="58" t="s">
        <v>1305</v>
      </c>
      <c r="AI185" s="43" t="s">
        <v>24</v>
      </c>
      <c r="AJ185" s="43" t="s">
        <v>223</v>
      </c>
      <c r="AK185" s="43" t="s">
        <v>422</v>
      </c>
      <c r="AL185" s="43" t="s">
        <v>279</v>
      </c>
      <c r="AM185" s="114" t="s">
        <v>280</v>
      </c>
      <c r="AN185" s="43"/>
      <c r="AO185" s="43"/>
      <c r="AP185" s="43"/>
    </row>
    <row r="186" spans="1:42" ht="50.1" customHeight="1" x14ac:dyDescent="0.25">
      <c r="A186" s="43">
        <f>MONTH(TAB_HISTORICO_MANUT[[#This Row],[Hora Final]])-MONTH(TAB_HISTORICO_MANUT[[#This Row],[Hora Inicio]])</f>
        <v>0</v>
      </c>
      <c r="B186" s="42"/>
      <c r="C186" s="43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Inicio]]=Z185,TAB_HISTORICO_MANUT[[#This Row],[Equipamento]]=AA185,TAB_HISTORICO_MANUT[[#This Row],[Descricao Despacho]]=AD185),0,1)))</f>
        <v>1</v>
      </c>
      <c r="O18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18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8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86" s="50">
        <f>IF($Q186="","",(TAB_HISTORICO_MANUT[[#This Row],[Hora Final]]-TAB_HISTORICO_MANUT[[#This Row],[Hora Inicio]])*24)</f>
        <v>1.3536111111170612</v>
      </c>
      <c r="S18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86" s="54" t="str">
        <f>IF(AND(TAB_HISTORICO_MANUT[[#This Row],[EXPURGO Mãe]]="SIM",TAB_HISTORICO_MANUT[[#This Row],[Tipo]]="MÃE"),"EXP.MAE",IF(TAB_HISTORICO_MANUT[[#This Row],[EXPURGO Mãe]]="NÃO","NÃO EXP.MAE",T185))</f>
        <v>NÃO EXP.MAE</v>
      </c>
      <c r="U18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86" s="56">
        <f>IF(TAB_HISTORICO_MANUT[[#This Row],[EXPURGO Filhas]]="SIM",MAX(TAB_HISTORICO_MANUT[[#This Row],[Hora Final]]-TAB_HISTORICO_MANUT[[#This Row],[Hora Inicio]],0),0)</f>
        <v>0</v>
      </c>
      <c r="W18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8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86" s="46">
        <v>46192.945127314815</v>
      </c>
      <c r="Z186" s="47">
        <v>46193.001527777778</v>
      </c>
      <c r="AA186" s="48" t="s">
        <v>209</v>
      </c>
      <c r="AB186" s="48" t="s">
        <v>1185</v>
      </c>
      <c r="AC186" s="43" t="s">
        <v>204</v>
      </c>
      <c r="AD186" s="46" t="s">
        <v>144</v>
      </c>
      <c r="AE186" s="46" t="s">
        <v>172</v>
      </c>
      <c r="AF186" s="88" t="s">
        <v>210</v>
      </c>
      <c r="AG186" s="105">
        <f>IF(TAB_HISTORICO_MANUT[[#This Row],[Hora Inicio]]="","",MONTH(TAB_HISTORICO_MANUT[[#This Row],[Hora Inicio]]))</f>
        <v>6</v>
      </c>
      <c r="AH186" s="58" t="s">
        <v>1196</v>
      </c>
      <c r="AI186" s="43" t="s">
        <v>235</v>
      </c>
      <c r="AJ186" s="43" t="s">
        <v>1207</v>
      </c>
      <c r="AK186" s="43" t="s">
        <v>422</v>
      </c>
      <c r="AL186" s="43" t="s">
        <v>1208</v>
      </c>
      <c r="AM186" s="114" t="s">
        <v>280</v>
      </c>
      <c r="AN186" s="43" t="s">
        <v>217</v>
      </c>
      <c r="AO186" s="43" t="s">
        <v>729</v>
      </c>
      <c r="AP186" s="43" t="s">
        <v>403</v>
      </c>
    </row>
    <row r="187" spans="1:42" ht="50.1" customHeight="1" x14ac:dyDescent="0.25">
      <c r="A187" s="43">
        <f>MONTH(TAB_HISTORICO_MANUT[[#This Row],[Hora Final]])-MONTH(TAB_HISTORICO_MANUT[[#This Row],[Hora Inicio]])</f>
        <v>0</v>
      </c>
      <c r="B187" s="42"/>
      <c r="C187" s="43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Inicio]]=Z186,TAB_HISTORICO_MANUT[[#This Row],[Equipamento]]=AA186,TAB_HISTORICO_MANUT[[#This Row],[Descricao Despacho]]=AD186),0,1)))</f>
        <v>1</v>
      </c>
      <c r="O18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187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8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87" s="50">
        <f>IF($Q187="","",(TAB_HISTORICO_MANUT[[#This Row],[Hora Final]]-TAB_HISTORICO_MANUT[[#This Row],[Hora Inicio]])*24)</f>
        <v>5.8722222222131677</v>
      </c>
      <c r="S18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87" s="54" t="str">
        <f>IF(AND(TAB_HISTORICO_MANUT[[#This Row],[EXPURGO Mãe]]="SIM",TAB_HISTORICO_MANUT[[#This Row],[Tipo]]="MÃE"),"EXP.MAE",IF(TAB_HISTORICO_MANUT[[#This Row],[EXPURGO Mãe]]="NÃO","NÃO EXP.MAE",T186))</f>
        <v>NÃO EXP.MAE</v>
      </c>
      <c r="U18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87" s="56">
        <f>IF(TAB_HISTORICO_MANUT[[#This Row],[EXPURGO Filhas]]="SIM",MAX(TAB_HISTORICO_MANUT[[#This Row],[Hora Final]]-TAB_HISTORICO_MANUT[[#This Row],[Hora Inicio]],0),0)</f>
        <v>0</v>
      </c>
      <c r="W18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8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87" s="46">
        <v>46193.627187500002</v>
      </c>
      <c r="Z187" s="47">
        <v>46193.871863425928</v>
      </c>
      <c r="AA187" s="48" t="s">
        <v>209</v>
      </c>
      <c r="AB187" s="48" t="s">
        <v>1189</v>
      </c>
      <c r="AC187" s="43" t="s">
        <v>204</v>
      </c>
      <c r="AD187" s="46" t="s">
        <v>144</v>
      </c>
      <c r="AE187" s="46" t="s">
        <v>172</v>
      </c>
      <c r="AF187" s="88" t="s">
        <v>210</v>
      </c>
      <c r="AG187" s="105">
        <f>IF(TAB_HISTORICO_MANUT[[#This Row],[Hora Inicio]]="","",MONTH(TAB_HISTORICO_MANUT[[#This Row],[Hora Inicio]]))</f>
        <v>6</v>
      </c>
      <c r="AH187" s="58" t="s">
        <v>1201</v>
      </c>
      <c r="AI187" s="43" t="s">
        <v>24</v>
      </c>
      <c r="AJ187" s="43" t="s">
        <v>223</v>
      </c>
      <c r="AK187" s="43" t="s">
        <v>422</v>
      </c>
      <c r="AL187" s="43" t="s">
        <v>279</v>
      </c>
      <c r="AM187" s="114" t="s">
        <v>280</v>
      </c>
      <c r="AN187" s="43" t="s">
        <v>217</v>
      </c>
      <c r="AO187" s="43" t="s">
        <v>405</v>
      </c>
      <c r="AP187" s="43" t="s">
        <v>403</v>
      </c>
    </row>
    <row r="188" spans="1:42" ht="50.1" customHeight="1" x14ac:dyDescent="0.25">
      <c r="A188" s="43">
        <f>MONTH(TAB_HISTORICO_MANUT[[#This Row],[Hora Final]])-MONTH(TAB_HISTORICO_MANUT[[#This Row],[Hora Inicio]])</f>
        <v>0</v>
      </c>
      <c r="B188" s="42"/>
      <c r="C188" s="43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Inicio]]=Z187,TAB_HISTORICO_MANUT[[#This Row],[Equipamento]]=AA187,TAB_HISTORICO_MANUT[[#This Row],[Descricao Despacho]]=AD187),0,1)))</f>
        <v/>
      </c>
      <c r="O18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188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18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188" s="50" t="str">
        <f>IF($Q188="","",(TAB_HISTORICO_MANUT[[#This Row],[Hora Final]]-TAB_HISTORICO_MANUT[[#This Row],[Hora Inicio]])*24)</f>
        <v/>
      </c>
      <c r="S18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188" s="54" t="str">
        <f>IF(AND(TAB_HISTORICO_MANUT[[#This Row],[EXPURGO Mãe]]="SIM",TAB_HISTORICO_MANUT[[#This Row],[Tipo]]="MÃE"),"EXP.MAE",IF(TAB_HISTORICO_MANUT[[#This Row],[EXPURGO Mãe]]="NÃO","NÃO EXP.MAE",T187))</f>
        <v>NÃO EXP.MAE</v>
      </c>
      <c r="U18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188" s="56">
        <f>IF(TAB_HISTORICO_MANUT[[#This Row],[EXPURGO Filhas]]="SIM",MAX(TAB_HISTORICO_MANUT[[#This Row],[Hora Final]]-TAB_HISTORICO_MANUT[[#This Row],[Hora Inicio]],0),0)</f>
        <v>2.9756944444670808E-2</v>
      </c>
      <c r="W18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8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88" s="46">
        <v>46193.627187500002</v>
      </c>
      <c r="Z188" s="47">
        <v>46193.656944444447</v>
      </c>
      <c r="AA188" s="48" t="s">
        <v>209</v>
      </c>
      <c r="AB188" s="48">
        <v>202603176651</v>
      </c>
      <c r="AC188" s="43" t="s">
        <v>204</v>
      </c>
      <c r="AD188" s="46" t="s">
        <v>144</v>
      </c>
      <c r="AE188" s="46" t="s">
        <v>772</v>
      </c>
      <c r="AF188" s="88" t="s">
        <v>767</v>
      </c>
      <c r="AG188" s="105">
        <f>IF(TAB_HISTORICO_MANUT[[#This Row],[Hora Inicio]]="","",MONTH(TAB_HISTORICO_MANUT[[#This Row],[Hora Inicio]]))</f>
        <v>6</v>
      </c>
      <c r="AH188" s="58" t="s">
        <v>1285</v>
      </c>
      <c r="AI188" s="43" t="s">
        <v>24</v>
      </c>
      <c r="AJ188" s="43" t="s">
        <v>223</v>
      </c>
      <c r="AK188" s="43" t="s">
        <v>422</v>
      </c>
      <c r="AL188" s="43" t="s">
        <v>279</v>
      </c>
      <c r="AM188" s="114" t="s">
        <v>280</v>
      </c>
      <c r="AN188" s="43"/>
      <c r="AO188" s="43"/>
      <c r="AP188" s="43"/>
    </row>
    <row r="189" spans="1:42" ht="50.1" customHeight="1" x14ac:dyDescent="0.25">
      <c r="A189" s="43">
        <f>MONTH(TAB_HISTORICO_MANUT[[#This Row],[Hora Final]])-MONTH(TAB_HISTORICO_MANUT[[#This Row],[Hora Inicio]])</f>
        <v>0</v>
      </c>
      <c r="B189" s="42"/>
      <c r="C189" s="43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Inicio]]=Z188,TAB_HISTORICO_MANUT[[#This Row],[Equipamento]]=AA188,TAB_HISTORICO_MANUT[[#This Row],[Descricao Despacho]]=AD188),0,1)))</f>
        <v/>
      </c>
      <c r="O18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189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18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189" s="50" t="str">
        <f>IF($Q189="","",(TAB_HISTORICO_MANUT[[#This Row],[Hora Final]]-TAB_HISTORICO_MANUT[[#This Row],[Hora Inicio]])*24)</f>
        <v/>
      </c>
      <c r="S18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189" s="54" t="str">
        <f>IF(AND(TAB_HISTORICO_MANUT[[#This Row],[EXPURGO Mãe]]="SIM",TAB_HISTORICO_MANUT[[#This Row],[Tipo]]="MÃE"),"EXP.MAE",IF(TAB_HISTORICO_MANUT[[#This Row],[EXPURGO Mãe]]="NÃO","NÃO EXP.MAE",T188))</f>
        <v>NÃO EXP.MAE</v>
      </c>
      <c r="U18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189" s="56">
        <f>IF(TAB_HISTORICO_MANUT[[#This Row],[EXPURGO Filhas]]="SIM",MAX(TAB_HISTORICO_MANUT[[#This Row],[Hora Final]]-TAB_HISTORICO_MANUT[[#This Row],[Hora Inicio]],0),0)</f>
        <v>8.0555555556202307E-2</v>
      </c>
      <c r="W18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8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89" s="46">
        <v>46193.770833333336</v>
      </c>
      <c r="Z189" s="47">
        <v>46193.851388888892</v>
      </c>
      <c r="AA189" s="48" t="s">
        <v>209</v>
      </c>
      <c r="AB189" s="48">
        <v>202603176651</v>
      </c>
      <c r="AC189" s="43" t="s">
        <v>204</v>
      </c>
      <c r="AD189" s="46" t="s">
        <v>144</v>
      </c>
      <c r="AE189" s="46" t="s">
        <v>765</v>
      </c>
      <c r="AF189" s="88" t="s">
        <v>767</v>
      </c>
      <c r="AG189" s="105">
        <f>IF(TAB_HISTORICO_MANUT[[#This Row],[Hora Inicio]]="","",MONTH(TAB_HISTORICO_MANUT[[#This Row],[Hora Inicio]]))</f>
        <v>6</v>
      </c>
      <c r="AH189" s="58" t="s">
        <v>1306</v>
      </c>
      <c r="AI189" s="43" t="s">
        <v>24</v>
      </c>
      <c r="AJ189" s="43" t="s">
        <v>223</v>
      </c>
      <c r="AK189" s="43" t="s">
        <v>422</v>
      </c>
      <c r="AL189" s="43" t="s">
        <v>279</v>
      </c>
      <c r="AM189" s="114" t="s">
        <v>280</v>
      </c>
      <c r="AN189" s="43"/>
      <c r="AO189" s="43"/>
      <c r="AP189" s="43"/>
    </row>
    <row r="190" spans="1:42" ht="50.1" customHeight="1" x14ac:dyDescent="0.25">
      <c r="A190" s="43">
        <f>MONTH(TAB_HISTORICO_MANUT[[#This Row],[Hora Final]])-MONTH(TAB_HISTORICO_MANUT[[#This Row],[Hora Inicio]])</f>
        <v>0</v>
      </c>
      <c r="B190" s="42"/>
      <c r="C190" s="43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Inicio]]=Z189,TAB_HISTORICO_MANUT[[#This Row],[Equipamento]]=AA189,TAB_HISTORICO_MANUT[[#This Row],[Descricao Despacho]]=AD189),0,1)))</f>
        <v>1</v>
      </c>
      <c r="O19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190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9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90" s="50">
        <f>IF($Q190="","",(TAB_HISTORICO_MANUT[[#This Row],[Hora Final]]-TAB_HISTORICO_MANUT[[#This Row],[Hora Inicio]])*24)</f>
        <v>1.0705555555759929</v>
      </c>
      <c r="S19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90" s="54" t="str">
        <f>IF(AND(TAB_HISTORICO_MANUT[[#This Row],[EXPURGO Mãe]]="SIM",TAB_HISTORICO_MANUT[[#This Row],[Tipo]]="MÃE"),"EXP.MAE",IF(TAB_HISTORICO_MANUT[[#This Row],[EXPURGO Mãe]]="NÃO","NÃO EXP.MAE",T189))</f>
        <v>NÃO EXP.MAE</v>
      </c>
      <c r="U19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90" s="56">
        <f>IF(TAB_HISTORICO_MANUT[[#This Row],[EXPURGO Filhas]]="SIM",MAX(TAB_HISTORICO_MANUT[[#This Row],[Hora Final]]-TAB_HISTORICO_MANUT[[#This Row],[Hora Inicio]],0),0)</f>
        <v>0</v>
      </c>
      <c r="W19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9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90" s="46">
        <v>46195.355763888889</v>
      </c>
      <c r="Z190" s="47">
        <v>46195.400370370371</v>
      </c>
      <c r="AA190" s="48" t="s">
        <v>209</v>
      </c>
      <c r="AB190" s="48" t="s">
        <v>1212</v>
      </c>
      <c r="AC190" s="43" t="s">
        <v>204</v>
      </c>
      <c r="AD190" s="46" t="s">
        <v>144</v>
      </c>
      <c r="AE190" s="46" t="s">
        <v>172</v>
      </c>
      <c r="AF190" s="88" t="s">
        <v>210</v>
      </c>
      <c r="AG190" s="105">
        <f>IF(TAB_HISTORICO_MANUT[[#This Row],[Hora Inicio]]="","",MONTH(TAB_HISTORICO_MANUT[[#This Row],[Hora Inicio]]))</f>
        <v>6</v>
      </c>
      <c r="AH190" s="58" t="s">
        <v>1213</v>
      </c>
      <c r="AI190" s="43" t="s">
        <v>24</v>
      </c>
      <c r="AJ190" s="43" t="s">
        <v>536</v>
      </c>
      <c r="AK190" s="43" t="s">
        <v>474</v>
      </c>
      <c r="AL190" s="43" t="s">
        <v>297</v>
      </c>
      <c r="AM190" s="114" t="s">
        <v>1210</v>
      </c>
      <c r="AN190" s="43" t="s">
        <v>217</v>
      </c>
      <c r="AO190" s="43" t="s">
        <v>405</v>
      </c>
      <c r="AP190" s="43" t="s">
        <v>403</v>
      </c>
    </row>
    <row r="191" spans="1:42" ht="50.1" customHeight="1" x14ac:dyDescent="0.25">
      <c r="A191" s="43">
        <f>MONTH(TAB_HISTORICO_MANUT[[#This Row],[Hora Final]])-MONTH(TAB_HISTORICO_MANUT[[#This Row],[Hora Inicio]])</f>
        <v>0</v>
      </c>
      <c r="B191" s="42"/>
      <c r="C191" s="43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Inicio]]=Z190,TAB_HISTORICO_MANUT[[#This Row],[Equipamento]]=AA190,TAB_HISTORICO_MANUT[[#This Row],[Descricao Despacho]]=AD190),0,1)))</f>
        <v/>
      </c>
      <c r="O19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191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19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191" s="50" t="str">
        <f>IF($Q191="","",(TAB_HISTORICO_MANUT[[#This Row],[Hora Final]]-TAB_HISTORICO_MANUT[[#This Row],[Hora Inicio]])*24)</f>
        <v/>
      </c>
      <c r="S19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191" s="54" t="str">
        <f>IF(AND(TAB_HISTORICO_MANUT[[#This Row],[EXPURGO Mãe]]="SIM",TAB_HISTORICO_MANUT[[#This Row],[Tipo]]="MÃE"),"EXP.MAE",IF(TAB_HISTORICO_MANUT[[#This Row],[EXPURGO Mãe]]="NÃO","NÃO EXP.MAE",T190))</f>
        <v>NÃO EXP.MAE</v>
      </c>
      <c r="U19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191" s="56">
        <f>IF(TAB_HISTORICO_MANUT[[#This Row],[EXPURGO Filhas]]="SIM",MAX(TAB_HISTORICO_MANUT[[#This Row],[Hora Final]]-TAB_HISTORICO_MANUT[[#This Row],[Hora Inicio]],0),0)</f>
        <v>2.3611111115314998E-2</v>
      </c>
      <c r="W19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9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91" s="46">
        <v>46195.376388888886</v>
      </c>
      <c r="Z191" s="47">
        <v>46195.4</v>
      </c>
      <c r="AA191" s="48" t="s">
        <v>209</v>
      </c>
      <c r="AB191" s="48">
        <v>202603204028</v>
      </c>
      <c r="AC191" s="43" t="s">
        <v>204</v>
      </c>
      <c r="AD191" s="46" t="s">
        <v>144</v>
      </c>
      <c r="AE191" s="46" t="s">
        <v>765</v>
      </c>
      <c r="AF191" s="88" t="s">
        <v>767</v>
      </c>
      <c r="AG191" s="105">
        <f>IF(TAB_HISTORICO_MANUT[[#This Row],[Hora Inicio]]="","",MONTH(TAB_HISTORICO_MANUT[[#This Row],[Hora Inicio]]))</f>
        <v>6</v>
      </c>
      <c r="AH191" s="58" t="s">
        <v>1307</v>
      </c>
      <c r="AI191" s="43" t="s">
        <v>24</v>
      </c>
      <c r="AJ191" s="43" t="s">
        <v>536</v>
      </c>
      <c r="AK191" s="43" t="s">
        <v>474</v>
      </c>
      <c r="AL191" s="43" t="s">
        <v>297</v>
      </c>
      <c r="AM191" s="114" t="s">
        <v>1210</v>
      </c>
      <c r="AN191" s="43"/>
      <c r="AO191" s="43"/>
      <c r="AP191" s="43"/>
    </row>
    <row r="192" spans="1:42" ht="50.1" customHeight="1" x14ac:dyDescent="0.25">
      <c r="A192" s="43">
        <f>MONTH(TAB_HISTORICO_MANUT[[#This Row],[Hora Final]])-MONTH(TAB_HISTORICO_MANUT[[#This Row],[Hora Inicio]])</f>
        <v>0</v>
      </c>
      <c r="B192" s="42"/>
      <c r="C192" s="43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Inicio]]=Z191,TAB_HISTORICO_MANUT[[#This Row],[Equipamento]]=AA191,TAB_HISTORICO_MANUT[[#This Row],[Descricao Despacho]]=AD191),0,1)))</f>
        <v>1</v>
      </c>
      <c r="O19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192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9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92" s="50">
        <f>IF($Q192="","",(TAB_HISTORICO_MANUT[[#This Row],[Hora Final]]-TAB_HISTORICO_MANUT[[#This Row],[Hora Inicio]])*24)</f>
        <v>1.689166666707024</v>
      </c>
      <c r="S19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92" s="54" t="str">
        <f>IF(AND(TAB_HISTORICO_MANUT[[#This Row],[EXPURGO Mãe]]="SIM",TAB_HISTORICO_MANUT[[#This Row],[Tipo]]="MÃE"),"EXP.MAE",IF(TAB_HISTORICO_MANUT[[#This Row],[EXPURGO Mãe]]="NÃO","NÃO EXP.MAE",T191))</f>
        <v>NÃO EXP.MAE</v>
      </c>
      <c r="U19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92" s="56">
        <f>IF(TAB_HISTORICO_MANUT[[#This Row],[EXPURGO Filhas]]="SIM",MAX(TAB_HISTORICO_MANUT[[#This Row],[Hora Final]]-TAB_HISTORICO_MANUT[[#This Row],[Hora Inicio]],0),0)</f>
        <v>0</v>
      </c>
      <c r="W19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9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92" s="46">
        <v>46201.103935185187</v>
      </c>
      <c r="Z192" s="47">
        <v>46201.174317129633</v>
      </c>
      <c r="AA192" s="48" t="s">
        <v>209</v>
      </c>
      <c r="AB192" s="48" t="s">
        <v>1226</v>
      </c>
      <c r="AC192" s="43" t="s">
        <v>204</v>
      </c>
      <c r="AD192" s="46" t="s">
        <v>144</v>
      </c>
      <c r="AE192" s="46" t="s">
        <v>172</v>
      </c>
      <c r="AF192" s="88" t="s">
        <v>210</v>
      </c>
      <c r="AG192" s="105">
        <f>IF(TAB_HISTORICO_MANUT[[#This Row],[Hora Inicio]]="","",MONTH(TAB_HISTORICO_MANUT[[#This Row],[Hora Inicio]]))</f>
        <v>6</v>
      </c>
      <c r="AH192" s="58" t="s">
        <v>1229</v>
      </c>
      <c r="AI192" s="43" t="s">
        <v>235</v>
      </c>
      <c r="AJ192" s="43" t="s">
        <v>223</v>
      </c>
      <c r="AK192" s="43" t="s">
        <v>422</v>
      </c>
      <c r="AL192" s="43" t="s">
        <v>279</v>
      </c>
      <c r="AM192" s="114" t="s">
        <v>280</v>
      </c>
      <c r="AN192" s="43" t="s">
        <v>217</v>
      </c>
      <c r="AO192" s="43" t="s">
        <v>705</v>
      </c>
      <c r="AP192" s="43" t="s">
        <v>218</v>
      </c>
    </row>
    <row r="193" spans="1:42" ht="50.1" customHeight="1" x14ac:dyDescent="0.25">
      <c r="A193" s="43">
        <f>MONTH(TAB_HISTORICO_MANUT[[#This Row],[Hora Final]])-MONTH(TAB_HISTORICO_MANUT[[#This Row],[Hora Inicio]])</f>
        <v>0</v>
      </c>
      <c r="B193" s="42"/>
      <c r="C193" s="43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Inicio]]=Z192,TAB_HISTORICO_MANUT[[#This Row],[Equipamento]]=AA192,TAB_HISTORICO_MANUT[[#This Row],[Descricao Despacho]]=AD192),0,1)))</f>
        <v/>
      </c>
      <c r="O19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193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19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193" s="50" t="str">
        <f>IF($Q193="","",(TAB_HISTORICO_MANUT[[#This Row],[Hora Final]]-TAB_HISTORICO_MANUT[[#This Row],[Hora Inicio]])*24)</f>
        <v/>
      </c>
      <c r="S19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193" s="54" t="str">
        <f>IF(AND(TAB_HISTORICO_MANUT[[#This Row],[EXPURGO Mãe]]="SIM",TAB_HISTORICO_MANUT[[#This Row],[Tipo]]="MÃE"),"EXP.MAE",IF(TAB_HISTORICO_MANUT[[#This Row],[EXPURGO Mãe]]="NÃO","NÃO EXP.MAE",T192))</f>
        <v>NÃO EXP.MAE</v>
      </c>
      <c r="U19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193" s="56">
        <f>IF(TAB_HISTORICO_MANUT[[#This Row],[EXPURGO Filhas]]="SIM",MAX(TAB_HISTORICO_MANUT[[#This Row],[Hora Final]]-TAB_HISTORICO_MANUT[[#This Row],[Hora Inicio]],0),0)</f>
        <v>2.4317129631526768E-2</v>
      </c>
      <c r="W19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9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93" s="46">
        <v>46201.15</v>
      </c>
      <c r="Z193" s="47">
        <v>46201.174317129633</v>
      </c>
      <c r="AA193" s="48" t="s">
        <v>209</v>
      </c>
      <c r="AB193" s="48">
        <v>202603310394</v>
      </c>
      <c r="AC193" s="43" t="s">
        <v>204</v>
      </c>
      <c r="AD193" s="46" t="s">
        <v>144</v>
      </c>
      <c r="AE193" s="46" t="s">
        <v>765</v>
      </c>
      <c r="AF193" s="88" t="s">
        <v>767</v>
      </c>
      <c r="AG193" s="105">
        <f>IF(TAB_HISTORICO_MANUT[[#This Row],[Hora Inicio]]="","",MONTH(TAB_HISTORICO_MANUT[[#This Row],[Hora Inicio]]))</f>
        <v>6</v>
      </c>
      <c r="AH193" s="58" t="s">
        <v>1308</v>
      </c>
      <c r="AI193" s="43" t="s">
        <v>235</v>
      </c>
      <c r="AJ193" s="43" t="s">
        <v>223</v>
      </c>
      <c r="AK193" s="43" t="s">
        <v>422</v>
      </c>
      <c r="AL193" s="43" t="s">
        <v>279</v>
      </c>
      <c r="AM193" s="114" t="s">
        <v>280</v>
      </c>
      <c r="AN193" s="43"/>
      <c r="AO193" s="43"/>
      <c r="AP193" s="43"/>
    </row>
    <row r="194" spans="1:42" ht="50.1" customHeight="1" x14ac:dyDescent="0.25">
      <c r="A194" s="43">
        <f>MONTH(TAB_HISTORICO_MANUT[[#This Row],[Hora Final]])-MONTH(TAB_HISTORICO_MANUT[[#This Row],[Hora Inicio]])</f>
        <v>0</v>
      </c>
      <c r="B194" s="42"/>
      <c r="C194" s="43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Inicio]]=Z193,TAB_HISTORICO_MANUT[[#This Row],[Equipamento]]=AA193,TAB_HISTORICO_MANUT[[#This Row],[Descricao Despacho]]=AD193),0,1)))</f>
        <v>1</v>
      </c>
      <c r="O19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194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9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94" s="50">
        <f>IF($Q194="","",(TAB_HISTORICO_MANUT[[#This Row],[Hora Final]]-TAB_HISTORICO_MANUT[[#This Row],[Hora Inicio]])*24)</f>
        <v>0.46222222218057141</v>
      </c>
      <c r="S19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94" s="54" t="str">
        <f>IF(AND(TAB_HISTORICO_MANUT[[#This Row],[EXPURGO Mãe]]="SIM",TAB_HISTORICO_MANUT[[#This Row],[Tipo]]="MÃE"),"EXP.MAE",IF(TAB_HISTORICO_MANUT[[#This Row],[EXPURGO Mãe]]="NÃO","NÃO EXP.MAE",T193))</f>
        <v>NÃO EXP.MAE</v>
      </c>
      <c r="U19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94" s="56">
        <f>IF(TAB_HISTORICO_MANUT[[#This Row],[EXPURGO Filhas]]="SIM",MAX(TAB_HISTORICO_MANUT[[#This Row],[Hora Final]]-TAB_HISTORICO_MANUT[[#This Row],[Hora Inicio]],0),0)</f>
        <v>0</v>
      </c>
      <c r="W19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9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94" s="46">
        <v>46204.981006944443</v>
      </c>
      <c r="Z194" s="46">
        <v>46205.0002662037</v>
      </c>
      <c r="AA194" s="48" t="s">
        <v>209</v>
      </c>
      <c r="AB194" s="48" t="s">
        <v>1247</v>
      </c>
      <c r="AC194" s="43" t="s">
        <v>204</v>
      </c>
      <c r="AD194" s="46" t="s">
        <v>144</v>
      </c>
      <c r="AE194" s="46" t="s">
        <v>172</v>
      </c>
      <c r="AF194" s="88" t="s">
        <v>210</v>
      </c>
      <c r="AG194" s="105">
        <f>IF(TAB_HISTORICO_MANUT[[#This Row],[Hora Inicio]]="","",MONTH(TAB_HISTORICO_MANUT[[#This Row],[Hora Inicio]]))</f>
        <v>7</v>
      </c>
      <c r="AH194" s="58" t="s">
        <v>1249</v>
      </c>
      <c r="AI194" s="43" t="s">
        <v>235</v>
      </c>
      <c r="AJ194" s="43" t="s">
        <v>717</v>
      </c>
      <c r="AK194" s="43" t="s">
        <v>422</v>
      </c>
      <c r="AL194" s="43" t="s">
        <v>279</v>
      </c>
      <c r="AM194" s="114" t="s">
        <v>280</v>
      </c>
      <c r="AN194" s="43" t="s">
        <v>217</v>
      </c>
      <c r="AO194" s="43" t="s">
        <v>729</v>
      </c>
      <c r="AP194" s="43" t="s">
        <v>403</v>
      </c>
    </row>
    <row r="195" spans="1:42" ht="50.1" customHeight="1" x14ac:dyDescent="0.25">
      <c r="A195" s="43">
        <f>MONTH(TAB_HISTORICO_MANUT[[#This Row],[Hora Final]])-MONTH(TAB_HISTORICO_MANUT[[#This Row],[Hora Inicio]])</f>
        <v>0</v>
      </c>
      <c r="B195" s="42"/>
      <c r="C195" s="43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Inicio]]=Z194,TAB_HISTORICO_MANUT[[#This Row],[Equipamento]]=AA194,TAB_HISTORICO_MANUT[[#This Row],[Descricao Despacho]]=AD194),0,1)))</f>
        <v>1</v>
      </c>
      <c r="O19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195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9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95" s="50">
        <f>IF($Q195="","",(TAB_HISTORICO_MANUT[[#This Row],[Hora Final]]-TAB_HISTORICO_MANUT[[#This Row],[Hora Inicio]])*24)</f>
        <v>3.2202777779311873</v>
      </c>
      <c r="S19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95" s="54" t="str">
        <f>IF(AND(TAB_HISTORICO_MANUT[[#This Row],[EXPURGO Mãe]]="SIM",TAB_HISTORICO_MANUT[[#This Row],[Tipo]]="MÃE"),"EXP.MAE",IF(TAB_HISTORICO_MANUT[[#This Row],[EXPURGO Mãe]]="NÃO","NÃO EXP.MAE",T194))</f>
        <v>NÃO EXP.MAE</v>
      </c>
      <c r="U19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95" s="56">
        <f>IF(TAB_HISTORICO_MANUT[[#This Row],[EXPURGO Filhas]]="SIM",MAX(TAB_HISTORICO_MANUT[[#This Row],[Hora Final]]-TAB_HISTORICO_MANUT[[#This Row],[Hora Inicio]],0),0)</f>
        <v>0</v>
      </c>
      <c r="W19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9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95" s="46">
        <v>46207.219328703701</v>
      </c>
      <c r="Z195" s="47">
        <v>46207.353506944448</v>
      </c>
      <c r="AA195" s="48" t="s">
        <v>209</v>
      </c>
      <c r="AB195" s="48" t="s">
        <v>1257</v>
      </c>
      <c r="AC195" s="43" t="s">
        <v>204</v>
      </c>
      <c r="AD195" s="46" t="s">
        <v>144</v>
      </c>
      <c r="AE195" s="46" t="s">
        <v>172</v>
      </c>
      <c r="AF195" s="88" t="s">
        <v>210</v>
      </c>
      <c r="AG195" s="105">
        <f>IF(TAB_HISTORICO_MANUT[[#This Row],[Hora Inicio]]="","",MONTH(TAB_HISTORICO_MANUT[[#This Row],[Hora Inicio]]))</f>
        <v>7</v>
      </c>
      <c r="AH195" s="58" t="s">
        <v>1263</v>
      </c>
      <c r="AI195" s="43" t="s">
        <v>24</v>
      </c>
      <c r="AJ195" s="43" t="s">
        <v>223</v>
      </c>
      <c r="AK195" s="43" t="s">
        <v>422</v>
      </c>
      <c r="AL195" s="43" t="s">
        <v>279</v>
      </c>
      <c r="AM195" s="114" t="s">
        <v>280</v>
      </c>
      <c r="AN195" s="43" t="s">
        <v>217</v>
      </c>
      <c r="AO195" s="43" t="s">
        <v>405</v>
      </c>
      <c r="AP195" s="43" t="s">
        <v>403</v>
      </c>
    </row>
    <row r="196" spans="1:42" ht="50.1" customHeight="1" x14ac:dyDescent="0.25">
      <c r="A196" s="43">
        <f>MONTH(TAB_HISTORICO_MANUT[[#This Row],[Hora Final]])-MONTH(TAB_HISTORICO_MANUT[[#This Row],[Hora Inicio]])</f>
        <v>0</v>
      </c>
      <c r="B196" s="42"/>
      <c r="C196" s="43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Inicio]]=Z195,TAB_HISTORICO_MANUT[[#This Row],[Equipamento]]=AA195,TAB_HISTORICO_MANUT[[#This Row],[Descricao Despacho]]=AD195),0,1)))</f>
        <v>1</v>
      </c>
      <c r="O19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AR CONDICIONADO</v>
      </c>
      <c r="P19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9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96" s="50">
        <f>IF($Q196="","",(TAB_HISTORICO_MANUT[[#This Row],[Hora Final]]-TAB_HISTORICO_MANUT[[#This Row],[Hora Inicio]])*24)</f>
        <v>0.68416666681878269</v>
      </c>
      <c r="S19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96" s="54" t="str">
        <f>IF(AND(TAB_HISTORICO_MANUT[[#This Row],[EXPURGO Mãe]]="SIM",TAB_HISTORICO_MANUT[[#This Row],[Tipo]]="MÃE"),"EXP.MAE",IF(TAB_HISTORICO_MANUT[[#This Row],[EXPURGO Mãe]]="NÃO","NÃO EXP.MAE",T195))</f>
        <v>NÃO EXP.MAE</v>
      </c>
      <c r="U19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96" s="56">
        <f>IF(TAB_HISTORICO_MANUT[[#This Row],[EXPURGO Filhas]]="SIM",MAX(TAB_HISTORICO_MANUT[[#This Row],[Hora Final]]-TAB_HISTORICO_MANUT[[#This Row],[Hora Inicio]],0),0)</f>
        <v>0</v>
      </c>
      <c r="W19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9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96" s="46">
        <v>46207.647523148145</v>
      </c>
      <c r="Z196" s="47">
        <v>46207.676030092596</v>
      </c>
      <c r="AA196" s="48" t="s">
        <v>209</v>
      </c>
      <c r="AB196" s="48" t="s">
        <v>1259</v>
      </c>
      <c r="AC196" s="43" t="s">
        <v>204</v>
      </c>
      <c r="AD196" s="46" t="s">
        <v>144</v>
      </c>
      <c r="AE196" s="46" t="s">
        <v>172</v>
      </c>
      <c r="AF196" s="88" t="s">
        <v>210</v>
      </c>
      <c r="AG196" s="105">
        <f>IF(TAB_HISTORICO_MANUT[[#This Row],[Hora Inicio]]="","",MONTH(TAB_HISTORICO_MANUT[[#This Row],[Hora Inicio]]))</f>
        <v>7</v>
      </c>
      <c r="AH196" s="58" t="s">
        <v>1265</v>
      </c>
      <c r="AI196" s="43" t="s">
        <v>37</v>
      </c>
      <c r="AJ196" s="43" t="s">
        <v>273</v>
      </c>
      <c r="AK196" s="43" t="s">
        <v>693</v>
      </c>
      <c r="AL196" s="43" t="s">
        <v>540</v>
      </c>
      <c r="AM196" s="114" t="s">
        <v>541</v>
      </c>
      <c r="AN196" s="43" t="s">
        <v>217</v>
      </c>
      <c r="AO196" s="43" t="s">
        <v>216</v>
      </c>
      <c r="AP196" s="43" t="s">
        <v>350</v>
      </c>
    </row>
    <row r="197" spans="1:42" ht="50.1" customHeight="1" x14ac:dyDescent="0.25">
      <c r="A197" s="43">
        <f>MONTH(TAB_HISTORICO_MANUT[[#This Row],[Hora Final]])-MONTH(TAB_HISTORICO_MANUT[[#This Row],[Hora Inicio]])</f>
        <v>0</v>
      </c>
      <c r="B197" s="42"/>
      <c r="C197" s="43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Inicio]]=Z196,TAB_HISTORICO_MANUT[[#This Row],[Equipamento]]=AA196,TAB_HISTORICO_MANUT[[#This Row],[Descricao Despacho]]=AD196),0,1)))</f>
        <v>1</v>
      </c>
      <c r="O19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197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9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97" s="50">
        <f>IF($Q197="","",(TAB_HISTORICO_MANUT[[#This Row],[Hora Final]]-TAB_HISTORICO_MANUT[[#This Row],[Hora Inicio]])*24)</f>
        <v>3.4713888888945803</v>
      </c>
      <c r="S19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97" s="54" t="str">
        <f>IF(AND(TAB_HISTORICO_MANUT[[#This Row],[EXPURGO Mãe]]="SIM",TAB_HISTORICO_MANUT[[#This Row],[Tipo]]="MÃE"),"EXP.MAE",IF(TAB_HISTORICO_MANUT[[#This Row],[EXPURGO Mãe]]="NÃO","NÃO EXP.MAE",T196))</f>
        <v>NÃO EXP.MAE</v>
      </c>
      <c r="U19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97" s="56">
        <f>IF(TAB_HISTORICO_MANUT[[#This Row],[EXPURGO Filhas]]="SIM",MAX(TAB_HISTORICO_MANUT[[#This Row],[Hora Final]]-TAB_HISTORICO_MANUT[[#This Row],[Hora Inicio]],0),0)</f>
        <v>0</v>
      </c>
      <c r="W19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9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97" s="46">
        <v>46208.739768518521</v>
      </c>
      <c r="Z197" s="47">
        <v>46208.884409722225</v>
      </c>
      <c r="AA197" s="48" t="s">
        <v>209</v>
      </c>
      <c r="AB197" s="48" t="s">
        <v>1261</v>
      </c>
      <c r="AC197" s="43" t="s">
        <v>204</v>
      </c>
      <c r="AD197" s="46" t="s">
        <v>144</v>
      </c>
      <c r="AE197" s="46" t="s">
        <v>172</v>
      </c>
      <c r="AF197" s="88" t="s">
        <v>210</v>
      </c>
      <c r="AG197" s="105">
        <f>IF(TAB_HISTORICO_MANUT[[#This Row],[Hora Inicio]]="","",MONTH(TAB_HISTORICO_MANUT[[#This Row],[Hora Inicio]]))</f>
        <v>7</v>
      </c>
      <c r="AH197" s="58" t="s">
        <v>1268</v>
      </c>
      <c r="AI197" s="43" t="s">
        <v>235</v>
      </c>
      <c r="AJ197" s="43" t="s">
        <v>43</v>
      </c>
      <c r="AK197" s="43" t="s">
        <v>422</v>
      </c>
      <c r="AL197" s="43" t="s">
        <v>279</v>
      </c>
      <c r="AM197" s="114" t="s">
        <v>280</v>
      </c>
      <c r="AN197" s="43" t="s">
        <v>217</v>
      </c>
      <c r="AO197" s="43" t="s">
        <v>453</v>
      </c>
      <c r="AP197" s="43" t="s">
        <v>457</v>
      </c>
    </row>
    <row r="198" spans="1:42" ht="50.1" customHeight="1" x14ac:dyDescent="0.25">
      <c r="A198" s="43">
        <f>MONTH(TAB_HISTORICO_MANUT[[#This Row],[Hora Final]])-MONTH(TAB_HISTORICO_MANUT[[#This Row],[Hora Inicio]])</f>
        <v>0</v>
      </c>
      <c r="B198" s="42"/>
      <c r="C198" s="43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Inicio]]=Z197,TAB_HISTORICO_MANUT[[#This Row],[Equipamento]]=AA197,TAB_HISTORICO_MANUT[[#This Row],[Descricao Despacho]]=AD197),0,1)))</f>
        <v/>
      </c>
      <c r="O19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198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19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198" s="50" t="str">
        <f>IF($Q198="","",(TAB_HISTORICO_MANUT[[#This Row],[Hora Final]]-TAB_HISTORICO_MANUT[[#This Row],[Hora Inicio]])*24)</f>
        <v/>
      </c>
      <c r="S19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198" s="54" t="str">
        <f>IF(AND(TAB_HISTORICO_MANUT[[#This Row],[EXPURGO Mãe]]="SIM",TAB_HISTORICO_MANUT[[#This Row],[Tipo]]="MÃE"),"EXP.MAE",IF(TAB_HISTORICO_MANUT[[#This Row],[EXPURGO Mãe]]="NÃO","NÃO EXP.MAE",T197))</f>
        <v>NÃO EXP.MAE</v>
      </c>
      <c r="U19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198" s="56">
        <f>IF(TAB_HISTORICO_MANUT[[#This Row],[EXPURGO Filhas]]="SIM",MAX(TAB_HISTORICO_MANUT[[#This Row],[Hora Final]]-TAB_HISTORICO_MANUT[[#This Row],[Hora Inicio]],0),0)</f>
        <v>6.0416666667151731E-2</v>
      </c>
      <c r="W19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9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98" s="46">
        <v>46208.810416666667</v>
      </c>
      <c r="Z198" s="47">
        <v>46208.870833333334</v>
      </c>
      <c r="AA198" s="48" t="s">
        <v>209</v>
      </c>
      <c r="AB198" s="48" t="s">
        <v>1261</v>
      </c>
      <c r="AC198" s="43">
        <v>9000</v>
      </c>
      <c r="AD198" s="46" t="s">
        <v>144</v>
      </c>
      <c r="AE198" s="46" t="s">
        <v>765</v>
      </c>
      <c r="AF198" s="88" t="s">
        <v>767</v>
      </c>
      <c r="AG198" s="105">
        <f>IF(TAB_HISTORICO_MANUT[[#This Row],[Hora Inicio]]="","",MONTH(TAB_HISTORICO_MANUT[[#This Row],[Hora Inicio]]))</f>
        <v>7</v>
      </c>
      <c r="AH198" s="58" t="s">
        <v>1551</v>
      </c>
      <c r="AI198" s="43" t="s">
        <v>235</v>
      </c>
      <c r="AJ198" s="43" t="s">
        <v>43</v>
      </c>
      <c r="AK198" s="43" t="s">
        <v>422</v>
      </c>
      <c r="AL198" s="43" t="s">
        <v>279</v>
      </c>
      <c r="AM198" s="114" t="s">
        <v>280</v>
      </c>
      <c r="AN198" s="43"/>
      <c r="AO198" s="43"/>
      <c r="AP198" s="43"/>
    </row>
    <row r="199" spans="1:42" ht="50.1" customHeight="1" x14ac:dyDescent="0.25">
      <c r="A199" s="43">
        <f>MONTH(TAB_HISTORICO_MANUT[[#This Row],[Hora Final]])-MONTH(TAB_HISTORICO_MANUT[[#This Row],[Hora Inicio]])</f>
        <v>0</v>
      </c>
      <c r="B199" s="42"/>
      <c r="C199" s="43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Inicio]]=Z198,TAB_HISTORICO_MANUT[[#This Row],[Equipamento]]=AA198,TAB_HISTORICO_MANUT[[#This Row],[Descricao Despacho]]=AD198),0,1)))</f>
        <v>1</v>
      </c>
      <c r="O19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199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9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99" s="50">
        <f>IF($Q199="","",(TAB_HISTORICO_MANUT[[#This Row],[Hora Final]]-TAB_HISTORICO_MANUT[[#This Row],[Hora Inicio]])*24)</f>
        <v>2.186388888861984</v>
      </c>
      <c r="S19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99" s="54" t="str">
        <f>IF(AND(TAB_HISTORICO_MANUT[[#This Row],[EXPURGO Mãe]]="SIM",TAB_HISTORICO_MANUT[[#This Row],[Tipo]]="MÃE"),"EXP.MAE",IF(TAB_HISTORICO_MANUT[[#This Row],[EXPURGO Mãe]]="NÃO","NÃO EXP.MAE",T198))</f>
        <v>NÃO EXP.MAE</v>
      </c>
      <c r="U19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99" s="56">
        <f>IF(TAB_HISTORICO_MANUT[[#This Row],[EXPURGO Filhas]]="SIM",MAX(TAB_HISTORICO_MANUT[[#This Row],[Hora Final]]-TAB_HISTORICO_MANUT[[#This Row],[Hora Inicio]],0),0)</f>
        <v>0</v>
      </c>
      <c r="W19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9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99" s="46">
        <v>46210.812592592592</v>
      </c>
      <c r="Z199" s="47">
        <v>46210.903692129628</v>
      </c>
      <c r="AA199" s="48" t="s">
        <v>209</v>
      </c>
      <c r="AB199" s="48" t="s">
        <v>1277</v>
      </c>
      <c r="AC199" s="43" t="s">
        <v>204</v>
      </c>
      <c r="AD199" s="46" t="s">
        <v>144</v>
      </c>
      <c r="AE199" s="46" t="s">
        <v>172</v>
      </c>
      <c r="AF199" s="88" t="s">
        <v>210</v>
      </c>
      <c r="AG199" s="105">
        <f>IF(TAB_HISTORICO_MANUT[[#This Row],[Hora Inicio]]="","",MONTH(TAB_HISTORICO_MANUT[[#This Row],[Hora Inicio]]))</f>
        <v>7</v>
      </c>
      <c r="AH199" s="58" t="s">
        <v>1278</v>
      </c>
      <c r="AI199" s="43" t="s">
        <v>24</v>
      </c>
      <c r="AJ199" s="43" t="s">
        <v>223</v>
      </c>
      <c r="AK199" s="43" t="s">
        <v>422</v>
      </c>
      <c r="AL199" s="43" t="s">
        <v>279</v>
      </c>
      <c r="AM199" s="114" t="s">
        <v>280</v>
      </c>
      <c r="AN199" s="43" t="s">
        <v>217</v>
      </c>
      <c r="AO199" s="43" t="s">
        <v>405</v>
      </c>
      <c r="AP199" s="43" t="s">
        <v>218</v>
      </c>
    </row>
    <row r="200" spans="1:42" ht="50.1" customHeight="1" x14ac:dyDescent="0.25">
      <c r="A200" s="43">
        <f>MONTH(TAB_HISTORICO_MANUT[[#This Row],[Hora Final]])-MONTH(TAB_HISTORICO_MANUT[[#This Row],[Hora Inicio]])</f>
        <v>0</v>
      </c>
      <c r="B200" s="42"/>
      <c r="C200" s="43"/>
      <c r="D200" s="42"/>
      <c r="E200" s="42"/>
      <c r="F200" s="42"/>
      <c r="G200" s="42"/>
      <c r="H200" s="42"/>
      <c r="I200" s="42"/>
      <c r="J200" s="42"/>
      <c r="K200" s="42"/>
      <c r="L200" s="42"/>
      <c r="M200" s="42" t="s">
        <v>99</v>
      </c>
      <c r="N20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Inicio]]=Z199,TAB_HISTORICO_MANUT[[#This Row],[Equipamento]]=AA199,TAB_HISTORICO_MANUT[[#This Row],[Descricao Despacho]]=AD199),0,1)))</f>
        <v>1</v>
      </c>
      <c r="O20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200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0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200" s="50">
        <f>IF($Q200="","",(TAB_HISTORICO_MANUT[[#This Row],[Hora Final]]-TAB_HISTORICO_MANUT[[#This Row],[Hora Inicio]])*24)</f>
        <v>1.2533333332976326</v>
      </c>
      <c r="S20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00" s="54" t="str">
        <f>IF(AND(TAB_HISTORICO_MANUT[[#This Row],[EXPURGO Mãe]]="SIM",TAB_HISTORICO_MANUT[[#This Row],[Tipo]]="MÃE"),"EXP.MAE",IF(TAB_HISTORICO_MANUT[[#This Row],[EXPURGO Mãe]]="NÃO","NÃO EXP.MAE",T199))</f>
        <v>NÃO EXP.MAE</v>
      </c>
      <c r="U20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00" s="56">
        <f>IF(TAB_HISTORICO_MANUT[[#This Row],[EXPURGO Filhas]]="SIM",MAX(TAB_HISTORICO_MANUT[[#This Row],[Hora Final]]-TAB_HISTORICO_MANUT[[#This Row],[Hora Inicio]],0),0)</f>
        <v>0</v>
      </c>
      <c r="W20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0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00" s="46">
        <v>46211.424675925926</v>
      </c>
      <c r="Z200" s="47">
        <v>46211.476898148147</v>
      </c>
      <c r="AA200" s="48" t="s">
        <v>209</v>
      </c>
      <c r="AB200" s="48" t="s">
        <v>1272</v>
      </c>
      <c r="AC200" s="43" t="s">
        <v>300</v>
      </c>
      <c r="AD200" s="46" t="s">
        <v>146</v>
      </c>
      <c r="AE200" s="46" t="s">
        <v>178</v>
      </c>
      <c r="AF200" s="88" t="s">
        <v>210</v>
      </c>
      <c r="AG200" s="105">
        <f>IF(TAB_HISTORICO_MANUT[[#This Row],[Hora Inicio]]="","",MONTH(TAB_HISTORICO_MANUT[[#This Row],[Hora Inicio]]))</f>
        <v>7</v>
      </c>
      <c r="AH200" s="58" t="s">
        <v>1280</v>
      </c>
      <c r="AI200" s="43" t="s">
        <v>340</v>
      </c>
      <c r="AJ200" s="43" t="s">
        <v>1281</v>
      </c>
      <c r="AK200" s="43" t="s">
        <v>1272</v>
      </c>
      <c r="AL200" s="43" t="s">
        <v>1272</v>
      </c>
      <c r="AM200" s="114" t="s">
        <v>1272</v>
      </c>
      <c r="AN200" s="43" t="s">
        <v>1272</v>
      </c>
      <c r="AO200" s="43" t="s">
        <v>1272</v>
      </c>
      <c r="AP200" s="43" t="s">
        <v>1272</v>
      </c>
    </row>
    <row r="201" spans="1:42" ht="50.1" customHeight="1" x14ac:dyDescent="0.25">
      <c r="A201" s="43">
        <f>MONTH(TAB_HISTORICO_MANUT[[#This Row],[Hora Final]])-MONTH(TAB_HISTORICO_MANUT[[#This Row],[Hora Inicio]])</f>
        <v>0</v>
      </c>
      <c r="B201" s="42"/>
      <c r="C201" s="43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Inicio]]=Z200,TAB_HISTORICO_MANUT[[#This Row],[Equipamento]]=AA200,TAB_HISTORICO_MANUT[[#This Row],[Descricao Despacho]]=AD200),0,1)))</f>
        <v/>
      </c>
      <c r="O20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201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20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201" s="50" t="str">
        <f>IF($Q201="","",(TAB_HISTORICO_MANUT[[#This Row],[Hora Final]]-TAB_HISTORICO_MANUT[[#This Row],[Hora Inicio]])*24)</f>
        <v/>
      </c>
      <c r="S20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201" s="54" t="str">
        <f>IF(AND(TAB_HISTORICO_MANUT[[#This Row],[EXPURGO Mãe]]="SIM",TAB_HISTORICO_MANUT[[#This Row],[Tipo]]="MÃE"),"EXP.MAE",IF(TAB_HISTORICO_MANUT[[#This Row],[EXPURGO Mãe]]="NÃO","NÃO EXP.MAE",T200))</f>
        <v>NÃO EXP.MAE</v>
      </c>
      <c r="U20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201" s="56">
        <f>IF(TAB_HISTORICO_MANUT[[#This Row],[EXPURGO Filhas]]="SIM",MAX(TAB_HISTORICO_MANUT[[#This Row],[Hora Final]]-TAB_HISTORICO_MANUT[[#This Row],[Hora Inicio]],0),0)</f>
        <v>1.0555555556493346E-2</v>
      </c>
      <c r="W20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0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01" s="46">
        <v>46211.46634259259</v>
      </c>
      <c r="Z201" s="47">
        <v>46211.476898148147</v>
      </c>
      <c r="AA201" s="48" t="s">
        <v>209</v>
      </c>
      <c r="AB201" s="48"/>
      <c r="AC201" s="43">
        <v>7116</v>
      </c>
      <c r="AD201" s="46" t="s">
        <v>146</v>
      </c>
      <c r="AE201" s="46" t="s">
        <v>178</v>
      </c>
      <c r="AF201" s="88" t="s">
        <v>767</v>
      </c>
      <c r="AG201" s="105">
        <f>IF(TAB_HISTORICO_MANUT[[#This Row],[Hora Inicio]]="","",MONTH(TAB_HISTORICO_MANUT[[#This Row],[Hora Inicio]]))</f>
        <v>7</v>
      </c>
      <c r="AH201" s="58" t="s">
        <v>1556</v>
      </c>
      <c r="AI201" s="43" t="s">
        <v>340</v>
      </c>
      <c r="AJ201" s="43" t="s">
        <v>1281</v>
      </c>
      <c r="AK201" s="43"/>
      <c r="AL201" s="43"/>
      <c r="AM201" s="114"/>
      <c r="AN201" s="43"/>
      <c r="AO201" s="43"/>
      <c r="AP201" s="43"/>
    </row>
    <row r="202" spans="1:42" ht="50.1" customHeight="1" x14ac:dyDescent="0.25">
      <c r="A202" s="43">
        <f>MONTH(TAB_HISTORICO_MANUT[[#This Row],[Hora Final]])-MONTH(TAB_HISTORICO_MANUT[[#This Row],[Hora Inicio]])</f>
        <v>0</v>
      </c>
      <c r="B202" s="42"/>
      <c r="C202" s="43"/>
      <c r="D202" s="42"/>
      <c r="E202" s="42"/>
      <c r="F202" s="42"/>
      <c r="G202" s="42"/>
      <c r="H202" s="42"/>
      <c r="I202" s="42"/>
      <c r="J202" s="42"/>
      <c r="K202" s="42"/>
      <c r="L202" s="42">
        <v>0</v>
      </c>
      <c r="M202" s="42" t="s">
        <v>99</v>
      </c>
      <c r="N20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Inicio]]=Z201,TAB_HISTORICO_MANUT[[#This Row],[Equipamento]]=AA201,TAB_HISTORICO_MANUT[[#This Row],[Descricao Despacho]]=AD201),0,1)))</f>
        <v>0</v>
      </c>
      <c r="O20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202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0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202" s="50">
        <f>IF($Q202="","",(TAB_HISTORICO_MANUT[[#This Row],[Hora Final]]-TAB_HISTORICO_MANUT[[#This Row],[Hora Inicio]])*24)</f>
        <v>1.5544444444240071</v>
      </c>
      <c r="S20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02" s="54" t="str">
        <f>IF(AND(TAB_HISTORICO_MANUT[[#This Row],[EXPURGO Mãe]]="SIM",TAB_HISTORICO_MANUT[[#This Row],[Tipo]]="MÃE"),"EXP.MAE",IF(TAB_HISTORICO_MANUT[[#This Row],[EXPURGO Mãe]]="NÃO","NÃO EXP.MAE",T201))</f>
        <v>NÃO EXP.MAE</v>
      </c>
      <c r="U20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02" s="56">
        <f>IF(TAB_HISTORICO_MANUT[[#This Row],[EXPURGO Filhas]]="SIM",MAX(TAB_HISTORICO_MANUT[[#This Row],[Hora Final]]-TAB_HISTORICO_MANUT[[#This Row],[Hora Inicio]],0),0)</f>
        <v>0</v>
      </c>
      <c r="W20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0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02" s="46">
        <v>46211.476898148147</v>
      </c>
      <c r="Z202" s="47">
        <v>46211.541666666664</v>
      </c>
      <c r="AA202" s="48" t="s">
        <v>209</v>
      </c>
      <c r="AB202" s="48" t="s">
        <v>1272</v>
      </c>
      <c r="AC202" s="43" t="s">
        <v>362</v>
      </c>
      <c r="AD202" s="46" t="s">
        <v>146</v>
      </c>
      <c r="AE202" s="46" t="s">
        <v>175</v>
      </c>
      <c r="AF202" s="88" t="s">
        <v>210</v>
      </c>
      <c r="AG202" s="105">
        <f>IF(TAB_HISTORICO_MANUT[[#This Row],[Hora Inicio]]="","",MONTH(TAB_HISTORICO_MANUT[[#This Row],[Hora Inicio]]))</f>
        <v>7</v>
      </c>
      <c r="AH202" s="58" t="s">
        <v>1280</v>
      </c>
      <c r="AI202" s="43" t="s">
        <v>340</v>
      </c>
      <c r="AJ202" s="43" t="s">
        <v>1281</v>
      </c>
      <c r="AK202" s="43" t="s">
        <v>1272</v>
      </c>
      <c r="AL202" s="43" t="s">
        <v>1272</v>
      </c>
      <c r="AM202" s="114" t="s">
        <v>1272</v>
      </c>
      <c r="AN202" s="43" t="s">
        <v>1272</v>
      </c>
      <c r="AO202" s="43" t="s">
        <v>1272</v>
      </c>
      <c r="AP202" s="43" t="s">
        <v>1272</v>
      </c>
    </row>
    <row r="203" spans="1:42" ht="50.1" customHeight="1" x14ac:dyDescent="0.25">
      <c r="A203" s="43">
        <f>MONTH(TAB_HISTORICO_MANUT[[#This Row],[Hora Final]])-MONTH(TAB_HISTORICO_MANUT[[#This Row],[Hora Inicio]])</f>
        <v>0</v>
      </c>
      <c r="B203" s="42"/>
      <c r="C203" s="43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Inicio]]=Z202,TAB_HISTORICO_MANUT[[#This Row],[Equipamento]]=AA202,TAB_HISTORICO_MANUT[[#This Row],[Descricao Despacho]]=AD202),0,1)))</f>
        <v>0</v>
      </c>
      <c r="O20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203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0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203" s="50">
        <f>IF($Q203="","",(TAB_HISTORICO_MANUT[[#This Row],[Hora Final]]-TAB_HISTORICO_MANUT[[#This Row],[Hora Inicio]])*24)</f>
        <v>12.691388888983056</v>
      </c>
      <c r="S20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03" s="54" t="str">
        <f>IF(AND(TAB_HISTORICO_MANUT[[#This Row],[EXPURGO Mãe]]="SIM",TAB_HISTORICO_MANUT[[#This Row],[Tipo]]="MÃE"),"EXP.MAE",IF(TAB_HISTORICO_MANUT[[#This Row],[EXPURGO Mãe]]="NÃO","NÃO EXP.MAE",T202))</f>
        <v>NÃO EXP.MAE</v>
      </c>
      <c r="U20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03" s="56">
        <f>IF(TAB_HISTORICO_MANUT[[#This Row],[EXPURGO Filhas]]="SIM",MAX(TAB_HISTORICO_MANUT[[#This Row],[Hora Final]]-TAB_HISTORICO_MANUT[[#This Row],[Hora Inicio]],0),0)</f>
        <v>0</v>
      </c>
      <c r="W20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0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03" s="46">
        <v>46211.541666666664</v>
      </c>
      <c r="Z203" s="47">
        <v>46212.070474537039</v>
      </c>
      <c r="AA203" s="48" t="s">
        <v>209</v>
      </c>
      <c r="AB203" s="48" t="s">
        <v>1272</v>
      </c>
      <c r="AC203" s="43" t="s">
        <v>302</v>
      </c>
      <c r="AD203" s="46" t="s">
        <v>146</v>
      </c>
      <c r="AE203" s="46" t="s">
        <v>311</v>
      </c>
      <c r="AF203" s="88" t="s">
        <v>210</v>
      </c>
      <c r="AG203" s="105">
        <f>IF(TAB_HISTORICO_MANUT[[#This Row],[Hora Inicio]]="","",MONTH(TAB_HISTORICO_MANUT[[#This Row],[Hora Inicio]]))</f>
        <v>7</v>
      </c>
      <c r="AH203" s="58" t="s">
        <v>1280</v>
      </c>
      <c r="AI203" s="43" t="s">
        <v>340</v>
      </c>
      <c r="AJ203" s="43" t="s">
        <v>1281</v>
      </c>
      <c r="AK203" s="43" t="s">
        <v>1272</v>
      </c>
      <c r="AL203" s="43" t="s">
        <v>1272</v>
      </c>
      <c r="AM203" s="114" t="s">
        <v>1272</v>
      </c>
      <c r="AN203" s="43" t="s">
        <v>1272</v>
      </c>
      <c r="AO203" s="43" t="s">
        <v>1272</v>
      </c>
      <c r="AP203" s="43" t="s">
        <v>1272</v>
      </c>
    </row>
    <row r="204" spans="1:42" ht="50.1" customHeight="1" x14ac:dyDescent="0.25">
      <c r="A204" s="43">
        <f>MONTH(TAB_HISTORICO_MANUT[[#This Row],[Hora Final]])-MONTH(TAB_HISTORICO_MANUT[[#This Row],[Hora Inicio]])</f>
        <v>0</v>
      </c>
      <c r="B204" s="42"/>
      <c r="C204" s="43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Inicio]]=Z203,TAB_HISTORICO_MANUT[[#This Row],[Equipamento]]=AA203,TAB_HISTORICO_MANUT[[#This Row],[Descricao Despacho]]=AD203),0,1)))</f>
        <v/>
      </c>
      <c r="O20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204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20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204" s="50" t="str">
        <f>IF($Q204="","",(TAB_HISTORICO_MANUT[[#This Row],[Hora Final]]-TAB_HISTORICO_MANUT[[#This Row],[Hora Inicio]])*24)</f>
        <v/>
      </c>
      <c r="S20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204" s="54" t="str">
        <f>IF(AND(TAB_HISTORICO_MANUT[[#This Row],[EXPURGO Mãe]]="SIM",TAB_HISTORICO_MANUT[[#This Row],[Tipo]]="MÃE"),"EXP.MAE",IF(TAB_HISTORICO_MANUT[[#This Row],[EXPURGO Mãe]]="NÃO","NÃO EXP.MAE",T203))</f>
        <v>NÃO EXP.MAE</v>
      </c>
      <c r="U20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04" s="56">
        <f>IF(TAB_HISTORICO_MANUT[[#This Row],[EXPURGO Filhas]]="SIM",MAX(TAB_HISTORICO_MANUT[[#This Row],[Hora Final]]-TAB_HISTORICO_MANUT[[#This Row],[Hora Inicio]],0),0)</f>
        <v>0</v>
      </c>
      <c r="W20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0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04" s="46">
        <v>46211.708333333336</v>
      </c>
      <c r="Z204" s="47">
        <v>46212.070474537039</v>
      </c>
      <c r="AA204" s="48" t="s">
        <v>209</v>
      </c>
      <c r="AB204" s="48"/>
      <c r="AC204" s="43" t="s">
        <v>1272</v>
      </c>
      <c r="AD204" s="46" t="s">
        <v>146</v>
      </c>
      <c r="AE204" s="46" t="s">
        <v>311</v>
      </c>
      <c r="AF204" s="88" t="s">
        <v>767</v>
      </c>
      <c r="AG204" s="105">
        <f>IF(TAB_HISTORICO_MANUT[[#This Row],[Hora Inicio]]="","",MONTH(TAB_HISTORICO_MANUT[[#This Row],[Hora Inicio]]))</f>
        <v>7</v>
      </c>
      <c r="AH204" s="58" t="s">
        <v>1282</v>
      </c>
      <c r="AI204" s="43" t="s">
        <v>1272</v>
      </c>
      <c r="AJ204" s="43" t="s">
        <v>1272</v>
      </c>
      <c r="AK204" s="43" t="s">
        <v>1272</v>
      </c>
      <c r="AL204" s="43" t="s">
        <v>1272</v>
      </c>
      <c r="AM204" s="114" t="s">
        <v>1272</v>
      </c>
      <c r="AN204" s="43"/>
      <c r="AO204" s="43"/>
      <c r="AP204" s="43"/>
    </row>
    <row r="205" spans="1:42" ht="50.1" customHeight="1" x14ac:dyDescent="0.25">
      <c r="A205" s="43">
        <f>MONTH(TAB_HISTORICO_MANUT[[#This Row],[Hora Final]])-MONTH(TAB_HISTORICO_MANUT[[#This Row],[Hora Inicio]])</f>
        <v>0</v>
      </c>
      <c r="B205" s="42"/>
      <c r="C205" s="43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Inicio]]=Z204,TAB_HISTORICO_MANUT[[#This Row],[Equipamento]]=AA204,TAB_HISTORICO_MANUT[[#This Row],[Descricao Despacho]]=AD204),0,1)))</f>
        <v>0</v>
      </c>
      <c r="O20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205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0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205" s="50">
        <f>IF($Q205="","",(TAB_HISTORICO_MANUT[[#This Row],[Hora Final]]-TAB_HISTORICO_MANUT[[#This Row],[Hora Inicio]])*24)</f>
        <v>51.282777777698357</v>
      </c>
      <c r="S20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05" s="54" t="str">
        <f>IF(AND(TAB_HISTORICO_MANUT[[#This Row],[EXPURGO Mãe]]="SIM",TAB_HISTORICO_MANUT[[#This Row],[Tipo]]="MÃE"),"EXP.MAE",IF(TAB_HISTORICO_MANUT[[#This Row],[EXPURGO Mãe]]="NÃO","NÃO EXP.MAE",T204))</f>
        <v>NÃO EXP.MAE</v>
      </c>
      <c r="U20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05" s="56">
        <f>IF(TAB_HISTORICO_MANUT[[#This Row],[EXPURGO Filhas]]="SIM",MAX(TAB_HISTORICO_MANUT[[#This Row],[Hora Final]]-TAB_HISTORICO_MANUT[[#This Row],[Hora Inicio]],0),0)</f>
        <v>0</v>
      </c>
      <c r="W20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0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05" s="46">
        <v>46212.070474537039</v>
      </c>
      <c r="Z205" s="46">
        <v>46214.207256944443</v>
      </c>
      <c r="AA205" s="48" t="s">
        <v>209</v>
      </c>
      <c r="AB205" s="48" t="s">
        <v>1272</v>
      </c>
      <c r="AC205" s="43" t="s">
        <v>301</v>
      </c>
      <c r="AD205" s="46" t="s">
        <v>146</v>
      </c>
      <c r="AE205" s="46" t="s">
        <v>310</v>
      </c>
      <c r="AF205" s="88" t="s">
        <v>210</v>
      </c>
      <c r="AG205" s="105">
        <f>IF(TAB_HISTORICO_MANUT[[#This Row],[Hora Inicio]]="","",MONTH(TAB_HISTORICO_MANUT[[#This Row],[Hora Inicio]]))</f>
        <v>7</v>
      </c>
      <c r="AH205" s="58" t="s">
        <v>1280</v>
      </c>
      <c r="AI205" s="43" t="s">
        <v>340</v>
      </c>
      <c r="AJ205" s="43" t="s">
        <v>1281</v>
      </c>
      <c r="AK205" s="43" t="s">
        <v>1272</v>
      </c>
      <c r="AL205" s="43" t="s">
        <v>1272</v>
      </c>
      <c r="AM205" s="114" t="s">
        <v>1272</v>
      </c>
      <c r="AN205" s="43" t="s">
        <v>1272</v>
      </c>
      <c r="AO205" s="43" t="s">
        <v>1272</v>
      </c>
      <c r="AP205" s="43" t="s">
        <v>1272</v>
      </c>
    </row>
    <row r="206" spans="1:42" ht="50.1" customHeight="1" x14ac:dyDescent="0.25">
      <c r="A206" s="43">
        <f>MONTH(TAB_HISTORICO_MANUT[[#This Row],[Hora Final]])-MONTH(TAB_HISTORICO_MANUT[[#This Row],[Hora Inicio]])</f>
        <v>0</v>
      </c>
      <c r="B206" s="42"/>
      <c r="C206" s="43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Inicio]]=Z205,TAB_HISTORICO_MANUT[[#This Row],[Equipamento]]=AA205,TAB_HISTORICO_MANUT[[#This Row],[Descricao Despacho]]=AD205),0,1)))</f>
        <v>1</v>
      </c>
      <c r="O20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AR CONDICIONADO</v>
      </c>
      <c r="P20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0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06" s="50">
        <f>IF($Q206="","",(TAB_HISTORICO_MANUT[[#This Row],[Hora Final]]-TAB_HISTORICO_MANUT[[#This Row],[Hora Inicio]])*24)</f>
        <v>2.2577777776750736</v>
      </c>
      <c r="S20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06" s="54" t="str">
        <f>IF(AND(TAB_HISTORICO_MANUT[[#This Row],[EXPURGO Mãe]]="SIM",TAB_HISTORICO_MANUT[[#This Row],[Tipo]]="MÃE"),"EXP.MAE",IF(TAB_HISTORICO_MANUT[[#This Row],[EXPURGO Mãe]]="NÃO","NÃO EXP.MAE",T205))</f>
        <v>NÃO EXP.MAE</v>
      </c>
      <c r="U20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06" s="56">
        <f>IF(TAB_HISTORICO_MANUT[[#This Row],[EXPURGO Filhas]]="SIM",MAX(TAB_HISTORICO_MANUT[[#This Row],[Hora Final]]-TAB_HISTORICO_MANUT[[#This Row],[Hora Inicio]],0),0)</f>
        <v>0</v>
      </c>
      <c r="W20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0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06" s="46">
        <v>46214.634965277779</v>
      </c>
      <c r="Z206" s="47">
        <v>46214.729039351849</v>
      </c>
      <c r="AA206" s="48" t="s">
        <v>209</v>
      </c>
      <c r="AB206" s="48" t="s">
        <v>1323</v>
      </c>
      <c r="AC206" s="43" t="s">
        <v>204</v>
      </c>
      <c r="AD206" s="46" t="s">
        <v>144</v>
      </c>
      <c r="AE206" s="46" t="s">
        <v>172</v>
      </c>
      <c r="AF206" s="88" t="s">
        <v>210</v>
      </c>
      <c r="AG206" s="105">
        <f>IF(TAB_HISTORICO_MANUT[[#This Row],[Hora Inicio]]="","",MONTH(TAB_HISTORICO_MANUT[[#This Row],[Hora Inicio]]))</f>
        <v>7</v>
      </c>
      <c r="AH206" s="58" t="s">
        <v>1327</v>
      </c>
      <c r="AI206" s="43" t="s">
        <v>37</v>
      </c>
      <c r="AJ206" s="43" t="s">
        <v>273</v>
      </c>
      <c r="AK206" s="43" t="s">
        <v>1332</v>
      </c>
      <c r="AL206" s="43" t="s">
        <v>275</v>
      </c>
      <c r="AM206" s="114" t="s">
        <v>276</v>
      </c>
      <c r="AN206" s="43" t="s">
        <v>217</v>
      </c>
      <c r="AO206" s="43" t="s">
        <v>216</v>
      </c>
      <c r="AP206" s="43" t="s">
        <v>1328</v>
      </c>
    </row>
    <row r="207" spans="1:42" ht="50.1" customHeight="1" x14ac:dyDescent="0.25">
      <c r="A207" s="43">
        <f>MONTH(TAB_HISTORICO_MANUT[[#This Row],[Hora Final]])-MONTH(TAB_HISTORICO_MANUT[[#This Row],[Hora Inicio]])</f>
        <v>0</v>
      </c>
      <c r="B207" s="42"/>
      <c r="C207" s="43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Inicio]]=Z206,TAB_HISTORICO_MANUT[[#This Row],[Equipamento]]=AA206,TAB_HISTORICO_MANUT[[#This Row],[Descricao Despacho]]=AD206),0,1)))</f>
        <v>1</v>
      </c>
      <c r="O20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COMBATE INCENDIO</v>
      </c>
      <c r="P207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0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207" s="50">
        <f>IF($Q207="","",(TAB_HISTORICO_MANUT[[#This Row],[Hora Final]]-TAB_HISTORICO_MANUT[[#This Row],[Hora Inicio]])*24)</f>
        <v>2.5008333334699273</v>
      </c>
      <c r="S20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207" s="54" t="str">
        <f>IF(AND(TAB_HISTORICO_MANUT[[#This Row],[EXPURGO Mãe]]="SIM",TAB_HISTORICO_MANUT[[#This Row],[Tipo]]="MÃE"),"EXP.MAE",IF(TAB_HISTORICO_MANUT[[#This Row],[EXPURGO Mãe]]="NÃO","NÃO EXP.MAE",T206))</f>
        <v>EXP.MAE</v>
      </c>
      <c r="U20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07" s="56">
        <f>IF(TAB_HISTORICO_MANUT[[#This Row],[EXPURGO Filhas]]="SIM",MAX(TAB_HISTORICO_MANUT[[#This Row],[Hora Final]]-TAB_HISTORICO_MANUT[[#This Row],[Hora Inicio]],0),0)</f>
        <v>0</v>
      </c>
      <c r="W20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0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07" s="46">
        <v>46214.769814814812</v>
      </c>
      <c r="Z207" s="47">
        <v>46214.874016203707</v>
      </c>
      <c r="AA207" s="48" t="s">
        <v>209</v>
      </c>
      <c r="AB207" s="48" t="s">
        <v>1324</v>
      </c>
      <c r="AC207" s="43" t="s">
        <v>212</v>
      </c>
      <c r="AD207" s="46" t="s">
        <v>144</v>
      </c>
      <c r="AE207" s="46" t="s">
        <v>214</v>
      </c>
      <c r="AF207" s="88" t="s">
        <v>210</v>
      </c>
      <c r="AG207" s="105">
        <f>IF(TAB_HISTORICO_MANUT[[#This Row],[Hora Inicio]]="","",MONTH(TAB_HISTORICO_MANUT[[#This Row],[Hora Inicio]]))</f>
        <v>7</v>
      </c>
      <c r="AH207" s="58" t="s">
        <v>1329</v>
      </c>
      <c r="AI207" s="43" t="s">
        <v>152</v>
      </c>
      <c r="AJ207" s="43" t="s">
        <v>152</v>
      </c>
      <c r="AK207" s="43" t="s">
        <v>152</v>
      </c>
      <c r="AL207" s="43" t="s">
        <v>152</v>
      </c>
      <c r="AM207" s="114" t="s">
        <v>152</v>
      </c>
      <c r="AN207" s="43" t="s">
        <v>241</v>
      </c>
      <c r="AO207" s="43" t="s">
        <v>1330</v>
      </c>
      <c r="AP207" s="43" t="s">
        <v>1097</v>
      </c>
    </row>
    <row r="208" spans="1:42" ht="50.1" customHeight="1" x14ac:dyDescent="0.25">
      <c r="A208" s="43">
        <f>MONTH(TAB_HISTORICO_MANUT[[#This Row],[Hora Final]])-MONTH(TAB_HISTORICO_MANUT[[#This Row],[Hora Inicio]])</f>
        <v>0</v>
      </c>
      <c r="B208" s="42"/>
      <c r="C208" s="43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Inicio]]=Z207,TAB_HISTORICO_MANUT[[#This Row],[Equipamento]]=AA207,TAB_HISTORICO_MANUT[[#This Row],[Descricao Despacho]]=AD207),0,1)))</f>
        <v>1</v>
      </c>
      <c r="O20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208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0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08" s="50">
        <f>IF($Q208="","",(TAB_HISTORICO_MANUT[[#This Row],[Hora Final]]-TAB_HISTORICO_MANUT[[#This Row],[Hora Inicio]])*24)</f>
        <v>2.5891666666720994</v>
      </c>
      <c r="S20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08" s="54" t="str">
        <f>IF(AND(TAB_HISTORICO_MANUT[[#This Row],[EXPURGO Mãe]]="SIM",TAB_HISTORICO_MANUT[[#This Row],[Tipo]]="MÃE"),"EXP.MAE",IF(TAB_HISTORICO_MANUT[[#This Row],[EXPURGO Mãe]]="NÃO","NÃO EXP.MAE",T207))</f>
        <v>NÃO EXP.MAE</v>
      </c>
      <c r="U20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08" s="56">
        <f>IF(TAB_HISTORICO_MANUT[[#This Row],[EXPURGO Filhas]]="SIM",MAX(TAB_HISTORICO_MANUT[[#This Row],[Hora Final]]-TAB_HISTORICO_MANUT[[#This Row],[Hora Inicio]],0),0)</f>
        <v>0</v>
      </c>
      <c r="W20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0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08" s="46">
        <v>46215.353020833332</v>
      </c>
      <c r="Z208" s="47">
        <v>46215.460902777777</v>
      </c>
      <c r="AA208" s="48" t="s">
        <v>209</v>
      </c>
      <c r="AB208" s="48" t="s">
        <v>1325</v>
      </c>
      <c r="AC208" s="43" t="s">
        <v>204</v>
      </c>
      <c r="AD208" s="46" t="s">
        <v>144</v>
      </c>
      <c r="AE208" s="46" t="s">
        <v>172</v>
      </c>
      <c r="AF208" s="88" t="s">
        <v>210</v>
      </c>
      <c r="AG208" s="105">
        <f>IF(TAB_HISTORICO_MANUT[[#This Row],[Hora Inicio]]="","",MONTH(TAB_HISTORICO_MANUT[[#This Row],[Hora Inicio]]))</f>
        <v>7</v>
      </c>
      <c r="AH208" s="58" t="s">
        <v>1331</v>
      </c>
      <c r="AI208" s="43" t="s">
        <v>24</v>
      </c>
      <c r="AJ208" s="43" t="s">
        <v>223</v>
      </c>
      <c r="AK208" s="43" t="s">
        <v>422</v>
      </c>
      <c r="AL208" s="43" t="s">
        <v>279</v>
      </c>
      <c r="AM208" s="114" t="s">
        <v>280</v>
      </c>
      <c r="AN208" s="43" t="s">
        <v>217</v>
      </c>
      <c r="AO208" s="43" t="s">
        <v>405</v>
      </c>
      <c r="AP208" s="43" t="s">
        <v>403</v>
      </c>
    </row>
    <row r="209" spans="1:42" ht="50.1" customHeight="1" x14ac:dyDescent="0.25">
      <c r="A209" s="43">
        <f>MONTH(TAB_HISTORICO_MANUT[[#This Row],[Hora Final]])-MONTH(TAB_HISTORICO_MANUT[[#This Row],[Hora Inicio]])</f>
        <v>0</v>
      </c>
      <c r="B209" s="42"/>
      <c r="C209" s="43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Inicio]]=Z208,TAB_HISTORICO_MANUT[[#This Row],[Equipamento]]=AA208,TAB_HISTORICO_MANUT[[#This Row],[Descricao Despacho]]=AD208),0,1)))</f>
        <v>1</v>
      </c>
      <c r="O20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209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0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09" s="50">
        <f>IF($Q209="","",(TAB_HISTORICO_MANUT[[#This Row],[Hora Final]]-TAB_HISTORICO_MANUT[[#This Row],[Hora Inicio]])*24)</f>
        <v>2.128611111198552</v>
      </c>
      <c r="S20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09" s="54" t="str">
        <f>IF(AND(TAB_HISTORICO_MANUT[[#This Row],[EXPURGO Mãe]]="SIM",TAB_HISTORICO_MANUT[[#This Row],[Tipo]]="MÃE"),"EXP.MAE",IF(TAB_HISTORICO_MANUT[[#This Row],[EXPURGO Mãe]]="NÃO","NÃO EXP.MAE",T208))</f>
        <v>NÃO EXP.MAE</v>
      </c>
      <c r="U20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09" s="56">
        <f>IF(TAB_HISTORICO_MANUT[[#This Row],[EXPURGO Filhas]]="SIM",MAX(TAB_HISTORICO_MANUT[[#This Row],[Hora Final]]-TAB_HISTORICO_MANUT[[#This Row],[Hora Inicio]],0),0)</f>
        <v>0</v>
      </c>
      <c r="W20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0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09" s="46">
        <v>46217.560057870367</v>
      </c>
      <c r="Z209" s="47">
        <v>46217.64875</v>
      </c>
      <c r="AA209" s="48" t="s">
        <v>209</v>
      </c>
      <c r="AB209" s="48" t="s">
        <v>1336</v>
      </c>
      <c r="AC209" s="43" t="s">
        <v>204</v>
      </c>
      <c r="AD209" s="46" t="s">
        <v>144</v>
      </c>
      <c r="AE209" s="46" t="s">
        <v>172</v>
      </c>
      <c r="AF209" s="88" t="s">
        <v>210</v>
      </c>
      <c r="AG209" s="105">
        <f>IF(TAB_HISTORICO_MANUT[[#This Row],[Hora Inicio]]="","",MONTH(TAB_HISTORICO_MANUT[[#This Row],[Hora Inicio]]))</f>
        <v>7</v>
      </c>
      <c r="AH209" s="58" t="s">
        <v>1337</v>
      </c>
      <c r="AI209" s="43" t="s">
        <v>28</v>
      </c>
      <c r="AJ209" s="43" t="s">
        <v>30</v>
      </c>
      <c r="AK209" s="43" t="s">
        <v>692</v>
      </c>
      <c r="AL209" s="43" t="s">
        <v>1339</v>
      </c>
      <c r="AM209" s="114" t="s">
        <v>531</v>
      </c>
      <c r="AN209" s="43" t="s">
        <v>215</v>
      </c>
      <c r="AO209" s="43" t="s">
        <v>222</v>
      </c>
      <c r="AP209" s="43" t="s">
        <v>1338</v>
      </c>
    </row>
    <row r="210" spans="1:42" ht="50.1" customHeight="1" x14ac:dyDescent="0.25">
      <c r="A210" s="43">
        <f>MONTH(TAB_HISTORICO_MANUT[[#This Row],[Hora Final]])-MONTH(TAB_HISTORICO_MANUT[[#This Row],[Hora Inicio]])</f>
        <v>0</v>
      </c>
      <c r="B210" s="42"/>
      <c r="C210" s="43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Inicio]]=Z209,TAB_HISTORICO_MANUT[[#This Row],[Equipamento]]=AA209,TAB_HISTORICO_MANUT[[#This Row],[Descricao Despacho]]=AD209),0,1)))</f>
        <v>1</v>
      </c>
      <c r="O21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210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1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210" s="50">
        <f>IF($Q210="","",(TAB_HISTORICO_MANUT[[#This Row],[Hora Final]]-TAB_HISTORICO_MANUT[[#This Row],[Hora Inicio]])*24)</f>
        <v>1.2241666667978279</v>
      </c>
      <c r="S21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10" s="54" t="str">
        <f>IF(AND(TAB_HISTORICO_MANUT[[#This Row],[EXPURGO Mãe]]="SIM",TAB_HISTORICO_MANUT[[#This Row],[Tipo]]="MÃE"),"EXP.MAE",IF(TAB_HISTORICO_MANUT[[#This Row],[EXPURGO Mãe]]="NÃO","NÃO EXP.MAE",T209))</f>
        <v>NÃO EXP.MAE</v>
      </c>
      <c r="U21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10" s="56">
        <f>IF(TAB_HISTORICO_MANUT[[#This Row],[EXPURGO Filhas]]="SIM",MAX(TAB_HISTORICO_MANUT[[#This Row],[Hora Final]]-TAB_HISTORICO_MANUT[[#This Row],[Hora Inicio]],0),0)</f>
        <v>0</v>
      </c>
      <c r="W21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1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10" s="46">
        <v>46218.448634259257</v>
      </c>
      <c r="Z210" s="47">
        <v>46218.499641203707</v>
      </c>
      <c r="AA210" s="48" t="s">
        <v>209</v>
      </c>
      <c r="AB210" s="48" t="s">
        <v>1272</v>
      </c>
      <c r="AC210" s="43" t="s">
        <v>882</v>
      </c>
      <c r="AD210" s="46" t="s">
        <v>146</v>
      </c>
      <c r="AE210" s="46" t="s">
        <v>883</v>
      </c>
      <c r="AF210" s="88" t="s">
        <v>210</v>
      </c>
      <c r="AG210" s="105">
        <f>IF(TAB_HISTORICO_MANUT[[#This Row],[Hora Inicio]]="","",MONTH(TAB_HISTORICO_MANUT[[#This Row],[Hora Inicio]]))</f>
        <v>7</v>
      </c>
      <c r="AH210" s="58"/>
      <c r="AI210" s="43" t="s">
        <v>25</v>
      </c>
      <c r="AJ210" s="43" t="s">
        <v>25</v>
      </c>
      <c r="AK210" s="43" t="s">
        <v>25</v>
      </c>
      <c r="AL210" s="43" t="s">
        <v>25</v>
      </c>
      <c r="AM210" s="114" t="s">
        <v>25</v>
      </c>
      <c r="AN210" s="43"/>
      <c r="AO210" s="43"/>
      <c r="AP210" s="43"/>
    </row>
    <row r="211" spans="1:42" ht="50.1" customHeight="1" x14ac:dyDescent="0.25">
      <c r="A211" s="43">
        <f>MONTH(TAB_HISTORICO_MANUT[[#This Row],[Hora Final]])-MONTH(TAB_HISTORICO_MANUT[[#This Row],[Hora Inicio]])</f>
        <v>0</v>
      </c>
      <c r="B211" s="42"/>
      <c r="C211" s="43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Inicio]]=Z210,TAB_HISTORICO_MANUT[[#This Row],[Equipamento]]=AA210,TAB_HISTORICO_MANUT[[#This Row],[Descricao Despacho]]=AD210),0,1)))</f>
        <v>1</v>
      </c>
      <c r="O21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211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1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11" s="50">
        <f>IF($Q211="","",(TAB_HISTORICO_MANUT[[#This Row],[Hora Final]]-TAB_HISTORICO_MANUT[[#This Row],[Hora Inicio]])*24)</f>
        <v>5.2352777778287418</v>
      </c>
      <c r="S21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11" s="54" t="str">
        <f>IF(AND(TAB_HISTORICO_MANUT[[#This Row],[EXPURGO Mãe]]="SIM",TAB_HISTORICO_MANUT[[#This Row],[Tipo]]="MÃE"),"EXP.MAE",IF(TAB_HISTORICO_MANUT[[#This Row],[EXPURGO Mãe]]="NÃO","NÃO EXP.MAE",T210))</f>
        <v>NÃO EXP.MAE</v>
      </c>
      <c r="U21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11" s="56">
        <f>IF(TAB_HISTORICO_MANUT[[#This Row],[EXPURGO Filhas]]="SIM",MAX(TAB_HISTORICO_MANUT[[#This Row],[Hora Final]]-TAB_HISTORICO_MANUT[[#This Row],[Hora Inicio]],0),0)</f>
        <v>0</v>
      </c>
      <c r="W21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1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11" s="46">
        <v>46219.69798611111</v>
      </c>
      <c r="Z211" s="47">
        <v>46219.916122685187</v>
      </c>
      <c r="AA211" s="48" t="s">
        <v>209</v>
      </c>
      <c r="AB211" s="48" t="s">
        <v>1272</v>
      </c>
      <c r="AC211" s="43" t="s">
        <v>204</v>
      </c>
      <c r="AD211" s="46" t="s">
        <v>144</v>
      </c>
      <c r="AE211" s="46" t="s">
        <v>172</v>
      </c>
      <c r="AF211" s="88" t="s">
        <v>210</v>
      </c>
      <c r="AG211" s="105">
        <f>IF(TAB_HISTORICO_MANUT[[#This Row],[Hora Inicio]]="","",MONTH(TAB_HISTORICO_MANUT[[#This Row],[Hora Inicio]]))</f>
        <v>7</v>
      </c>
      <c r="AH211" s="58" t="s">
        <v>1342</v>
      </c>
      <c r="AI211" s="43" t="s">
        <v>23</v>
      </c>
      <c r="AJ211" s="43" t="s">
        <v>43</v>
      </c>
      <c r="AK211" s="43" t="s">
        <v>464</v>
      </c>
      <c r="AL211" s="43" t="s">
        <v>1351</v>
      </c>
      <c r="AM211" s="114" t="s">
        <v>813</v>
      </c>
      <c r="AN211" s="43" t="s">
        <v>1343</v>
      </c>
      <c r="AO211" s="43" t="s">
        <v>1344</v>
      </c>
      <c r="AP211" s="43" t="s">
        <v>1345</v>
      </c>
    </row>
    <row r="212" spans="1:42" ht="50.1" customHeight="1" x14ac:dyDescent="0.25">
      <c r="A212" s="43">
        <f>MONTH(TAB_HISTORICO_MANUT[[#This Row],[Hora Final]])-MONTH(TAB_HISTORICO_MANUT[[#This Row],[Hora Inicio]])</f>
        <v>0</v>
      </c>
      <c r="B212" s="42"/>
      <c r="C212" s="43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Inicio]]=Z211,TAB_HISTORICO_MANUT[[#This Row],[Equipamento]]=AA211,TAB_HISTORICO_MANUT[[#This Row],[Descricao Despacho]]=AD211),0,1)))</f>
        <v>1</v>
      </c>
      <c r="O21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212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1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12" s="50">
        <f>IF($Q212="","",(TAB_HISTORICO_MANUT[[#This Row],[Hora Final]]-TAB_HISTORICO_MANUT[[#This Row],[Hora Inicio]])*24)</f>
        <v>0.37611111119622365</v>
      </c>
      <c r="S21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12" s="54" t="str">
        <f>IF(AND(TAB_HISTORICO_MANUT[[#This Row],[EXPURGO Mãe]]="SIM",TAB_HISTORICO_MANUT[[#This Row],[Tipo]]="MÃE"),"EXP.MAE",IF(TAB_HISTORICO_MANUT[[#This Row],[EXPURGO Mãe]]="NÃO","NÃO EXP.MAE",T211))</f>
        <v>NÃO EXP.MAE</v>
      </c>
      <c r="U21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12" s="56">
        <f>IF(TAB_HISTORICO_MANUT[[#This Row],[EXPURGO Filhas]]="SIM",MAX(TAB_HISTORICO_MANUT[[#This Row],[Hora Final]]-TAB_HISTORICO_MANUT[[#This Row],[Hora Inicio]],0),0)</f>
        <v>0</v>
      </c>
      <c r="W21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1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12" s="46">
        <v>46220.216307870367</v>
      </c>
      <c r="Z212" s="47">
        <v>46220.231979166667</v>
      </c>
      <c r="AA212" s="48" t="s">
        <v>209</v>
      </c>
      <c r="AB212" s="48" t="s">
        <v>1353</v>
      </c>
      <c r="AC212" s="43" t="s">
        <v>204</v>
      </c>
      <c r="AD212" s="46" t="s">
        <v>144</v>
      </c>
      <c r="AE212" s="46" t="s">
        <v>172</v>
      </c>
      <c r="AF212" s="88" t="s">
        <v>210</v>
      </c>
      <c r="AG212" s="105">
        <f>IF(TAB_HISTORICO_MANUT[[#This Row],[Hora Inicio]]="","",MONTH(TAB_HISTORICO_MANUT[[#This Row],[Hora Inicio]]))</f>
        <v>7</v>
      </c>
      <c r="AH212" s="58" t="s">
        <v>1356</v>
      </c>
      <c r="AI212" s="43" t="s">
        <v>22</v>
      </c>
      <c r="AJ212" s="43" t="s">
        <v>1363</v>
      </c>
      <c r="AK212" s="43" t="s">
        <v>290</v>
      </c>
      <c r="AL212" s="43" t="s">
        <v>275</v>
      </c>
      <c r="AM212" s="114" t="s">
        <v>238</v>
      </c>
      <c r="AN212" s="43" t="s">
        <v>217</v>
      </c>
      <c r="AO212" s="43" t="s">
        <v>964</v>
      </c>
      <c r="AP212" s="43" t="s">
        <v>1357</v>
      </c>
    </row>
    <row r="213" spans="1:42" ht="50.1" customHeight="1" x14ac:dyDescent="0.25">
      <c r="A213" s="43">
        <f>MONTH(TAB_HISTORICO_MANUT[[#This Row],[Hora Final]])-MONTH(TAB_HISTORICO_MANUT[[#This Row],[Hora Inicio]])</f>
        <v>0</v>
      </c>
      <c r="B213" s="42"/>
      <c r="C213" s="43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Inicio]]=Z212,TAB_HISTORICO_MANUT[[#This Row],[Equipamento]]=AA212,TAB_HISTORICO_MANUT[[#This Row],[Descricao Despacho]]=AD212),0,1)))</f>
        <v>1</v>
      </c>
      <c r="O21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213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1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13" s="50">
        <f>IF($Q213="","",(TAB_HISTORICO_MANUT[[#This Row],[Hora Final]]-TAB_HISTORICO_MANUT[[#This Row],[Hora Inicio]])*24)</f>
        <v>0.24166666658129543</v>
      </c>
      <c r="S21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13" s="54" t="str">
        <f>IF(AND(TAB_HISTORICO_MANUT[[#This Row],[EXPURGO Mãe]]="SIM",TAB_HISTORICO_MANUT[[#This Row],[Tipo]]="MÃE"),"EXP.MAE",IF(TAB_HISTORICO_MANUT[[#This Row],[EXPURGO Mãe]]="NÃO","NÃO EXP.MAE",T212))</f>
        <v>NÃO EXP.MAE</v>
      </c>
      <c r="U21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13" s="56">
        <f>IF(TAB_HISTORICO_MANUT[[#This Row],[EXPURGO Filhas]]="SIM",MAX(TAB_HISTORICO_MANUT[[#This Row],[Hora Final]]-TAB_HISTORICO_MANUT[[#This Row],[Hora Inicio]],0),0)</f>
        <v>0</v>
      </c>
      <c r="W21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1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13" s="46">
        <v>46223.083425925928</v>
      </c>
      <c r="Z213" s="47">
        <v>46223.093495370369</v>
      </c>
      <c r="AA213" s="48" t="s">
        <v>209</v>
      </c>
      <c r="AB213" s="48" t="s">
        <v>1365</v>
      </c>
      <c r="AC213" s="43" t="s">
        <v>204</v>
      </c>
      <c r="AD213" s="46" t="s">
        <v>144</v>
      </c>
      <c r="AE213" s="46" t="s">
        <v>172</v>
      </c>
      <c r="AF213" s="88" t="s">
        <v>210</v>
      </c>
      <c r="AG213" s="105">
        <f>IF(TAB_HISTORICO_MANUT[[#This Row],[Hora Inicio]]="","",MONTH(TAB_HISTORICO_MANUT[[#This Row],[Hora Inicio]]))</f>
        <v>7</v>
      </c>
      <c r="AH213" s="58" t="s">
        <v>1367</v>
      </c>
      <c r="AI213" s="43" t="s">
        <v>235</v>
      </c>
      <c r="AJ213" s="43" t="s">
        <v>223</v>
      </c>
      <c r="AK213" s="43" t="s">
        <v>422</v>
      </c>
      <c r="AL213" s="43" t="s">
        <v>279</v>
      </c>
      <c r="AM213" s="114" t="s">
        <v>280</v>
      </c>
      <c r="AN213" s="43" t="s">
        <v>217</v>
      </c>
      <c r="AO213" s="43" t="s">
        <v>729</v>
      </c>
      <c r="AP213" s="43" t="s">
        <v>403</v>
      </c>
    </row>
    <row r="214" spans="1:42" ht="50.1" customHeight="1" x14ac:dyDescent="0.25">
      <c r="A214" s="43">
        <f>MONTH(TAB_HISTORICO_MANUT[[#This Row],[Hora Final]])-MONTH(TAB_HISTORICO_MANUT[[#This Row],[Hora Inicio]])</f>
        <v>0</v>
      </c>
      <c r="B214" s="42"/>
      <c r="C214" s="43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Inicio]]=Z213,TAB_HISTORICO_MANUT[[#This Row],[Equipamento]]=AA213,TAB_HISTORICO_MANUT[[#This Row],[Descricao Despacho]]=AD213),0,1)))</f>
        <v>1</v>
      </c>
      <c r="O21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214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1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214" s="50">
        <f>IF($Q214="","",(TAB_HISTORICO_MANUT[[#This Row],[Hora Final]]-TAB_HISTORICO_MANUT[[#This Row],[Hora Inicio]])*24)</f>
        <v>1.5961111110518686</v>
      </c>
      <c r="S21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14" s="54" t="str">
        <f>IF(AND(TAB_HISTORICO_MANUT[[#This Row],[EXPURGO Mãe]]="SIM",TAB_HISTORICO_MANUT[[#This Row],[Tipo]]="MÃE"),"EXP.MAE",IF(TAB_HISTORICO_MANUT[[#This Row],[EXPURGO Mãe]]="NÃO","NÃO EXP.MAE",T213))</f>
        <v>NÃO EXP.MAE</v>
      </c>
      <c r="U21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14" s="56">
        <f>IF(TAB_HISTORICO_MANUT[[#This Row],[EXPURGO Filhas]]="SIM",MAX(TAB_HISTORICO_MANUT[[#This Row],[Hora Final]]-TAB_HISTORICO_MANUT[[#This Row],[Hora Inicio]],0),0)</f>
        <v>0</v>
      </c>
      <c r="W21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1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14" s="46">
        <v>46223.488738425927</v>
      </c>
      <c r="Z214" s="47">
        <v>46223.555243055554</v>
      </c>
      <c r="AA214" s="48" t="s">
        <v>209</v>
      </c>
      <c r="AB214" s="48" t="s">
        <v>1272</v>
      </c>
      <c r="AC214" s="43" t="s">
        <v>882</v>
      </c>
      <c r="AD214" s="46" t="s">
        <v>146</v>
      </c>
      <c r="AE214" s="46" t="s">
        <v>883</v>
      </c>
      <c r="AF214" s="88" t="s">
        <v>210</v>
      </c>
      <c r="AG214" s="105">
        <f>IF(TAB_HISTORICO_MANUT[[#This Row],[Hora Inicio]]="","",MONTH(TAB_HISTORICO_MANUT[[#This Row],[Hora Inicio]]))</f>
        <v>7</v>
      </c>
      <c r="AH214" s="58" t="s">
        <v>1009</v>
      </c>
      <c r="AI214" s="43" t="s">
        <v>25</v>
      </c>
      <c r="AJ214" s="43" t="s">
        <v>25</v>
      </c>
      <c r="AK214" s="43" t="s">
        <v>25</v>
      </c>
      <c r="AL214" s="43" t="s">
        <v>25</v>
      </c>
      <c r="AM214" s="114" t="s">
        <v>25</v>
      </c>
      <c r="AN214" s="43" t="s">
        <v>1272</v>
      </c>
      <c r="AO214" s="43" t="s">
        <v>1272</v>
      </c>
      <c r="AP214" s="43" t="s">
        <v>1272</v>
      </c>
    </row>
    <row r="215" spans="1:42" ht="50.1" customHeight="1" x14ac:dyDescent="0.25">
      <c r="A215" s="43">
        <f>MONTH(TAB_HISTORICO_MANUT[[#This Row],[Hora Final]])-MONTH(TAB_HISTORICO_MANUT[[#This Row],[Hora Inicio]])</f>
        <v>0</v>
      </c>
      <c r="B215" s="42"/>
      <c r="C215" s="43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Inicio]]=Z214,TAB_HISTORICO_MANUT[[#This Row],[Equipamento]]=AA214,TAB_HISTORICO_MANUT[[#This Row],[Descricao Despacho]]=AD214),0,1)))</f>
        <v>1</v>
      </c>
      <c r="O21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215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1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15" s="50">
        <f>IF($Q215="","",(TAB_HISTORICO_MANUT[[#This Row],[Hora Final]]-TAB_HISTORICO_MANUT[[#This Row],[Hora Inicio]])*24)</f>
        <v>0.94611111120320857</v>
      </c>
      <c r="S21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15" s="54" t="str">
        <f>IF(AND(TAB_HISTORICO_MANUT[[#This Row],[EXPURGO Mãe]]="SIM",TAB_HISTORICO_MANUT[[#This Row],[Tipo]]="MÃE"),"EXP.MAE",IF(TAB_HISTORICO_MANUT[[#This Row],[EXPURGO Mãe]]="NÃO","NÃO EXP.MAE",T214))</f>
        <v>NÃO EXP.MAE</v>
      </c>
      <c r="U21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15" s="56">
        <f>IF(TAB_HISTORICO_MANUT[[#This Row],[EXPURGO Filhas]]="SIM",MAX(TAB_HISTORICO_MANUT[[#This Row],[Hora Final]]-TAB_HISTORICO_MANUT[[#This Row],[Hora Inicio]],0),0)</f>
        <v>0</v>
      </c>
      <c r="W21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1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15" s="46">
        <v>46225.915983796294</v>
      </c>
      <c r="Z215" s="47">
        <v>46225.955405092594</v>
      </c>
      <c r="AA215" s="48" t="s">
        <v>209</v>
      </c>
      <c r="AB215" s="48" t="s">
        <v>1370</v>
      </c>
      <c r="AC215" s="43" t="s">
        <v>204</v>
      </c>
      <c r="AD215" s="46" t="s">
        <v>144</v>
      </c>
      <c r="AE215" s="46" t="s">
        <v>172</v>
      </c>
      <c r="AF215" s="88" t="s">
        <v>210</v>
      </c>
      <c r="AG215" s="105">
        <f>IF(TAB_HISTORICO_MANUT[[#This Row],[Hora Inicio]]="","",MONTH(TAB_HISTORICO_MANUT[[#This Row],[Hora Inicio]]))</f>
        <v>7</v>
      </c>
      <c r="AH215" s="58" t="s">
        <v>1372</v>
      </c>
      <c r="AI215" s="43" t="s">
        <v>235</v>
      </c>
      <c r="AJ215" s="43" t="s">
        <v>717</v>
      </c>
      <c r="AK215" s="43" t="s">
        <v>422</v>
      </c>
      <c r="AL215" s="43" t="s">
        <v>279</v>
      </c>
      <c r="AM215" s="114" t="s">
        <v>280</v>
      </c>
      <c r="AN215" s="43" t="s">
        <v>217</v>
      </c>
      <c r="AO215" s="43" t="s">
        <v>811</v>
      </c>
      <c r="AP215" s="43" t="s">
        <v>1373</v>
      </c>
    </row>
    <row r="216" spans="1:42" ht="50.1" customHeight="1" x14ac:dyDescent="0.25">
      <c r="A216" s="43">
        <f>MONTH(TAB_HISTORICO_MANUT[[#This Row],[Hora Final]])-MONTH(TAB_HISTORICO_MANUT[[#This Row],[Hora Inicio]])</f>
        <v>0</v>
      </c>
      <c r="B216" s="42"/>
      <c r="C216" s="43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Inicio]]=Z215,TAB_HISTORICO_MANUT[[#This Row],[Equipamento]]=AA215,TAB_HISTORICO_MANUT[[#This Row],[Descricao Despacho]]=AD215),0,1)))</f>
        <v>1</v>
      </c>
      <c r="O21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21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1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16" s="50">
        <f>IF($Q216="","",(TAB_HISTORICO_MANUT[[#This Row],[Hora Final]]-TAB_HISTORICO_MANUT[[#This Row],[Hora Inicio]])*24)</f>
        <v>1.8313888889970258</v>
      </c>
      <c r="S21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16" s="54" t="str">
        <f>IF(AND(TAB_HISTORICO_MANUT[[#This Row],[EXPURGO Mãe]]="SIM",TAB_HISTORICO_MANUT[[#This Row],[Tipo]]="MÃE"),"EXP.MAE",IF(TAB_HISTORICO_MANUT[[#This Row],[EXPURGO Mãe]]="NÃO","NÃO EXP.MAE",T215))</f>
        <v>NÃO EXP.MAE</v>
      </c>
      <c r="U21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16" s="56">
        <f>IF(TAB_HISTORICO_MANUT[[#This Row],[EXPURGO Filhas]]="SIM",MAX(TAB_HISTORICO_MANUT[[#This Row],[Hora Final]]-TAB_HISTORICO_MANUT[[#This Row],[Hora Inicio]],0),0)</f>
        <v>0</v>
      </c>
      <c r="W21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1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16" s="46">
        <v>46227.066168981481</v>
      </c>
      <c r="Z216" s="47">
        <v>46227.142476851855</v>
      </c>
      <c r="AA216" s="48" t="s">
        <v>209</v>
      </c>
      <c r="AB216" s="48" t="s">
        <v>1382</v>
      </c>
      <c r="AC216" s="43" t="s">
        <v>204</v>
      </c>
      <c r="AD216" s="46" t="s">
        <v>144</v>
      </c>
      <c r="AE216" s="46" t="s">
        <v>172</v>
      </c>
      <c r="AF216" s="88" t="s">
        <v>210</v>
      </c>
      <c r="AG216" s="105">
        <f>IF(TAB_HISTORICO_MANUT[[#This Row],[Hora Inicio]]="","",MONTH(TAB_HISTORICO_MANUT[[#This Row],[Hora Inicio]]))</f>
        <v>7</v>
      </c>
      <c r="AH216" s="58" t="s">
        <v>1387</v>
      </c>
      <c r="AI216" s="43" t="s">
        <v>22</v>
      </c>
      <c r="AJ216" s="43" t="s">
        <v>284</v>
      </c>
      <c r="AK216" s="43" t="s">
        <v>284</v>
      </c>
      <c r="AL216" s="43" t="s">
        <v>282</v>
      </c>
      <c r="AM216" s="114" t="s">
        <v>276</v>
      </c>
      <c r="AN216" s="43" t="s">
        <v>215</v>
      </c>
      <c r="AO216" s="43" t="s">
        <v>224</v>
      </c>
      <c r="AP216" s="43" t="s">
        <v>225</v>
      </c>
    </row>
    <row r="217" spans="1:42" ht="50.1" customHeight="1" x14ac:dyDescent="0.25">
      <c r="A217" s="43">
        <f>MONTH(TAB_HISTORICO_MANUT[[#This Row],[Hora Final]])-MONTH(TAB_HISTORICO_MANUT[[#This Row],[Hora Inicio]])</f>
        <v>0</v>
      </c>
      <c r="B217" s="42"/>
      <c r="C217" s="43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Inicio]]=Z216,TAB_HISTORICO_MANUT[[#This Row],[Equipamento]]=AA216,TAB_HISTORICO_MANUT[[#This Row],[Descricao Despacho]]=AD216),0,1)))</f>
        <v>1</v>
      </c>
      <c r="O21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217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1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17" s="50">
        <f>IF($Q217="","",(TAB_HISTORICO_MANUT[[#This Row],[Hora Final]]-TAB_HISTORICO_MANUT[[#This Row],[Hora Inicio]])*24)</f>
        <v>0.92388888902496547</v>
      </c>
      <c r="S21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17" s="54" t="str">
        <f>IF(AND(TAB_HISTORICO_MANUT[[#This Row],[EXPURGO Mãe]]="SIM",TAB_HISTORICO_MANUT[[#This Row],[Tipo]]="MÃE"),"EXP.MAE",IF(TAB_HISTORICO_MANUT[[#This Row],[EXPURGO Mãe]]="NÃO","NÃO EXP.MAE",T216))</f>
        <v>NÃO EXP.MAE</v>
      </c>
      <c r="U21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17" s="56">
        <f>IF(TAB_HISTORICO_MANUT[[#This Row],[EXPURGO Filhas]]="SIM",MAX(TAB_HISTORICO_MANUT[[#This Row],[Hora Final]]-TAB_HISTORICO_MANUT[[#This Row],[Hora Inicio]],0),0)</f>
        <v>0</v>
      </c>
      <c r="W21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1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17" s="46">
        <v>46227.825682870367</v>
      </c>
      <c r="Z217" s="47">
        <v>46227.864178240743</v>
      </c>
      <c r="AA217" s="48" t="s">
        <v>209</v>
      </c>
      <c r="AB217" s="48" t="s">
        <v>1383</v>
      </c>
      <c r="AC217" s="43" t="s">
        <v>204</v>
      </c>
      <c r="AD217" s="46" t="s">
        <v>144</v>
      </c>
      <c r="AE217" s="46" t="s">
        <v>172</v>
      </c>
      <c r="AF217" s="88" t="s">
        <v>210</v>
      </c>
      <c r="AG217" s="105">
        <f>IF(TAB_HISTORICO_MANUT[[#This Row],[Hora Inicio]]="","",MONTH(TAB_HISTORICO_MANUT[[#This Row],[Hora Inicio]]))</f>
        <v>7</v>
      </c>
      <c r="AH217" s="58" t="s">
        <v>1389</v>
      </c>
      <c r="AI217" s="43" t="s">
        <v>235</v>
      </c>
      <c r="AJ217" s="43" t="s">
        <v>717</v>
      </c>
      <c r="AK217" s="43" t="s">
        <v>422</v>
      </c>
      <c r="AL217" s="43" t="s">
        <v>279</v>
      </c>
      <c r="AM217" s="114" t="s">
        <v>280</v>
      </c>
      <c r="AN217" s="43" t="s">
        <v>217</v>
      </c>
      <c r="AO217" s="43" t="s">
        <v>841</v>
      </c>
      <c r="AP217" s="43" t="s">
        <v>1390</v>
      </c>
    </row>
    <row r="218" spans="1:42" ht="50.1" customHeight="1" x14ac:dyDescent="0.25">
      <c r="A218" s="43">
        <f>MONTH(TAB_HISTORICO_MANUT[[#This Row],[Hora Final]])-MONTH(TAB_HISTORICO_MANUT[[#This Row],[Hora Inicio]])</f>
        <v>0</v>
      </c>
      <c r="B218" s="42"/>
      <c r="C218" s="43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Inicio]]=Z217,TAB_HISTORICO_MANUT[[#This Row],[Equipamento]]=AA217,TAB_HISTORICO_MANUT[[#This Row],[Descricao Despacho]]=AD217),0,1)))</f>
        <v>1</v>
      </c>
      <c r="O21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218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1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218" s="50">
        <f>IF($Q218="","",(TAB_HISTORICO_MANUT[[#This Row],[Hora Final]]-TAB_HISTORICO_MANUT[[#This Row],[Hora Inicio]])*24)</f>
        <v>3.1219444444868714</v>
      </c>
      <c r="S21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218" s="54" t="str">
        <f>IF(AND(TAB_HISTORICO_MANUT[[#This Row],[EXPURGO Mãe]]="SIM",TAB_HISTORICO_MANUT[[#This Row],[Tipo]]="MÃE"),"EXP.MAE",IF(TAB_HISTORICO_MANUT[[#This Row],[EXPURGO Mãe]]="NÃO","NÃO EXP.MAE",T217))</f>
        <v>EXP.MAE</v>
      </c>
      <c r="U21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18" s="56">
        <f>IF(TAB_HISTORICO_MANUT[[#This Row],[EXPURGO Filhas]]="SIM",MAX(TAB_HISTORICO_MANUT[[#This Row],[Hora Final]]-TAB_HISTORICO_MANUT[[#This Row],[Hora Inicio]],0),0)</f>
        <v>0</v>
      </c>
      <c r="W21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1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18" s="46">
        <v>46228.18445601852</v>
      </c>
      <c r="Z218" s="47">
        <v>46228.31453703704</v>
      </c>
      <c r="AA218" s="48" t="s">
        <v>209</v>
      </c>
      <c r="AB218" s="48" t="s">
        <v>1272</v>
      </c>
      <c r="AC218" s="43" t="s">
        <v>1217</v>
      </c>
      <c r="AD218" s="46" t="s">
        <v>144</v>
      </c>
      <c r="AE218" s="46" t="s">
        <v>1218</v>
      </c>
      <c r="AF218" s="88" t="s">
        <v>210</v>
      </c>
      <c r="AG218" s="105">
        <f>IF(TAB_HISTORICO_MANUT[[#This Row],[Hora Inicio]]="","",MONTH(TAB_HISTORICO_MANUT[[#This Row],[Hora Inicio]]))</f>
        <v>7</v>
      </c>
      <c r="AH218" s="58" t="s">
        <v>1391</v>
      </c>
      <c r="AI218" s="43" t="s">
        <v>82</v>
      </c>
      <c r="AJ218" s="43" t="s">
        <v>82</v>
      </c>
      <c r="AK218" s="43" t="s">
        <v>82</v>
      </c>
      <c r="AL218" s="43" t="s">
        <v>1272</v>
      </c>
      <c r="AM218" s="114" t="s">
        <v>1272</v>
      </c>
      <c r="AN218" s="43" t="s">
        <v>241</v>
      </c>
      <c r="AO218" s="43" t="s">
        <v>940</v>
      </c>
      <c r="AP218" s="43" t="s">
        <v>941</v>
      </c>
    </row>
    <row r="219" spans="1:42" ht="50.1" customHeight="1" x14ac:dyDescent="0.25">
      <c r="A219" s="43">
        <f>MONTH(TAB_HISTORICO_MANUT[[#This Row],[Hora Final]])-MONTH(TAB_HISTORICO_MANUT[[#This Row],[Hora Inicio]])</f>
        <v>0</v>
      </c>
      <c r="B219" s="42"/>
      <c r="C219" s="43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Inicio]]=Z218,TAB_HISTORICO_MANUT[[#This Row],[Equipamento]]=AA218,TAB_HISTORICO_MANUT[[#This Row],[Descricao Despacho]]=AD218),0,1)))</f>
        <v>1</v>
      </c>
      <c r="O21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219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1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219" s="50">
        <f>IF($Q219="","",(TAB_HISTORICO_MANUT[[#This Row],[Hora Final]]-TAB_HISTORICO_MANUT[[#This Row],[Hora Inicio]])*24)</f>
        <v>3.2044444443890825</v>
      </c>
      <c r="S21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219" s="54" t="str">
        <f>IF(AND(TAB_HISTORICO_MANUT[[#This Row],[EXPURGO Mãe]]="SIM",TAB_HISTORICO_MANUT[[#This Row],[Tipo]]="MÃE"),"EXP.MAE",IF(TAB_HISTORICO_MANUT[[#This Row],[EXPURGO Mãe]]="NÃO","NÃO EXP.MAE",T218))</f>
        <v>EXP.MAE</v>
      </c>
      <c r="U21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19" s="56">
        <f>IF(TAB_HISTORICO_MANUT[[#This Row],[EXPURGO Filhas]]="SIM",MAX(TAB_HISTORICO_MANUT[[#This Row],[Hora Final]]-TAB_HISTORICO_MANUT[[#This Row],[Hora Inicio]],0),0)</f>
        <v>0</v>
      </c>
      <c r="W21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1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19" s="46">
        <v>46228.894953703704</v>
      </c>
      <c r="Z219" s="47">
        <v>46229.02847222222</v>
      </c>
      <c r="AA219" s="48" t="s">
        <v>209</v>
      </c>
      <c r="AB219" s="48" t="s">
        <v>1385</v>
      </c>
      <c r="AC219" s="43" t="s">
        <v>1217</v>
      </c>
      <c r="AD219" s="46" t="s">
        <v>144</v>
      </c>
      <c r="AE219" s="46" t="s">
        <v>1218</v>
      </c>
      <c r="AF219" s="88" t="s">
        <v>210</v>
      </c>
      <c r="AG219" s="105">
        <f>IF(TAB_HISTORICO_MANUT[[#This Row],[Hora Inicio]]="","",MONTH(TAB_HISTORICO_MANUT[[#This Row],[Hora Inicio]]))</f>
        <v>7</v>
      </c>
      <c r="AH219" s="58" t="s">
        <v>1393</v>
      </c>
      <c r="AI219" s="43" t="s">
        <v>82</v>
      </c>
      <c r="AJ219" s="43" t="s">
        <v>82</v>
      </c>
      <c r="AK219" s="43" t="s">
        <v>82</v>
      </c>
      <c r="AL219" s="43" t="s">
        <v>1272</v>
      </c>
      <c r="AM219" s="114" t="s">
        <v>1272</v>
      </c>
      <c r="AN219" s="43" t="s">
        <v>215</v>
      </c>
      <c r="AO219" s="43" t="s">
        <v>222</v>
      </c>
      <c r="AP219" s="43" t="s">
        <v>1394</v>
      </c>
    </row>
    <row r="220" spans="1:42" ht="50.1" customHeight="1" x14ac:dyDescent="0.25">
      <c r="A220" s="43">
        <f>MONTH(TAB_HISTORICO_MANUT[[#This Row],[Hora Final]])-MONTH(TAB_HISTORICO_MANUT[[#This Row],[Hora Inicio]])</f>
        <v>0</v>
      </c>
      <c r="B220" s="42"/>
      <c r="C220" s="43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Inicio]]=Z219,TAB_HISTORICO_MANUT[[#This Row],[Equipamento]]=AA219,TAB_HISTORICO_MANUT[[#This Row],[Descricao Despacho]]=AD219),0,1)))</f>
        <v>1</v>
      </c>
      <c r="O22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220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2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20" s="50">
        <f>IF($Q220="","",(TAB_HISTORICO_MANUT[[#This Row],[Hora Final]]-TAB_HISTORICO_MANUT[[#This Row],[Hora Inicio]])*24)</f>
        <v>4.219166666676756</v>
      </c>
      <c r="S22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20" s="54" t="str">
        <f>IF(AND(TAB_HISTORICO_MANUT[[#This Row],[EXPURGO Mãe]]="SIM",TAB_HISTORICO_MANUT[[#This Row],[Tipo]]="MÃE"),"EXP.MAE",IF(TAB_HISTORICO_MANUT[[#This Row],[EXPURGO Mãe]]="NÃO","NÃO EXP.MAE",T219))</f>
        <v>NÃO EXP.MAE</v>
      </c>
      <c r="U22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20" s="56">
        <f>IF(TAB_HISTORICO_MANUT[[#This Row],[EXPURGO Filhas]]="SIM",MAX(TAB_HISTORICO_MANUT[[#This Row],[Hora Final]]-TAB_HISTORICO_MANUT[[#This Row],[Hora Inicio]],0),0)</f>
        <v>0</v>
      </c>
      <c r="W22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2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20" s="46">
        <v>46229.691701388889</v>
      </c>
      <c r="Z220" s="47">
        <v>46229.8675</v>
      </c>
      <c r="AA220" s="48" t="s">
        <v>209</v>
      </c>
      <c r="AB220" s="48" t="s">
        <v>1386</v>
      </c>
      <c r="AC220" s="43" t="s">
        <v>204</v>
      </c>
      <c r="AD220" s="46" t="s">
        <v>144</v>
      </c>
      <c r="AE220" s="46" t="s">
        <v>172</v>
      </c>
      <c r="AF220" s="88" t="s">
        <v>210</v>
      </c>
      <c r="AG220" s="105">
        <f>IF(TAB_HISTORICO_MANUT[[#This Row],[Hora Inicio]]="","",MONTH(TAB_HISTORICO_MANUT[[#This Row],[Hora Inicio]]))</f>
        <v>7</v>
      </c>
      <c r="AH220" s="58" t="s">
        <v>1395</v>
      </c>
      <c r="AI220" s="43" t="s">
        <v>22</v>
      </c>
      <c r="AJ220" s="43" t="s">
        <v>284</v>
      </c>
      <c r="AK220" s="43" t="s">
        <v>284</v>
      </c>
      <c r="AL220" s="43" t="s">
        <v>282</v>
      </c>
      <c r="AM220" s="114" t="s">
        <v>276</v>
      </c>
      <c r="AN220" s="43" t="s">
        <v>215</v>
      </c>
      <c r="AO220" s="43" t="s">
        <v>224</v>
      </c>
      <c r="AP220" s="43" t="s">
        <v>225</v>
      </c>
    </row>
    <row r="221" spans="1:42" ht="50.1" customHeight="1" x14ac:dyDescent="0.25">
      <c r="A221" s="43">
        <f>MONTH(TAB_HISTORICO_MANUT[[#This Row],[Hora Final]])-MONTH(TAB_HISTORICO_MANUT[[#This Row],[Hora Inicio]])</f>
        <v>0</v>
      </c>
      <c r="B221" s="42"/>
      <c r="C221" s="43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Inicio]]=Z220,TAB_HISTORICO_MANUT[[#This Row],[Equipamento]]=AA220,TAB_HISTORICO_MANUT[[#This Row],[Descricao Despacho]]=AD220),0,1)))</f>
        <v>1</v>
      </c>
      <c r="O22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221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2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21" s="50">
        <f>IF($Q221="","",(TAB_HISTORICO_MANUT[[#This Row],[Hora Final]]-TAB_HISTORICO_MANUT[[#This Row],[Hora Inicio]])*24)</f>
        <v>0.21861111104954034</v>
      </c>
      <c r="S22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21" s="54" t="str">
        <f>IF(AND(TAB_HISTORICO_MANUT[[#This Row],[EXPURGO Mãe]]="SIM",TAB_HISTORICO_MANUT[[#This Row],[Tipo]]="MÃE"),"EXP.MAE",IF(TAB_HISTORICO_MANUT[[#This Row],[EXPURGO Mãe]]="NÃO","NÃO EXP.MAE",T220))</f>
        <v>NÃO EXP.MAE</v>
      </c>
      <c r="U22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21" s="56">
        <f>IF(TAB_HISTORICO_MANUT[[#This Row],[EXPURGO Filhas]]="SIM",MAX(TAB_HISTORICO_MANUT[[#This Row],[Hora Final]]-TAB_HISTORICO_MANUT[[#This Row],[Hora Inicio]],0),0)</f>
        <v>0</v>
      </c>
      <c r="W22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2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21" s="46">
        <v>46230.680787037039</v>
      </c>
      <c r="Z221" s="47">
        <v>46230.689895833333</v>
      </c>
      <c r="AA221" s="48" t="s">
        <v>209</v>
      </c>
      <c r="AB221" s="48" t="s">
        <v>1272</v>
      </c>
      <c r="AC221" s="43" t="s">
        <v>204</v>
      </c>
      <c r="AD221" s="46" t="s">
        <v>144</v>
      </c>
      <c r="AE221" s="46" t="s">
        <v>172</v>
      </c>
      <c r="AF221" s="88" t="s">
        <v>210</v>
      </c>
      <c r="AG221" s="105">
        <f>IF(TAB_HISTORICO_MANUT[[#This Row],[Hora Inicio]]="","",MONTH(TAB_HISTORICO_MANUT[[#This Row],[Hora Inicio]]))</f>
        <v>7</v>
      </c>
      <c r="AH221" s="58" t="s">
        <v>1399</v>
      </c>
      <c r="AI221" s="43" t="s">
        <v>28</v>
      </c>
      <c r="AJ221" s="43" t="s">
        <v>614</v>
      </c>
      <c r="AK221" s="43" t="s">
        <v>422</v>
      </c>
      <c r="AL221" s="43" t="s">
        <v>279</v>
      </c>
      <c r="AM221" s="114" t="s">
        <v>280</v>
      </c>
      <c r="AN221" s="43" t="s">
        <v>1272</v>
      </c>
      <c r="AO221" s="43" t="s">
        <v>1272</v>
      </c>
      <c r="AP221" s="43" t="s">
        <v>1272</v>
      </c>
    </row>
    <row r="222" spans="1:42" ht="50.1" customHeight="1" x14ac:dyDescent="0.25">
      <c r="A222" s="43">
        <f>MONTH(TAB_HISTORICO_MANUT[[#This Row],[Hora Final]])-MONTH(TAB_HISTORICO_MANUT[[#This Row],[Hora Inicio]])</f>
        <v>0</v>
      </c>
      <c r="B222" s="42"/>
      <c r="C222" s="43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Inicio]]=Z221,TAB_HISTORICO_MANUT[[#This Row],[Equipamento]]=AA221,TAB_HISTORICO_MANUT[[#This Row],[Descricao Despacho]]=AD221),0,1)))</f>
        <v>1</v>
      </c>
      <c r="O22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222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2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22" s="50">
        <f>IF($Q222="","",(TAB_HISTORICO_MANUT[[#This Row],[Hora Final]]-TAB_HISTORICO_MANUT[[#This Row],[Hora Inicio]])*24)</f>
        <v>3.3558333333930932</v>
      </c>
      <c r="S22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22" s="54" t="str">
        <f>IF(AND(TAB_HISTORICO_MANUT[[#This Row],[EXPURGO Mãe]]="SIM",TAB_HISTORICO_MANUT[[#This Row],[Tipo]]="MÃE"),"EXP.MAE",IF(TAB_HISTORICO_MANUT[[#This Row],[EXPURGO Mãe]]="NÃO","NÃO EXP.MAE",T221))</f>
        <v>NÃO EXP.MAE</v>
      </c>
      <c r="U22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22" s="56">
        <f>IF(TAB_HISTORICO_MANUT[[#This Row],[EXPURGO Filhas]]="SIM",MAX(TAB_HISTORICO_MANUT[[#This Row],[Hora Final]]-TAB_HISTORICO_MANUT[[#This Row],[Hora Inicio]],0),0)</f>
        <v>0</v>
      </c>
      <c r="W22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2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22" s="46">
        <v>46230.742743055554</v>
      </c>
      <c r="Z222" s="47">
        <v>46230.882569444446</v>
      </c>
      <c r="AA222" s="48" t="s">
        <v>209</v>
      </c>
      <c r="AB222" s="48" t="s">
        <v>1398</v>
      </c>
      <c r="AC222" s="43" t="s">
        <v>204</v>
      </c>
      <c r="AD222" s="46" t="s">
        <v>144</v>
      </c>
      <c r="AE222" s="46" t="s">
        <v>172</v>
      </c>
      <c r="AF222" s="88" t="s">
        <v>210</v>
      </c>
      <c r="AG222" s="105">
        <f>IF(TAB_HISTORICO_MANUT[[#This Row],[Hora Inicio]]="","",MONTH(TAB_HISTORICO_MANUT[[#This Row],[Hora Inicio]]))</f>
        <v>7</v>
      </c>
      <c r="AH222" s="58" t="s">
        <v>1400</v>
      </c>
      <c r="AI222" s="43" t="s">
        <v>22</v>
      </c>
      <c r="AJ222" s="43" t="s">
        <v>614</v>
      </c>
      <c r="AK222" s="43" t="s">
        <v>693</v>
      </c>
      <c r="AL222" s="43" t="s">
        <v>282</v>
      </c>
      <c r="AM222" s="114" t="s">
        <v>276</v>
      </c>
      <c r="AN222" s="43" t="s">
        <v>217</v>
      </c>
      <c r="AO222" s="43" t="s">
        <v>349</v>
      </c>
      <c r="AP222" s="43" t="s">
        <v>319</v>
      </c>
    </row>
    <row r="223" spans="1:42" ht="50.1" customHeight="1" x14ac:dyDescent="0.25">
      <c r="A223" s="115">
        <f>MONTH(TAB_HISTORICO_MANUT[[#This Row],[Hora Final]])-MONTH(TAB_HISTORICO_MANUT[[#This Row],[Hora Inicio]])</f>
        <v>0</v>
      </c>
      <c r="B223" s="116"/>
      <c r="C223" s="115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 t="s">
        <v>99</v>
      </c>
      <c r="N22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Inicio]]=Z222,TAB_HISTORICO_MANUT[[#This Row],[Equipamento]]=AA222,TAB_HISTORICO_MANUT[[#This Row],[Descricao Despacho]]=AD222),0,1)))</f>
        <v>1</v>
      </c>
      <c r="O22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22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2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223" s="107">
        <f>IF($Q223="","",(TAB_HISTORICO_MANUT[[#This Row],[Hora Final]]-TAB_HISTORICO_MANUT[[#This Row],[Hora Inicio]])*24)</f>
        <v>0.73833333322545514</v>
      </c>
      <c r="S22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23" s="109" t="str">
        <f>IF(AND(TAB_HISTORICO_MANUT[[#This Row],[EXPURGO Mãe]]="SIM",TAB_HISTORICO_MANUT[[#This Row],[Tipo]]="MÃE"),"EXP.MAE",IF(TAB_HISTORICO_MANUT[[#This Row],[EXPURGO Mãe]]="NÃO","NÃO EXP.MAE",T222))</f>
        <v>NÃO EXP.MAE</v>
      </c>
      <c r="U22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23" s="110">
        <f>IF(TAB_HISTORICO_MANUT[[#This Row],[EXPURGO Filhas]]="SIM",MAX(TAB_HISTORICO_MANUT[[#This Row],[Hora Final]]-TAB_HISTORICO_MANUT[[#This Row],[Hora Inicio]],0),0)</f>
        <v>0</v>
      </c>
      <c r="W22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2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23" s="117">
        <v>46232.093043981484</v>
      </c>
      <c r="Z223" s="118">
        <v>46232.123807870368</v>
      </c>
      <c r="AA223" s="119" t="s">
        <v>209</v>
      </c>
      <c r="AB223" s="119" t="s">
        <v>1272</v>
      </c>
      <c r="AC223" s="115" t="s">
        <v>300</v>
      </c>
      <c r="AD223" s="117" t="s">
        <v>146</v>
      </c>
      <c r="AE223" s="117" t="s">
        <v>178</v>
      </c>
      <c r="AF223" s="88" t="s">
        <v>210</v>
      </c>
      <c r="AG223" s="105">
        <f>IF(TAB_HISTORICO_MANUT[[#This Row],[Hora Inicio]]="","",MONTH(TAB_HISTORICO_MANUT[[#This Row],[Hora Inicio]]))</f>
        <v>7</v>
      </c>
      <c r="AH223" s="120" t="s">
        <v>1402</v>
      </c>
      <c r="AI223" s="43" t="s">
        <v>340</v>
      </c>
      <c r="AJ223" s="43" t="s">
        <v>436</v>
      </c>
      <c r="AK223" s="43" t="s">
        <v>1272</v>
      </c>
      <c r="AL223" s="43" t="s">
        <v>1272</v>
      </c>
      <c r="AM223" s="114" t="s">
        <v>1272</v>
      </c>
      <c r="AN223" s="115" t="s">
        <v>1272</v>
      </c>
      <c r="AO223" s="115" t="s">
        <v>1272</v>
      </c>
      <c r="AP223" s="115" t="s">
        <v>1272</v>
      </c>
    </row>
    <row r="224" spans="1:42" ht="50.1" customHeight="1" x14ac:dyDescent="0.25">
      <c r="A224" s="43">
        <f>MONTH(TAB_HISTORICO_MANUT[[#This Row],[Hora Final]])-MONTH(TAB_HISTORICO_MANUT[[#This Row],[Hora Inicio]])</f>
        <v>0</v>
      </c>
      <c r="B224" s="42"/>
      <c r="C224" s="43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Inicio]]=Z223,TAB_HISTORICO_MANUT[[#This Row],[Equipamento]]=AA223,TAB_HISTORICO_MANUT[[#This Row],[Descricao Despacho]]=AD223),0,1)))</f>
        <v>0</v>
      </c>
      <c r="O22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224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2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224" s="50">
        <f>IF($Q224="","",(TAB_HISTORICO_MANUT[[#This Row],[Hora Final]]-TAB_HISTORICO_MANUT[[#This Row],[Hora Inicio]])*24)</f>
        <v>2.7422222222085111</v>
      </c>
      <c r="S22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24" s="54" t="str">
        <f>IF(AND(TAB_HISTORICO_MANUT[[#This Row],[EXPURGO Mãe]]="SIM",TAB_HISTORICO_MANUT[[#This Row],[Tipo]]="MÃE"),"EXP.MAE",IF(TAB_HISTORICO_MANUT[[#This Row],[EXPURGO Mãe]]="NÃO","NÃO EXP.MAE",T223))</f>
        <v>NÃO EXP.MAE</v>
      </c>
      <c r="U22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24" s="56">
        <f>IF(TAB_HISTORICO_MANUT[[#This Row],[EXPURGO Filhas]]="SIM",MAX(TAB_HISTORICO_MANUT[[#This Row],[Hora Final]]-TAB_HISTORICO_MANUT[[#This Row],[Hora Inicio]],0),0)</f>
        <v>0</v>
      </c>
      <c r="W22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2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24" s="46">
        <v>46232.123807870368</v>
      </c>
      <c r="Z224" s="47">
        <v>46232.238067129627</v>
      </c>
      <c r="AA224" s="48" t="s">
        <v>209</v>
      </c>
      <c r="AB224" s="48" t="s">
        <v>1272</v>
      </c>
      <c r="AC224" s="43" t="s">
        <v>301</v>
      </c>
      <c r="AD224" s="46" t="s">
        <v>146</v>
      </c>
      <c r="AE224" s="46" t="s">
        <v>310</v>
      </c>
      <c r="AF224" s="88" t="s">
        <v>210</v>
      </c>
      <c r="AG224" s="105">
        <f>IF(TAB_HISTORICO_MANUT[[#This Row],[Hora Inicio]]="","",MONTH(TAB_HISTORICO_MANUT[[#This Row],[Hora Inicio]]))</f>
        <v>7</v>
      </c>
      <c r="AH224" s="58" t="s">
        <v>1402</v>
      </c>
      <c r="AI224" s="43" t="s">
        <v>340</v>
      </c>
      <c r="AJ224" s="43" t="s">
        <v>436</v>
      </c>
      <c r="AK224" s="43" t="s">
        <v>1272</v>
      </c>
      <c r="AL224" s="43" t="s">
        <v>1272</v>
      </c>
      <c r="AM224" s="114" t="s">
        <v>1272</v>
      </c>
      <c r="AN224" s="43" t="s">
        <v>1272</v>
      </c>
      <c r="AO224" s="43" t="s">
        <v>1272</v>
      </c>
      <c r="AP224" s="43" t="s">
        <v>1272</v>
      </c>
    </row>
    <row r="225" spans="1:42" ht="50.1" customHeight="1" x14ac:dyDescent="0.25">
      <c r="A225" s="115">
        <f>MONTH(TAB_HISTORICO_MANUT[[#This Row],[Hora Final]])-MONTH(TAB_HISTORICO_MANUT[[#This Row],[Hora Inicio]])</f>
        <v>0</v>
      </c>
      <c r="B225" s="116"/>
      <c r="C225" s="115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Inicio]]=Z224,TAB_HISTORICO_MANUT[[#This Row],[Equipamento]]=AA224,TAB_HISTORICO_MANUT[[#This Row],[Descricao Despacho]]=AD224),0,1)))</f>
        <v>1</v>
      </c>
      <c r="O22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22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22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225" s="107">
        <f>IF($Q225="","",(TAB_HISTORICO_MANUT[[#This Row],[Hora Final]]-TAB_HISTORICO_MANUT[[#This Row],[Hora Inicio]])*24)</f>
        <v>14.676944444538094</v>
      </c>
      <c r="S22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25" s="109" t="str">
        <f>IF(AND(TAB_HISTORICO_MANUT[[#This Row],[EXPURGO Mãe]]="SIM",TAB_HISTORICO_MANUT[[#This Row],[Tipo]]="MÃE"),"EXP.MAE",IF(TAB_HISTORICO_MANUT[[#This Row],[EXPURGO Mãe]]="NÃO","NÃO EXP.MAE",T224))</f>
        <v>NÃO EXP.MAE</v>
      </c>
      <c r="U22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25" s="110">
        <f>IF(TAB_HISTORICO_MANUT[[#This Row],[EXPURGO Filhas]]="SIM",MAX(TAB_HISTORICO_MANUT[[#This Row],[Hora Final]]-TAB_HISTORICO_MANUT[[#This Row],[Hora Inicio]],0),0)</f>
        <v>0</v>
      </c>
      <c r="W22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2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25" s="117">
        <v>46232.596643518518</v>
      </c>
      <c r="Z225" s="118">
        <v>46233.208182870374</v>
      </c>
      <c r="AA225" s="119" t="s">
        <v>209</v>
      </c>
      <c r="AB225" s="119" t="s">
        <v>1272</v>
      </c>
      <c r="AC225" s="115" t="s">
        <v>205</v>
      </c>
      <c r="AD225" s="117" t="s">
        <v>145</v>
      </c>
      <c r="AE225" s="117" t="s">
        <v>173</v>
      </c>
      <c r="AF225" s="88" t="s">
        <v>210</v>
      </c>
      <c r="AG225" s="105">
        <f>IF(TAB_HISTORICO_MANUT[[#This Row],[Hora Inicio]]="","",MONTH(TAB_HISTORICO_MANUT[[#This Row],[Hora Inicio]]))</f>
        <v>7</v>
      </c>
      <c r="AH225" s="120" t="s">
        <v>1401</v>
      </c>
      <c r="AI225" s="115" t="s">
        <v>21</v>
      </c>
      <c r="AJ225" s="115" t="s">
        <v>1008</v>
      </c>
      <c r="AK225" s="115" t="s">
        <v>291</v>
      </c>
      <c r="AL225" s="115" t="s">
        <v>275</v>
      </c>
      <c r="AM225" s="121" t="s">
        <v>276</v>
      </c>
      <c r="AN225" s="115" t="s">
        <v>1272</v>
      </c>
      <c r="AO225" s="115" t="s">
        <v>1272</v>
      </c>
      <c r="AP225" s="115" t="s">
        <v>1272</v>
      </c>
    </row>
    <row r="226" spans="1:42" ht="50.1" customHeight="1" x14ac:dyDescent="0.25">
      <c r="A226" s="43">
        <f>MONTH(TAB_HISTORICO_MANUT[[#This Row],[Hora Final]])-MONTH(TAB_HISTORICO_MANUT[[#This Row],[Hora Inicio]])</f>
        <v>0</v>
      </c>
      <c r="B226" s="42"/>
      <c r="C226" s="43"/>
      <c r="D226" s="42"/>
      <c r="E226" s="42"/>
      <c r="F226" s="42"/>
      <c r="G226" s="42"/>
      <c r="H226" s="42"/>
      <c r="I226" s="42"/>
      <c r="J226" s="42"/>
      <c r="K226" s="42"/>
      <c r="L226" s="42"/>
      <c r="M226" s="42" t="s">
        <v>98</v>
      </c>
      <c r="N226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Inicio]]=Z225,TAB_HISTORICO_MANUT[[#This Row],[Equipamento]]=AA225,TAB_HISTORICO_MANUT[[#This Row],[Descricao Despacho]]=AD225),0,1)))</f>
        <v/>
      </c>
      <c r="O22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226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22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226" s="50" t="str">
        <f>IF($Q226="","",(TAB_HISTORICO_MANUT[[#This Row],[Hora Final]]-TAB_HISTORICO_MANUT[[#This Row],[Hora Inicio]])*24)</f>
        <v/>
      </c>
      <c r="S22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226" s="54" t="str">
        <f>IF(AND(TAB_HISTORICO_MANUT[[#This Row],[EXPURGO Mãe]]="SIM",TAB_HISTORICO_MANUT[[#This Row],[Tipo]]="MÃE"),"EXP.MAE",IF(TAB_HISTORICO_MANUT[[#This Row],[EXPURGO Mãe]]="NÃO","NÃO EXP.MAE",T225))</f>
        <v>NÃO EXP.MAE</v>
      </c>
      <c r="U22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226" s="56">
        <f>IF(TAB_HISTORICO_MANUT[[#This Row],[EXPURGO Filhas]]="SIM",MAX(TAB_HISTORICO_MANUT[[#This Row],[Hora Final]]-TAB_HISTORICO_MANUT[[#This Row],[Hora Inicio]],0),0)</f>
        <v>0.38832748842833098</v>
      </c>
      <c r="W22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2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26" s="46">
        <v>46232.819855381946</v>
      </c>
      <c r="Z226" s="47">
        <v>46233.208182870374</v>
      </c>
      <c r="AA226" s="48" t="s">
        <v>209</v>
      </c>
      <c r="AB226" s="48"/>
      <c r="AC226" s="43">
        <v>8010</v>
      </c>
      <c r="AD226" s="46" t="s">
        <v>145</v>
      </c>
      <c r="AE226" s="46" t="s">
        <v>173</v>
      </c>
      <c r="AF226" s="88" t="s">
        <v>767</v>
      </c>
      <c r="AG226" s="105">
        <f>IF(TAB_HISTORICO_MANUT[[#This Row],[Hora Inicio]]="","",MONTH(TAB_HISTORICO_MANUT[[#This Row],[Hora Inicio]]))</f>
        <v>7</v>
      </c>
      <c r="AH226" s="58"/>
      <c r="AI226" s="43" t="s">
        <v>21</v>
      </c>
      <c r="AJ226" s="43" t="s">
        <v>1008</v>
      </c>
      <c r="AK226" s="43" t="s">
        <v>291</v>
      </c>
      <c r="AL226" s="43" t="s">
        <v>275</v>
      </c>
      <c r="AM226" s="114" t="s">
        <v>276</v>
      </c>
      <c r="AN226" s="43"/>
      <c r="AO226" s="43"/>
      <c r="AP226" s="43"/>
    </row>
    <row r="227" spans="1:42" ht="50.1" customHeight="1" x14ac:dyDescent="0.25">
      <c r="A227" s="43">
        <f>MONTH(TAB_HISTORICO_MANUT[[#This Row],[Hora Final]])-MONTH(TAB_HISTORICO_MANUT[[#This Row],[Hora Inicio]])</f>
        <v>0</v>
      </c>
      <c r="B227" s="42"/>
      <c r="C227" s="43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Inicio]]=Z226,TAB_HISTORICO_MANUT[[#This Row],[Equipamento]]=AA226,TAB_HISTORICO_MANUT[[#This Row],[Descricao Despacho]]=AD226),0,1)))</f>
        <v>1</v>
      </c>
      <c r="O22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COMBATE INCENDIO</v>
      </c>
      <c r="P227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2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227" s="50">
        <f>IF($Q227="","",(TAB_HISTORICO_MANUT[[#This Row],[Hora Final]]-TAB_HISTORICO_MANUT[[#This Row],[Hora Inicio]])*24)</f>
        <v>7.0827777776867151</v>
      </c>
      <c r="S22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227" s="54" t="str">
        <f>IF(AND(TAB_HISTORICO_MANUT[[#This Row],[EXPURGO Mãe]]="SIM",TAB_HISTORICO_MANUT[[#This Row],[Tipo]]="MÃE"),"EXP.MAE",IF(TAB_HISTORICO_MANUT[[#This Row],[EXPURGO Mãe]]="NÃO","NÃO EXP.MAE",T226))</f>
        <v>EXP.MAE</v>
      </c>
      <c r="U22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27" s="56">
        <f>IF(TAB_HISTORICO_MANUT[[#This Row],[EXPURGO Filhas]]="SIM",MAX(TAB_HISTORICO_MANUT[[#This Row],[Hora Final]]-TAB_HISTORICO_MANUT[[#This Row],[Hora Inicio]],0),0)</f>
        <v>0</v>
      </c>
      <c r="W22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2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27" s="46">
        <v>46235.391851851855</v>
      </c>
      <c r="Z227" s="47">
        <v>46235.686967592592</v>
      </c>
      <c r="AA227" s="48" t="s">
        <v>209</v>
      </c>
      <c r="AB227" s="48"/>
      <c r="AC227" s="43" t="s">
        <v>212</v>
      </c>
      <c r="AD227" s="46" t="s">
        <v>144</v>
      </c>
      <c r="AE227" s="46" t="s">
        <v>214</v>
      </c>
      <c r="AF227" s="88" t="s">
        <v>210</v>
      </c>
      <c r="AG227" s="105">
        <f>IF(TAB_HISTORICO_MANUT[[#This Row],[Hora Inicio]]="","",MONTH(TAB_HISTORICO_MANUT[[#This Row],[Hora Inicio]]))</f>
        <v>8</v>
      </c>
      <c r="AH227" s="58" t="s">
        <v>1407</v>
      </c>
      <c r="AI227" s="43" t="s">
        <v>152</v>
      </c>
      <c r="AJ227" s="43" t="s">
        <v>80</v>
      </c>
      <c r="AK227" s="43" t="s">
        <v>880</v>
      </c>
      <c r="AL227" s="43" t="s">
        <v>540</v>
      </c>
      <c r="AM227" s="114" t="s">
        <v>541</v>
      </c>
      <c r="AN227" s="43" t="s">
        <v>217</v>
      </c>
      <c r="AO227" s="43" t="s">
        <v>842</v>
      </c>
      <c r="AP227" s="43" t="s">
        <v>1409</v>
      </c>
    </row>
    <row r="228" spans="1:42" ht="50.1" customHeight="1" x14ac:dyDescent="0.25">
      <c r="A228" s="43">
        <f>MONTH(TAB_HISTORICO_MANUT[[#This Row],[Hora Final]])-MONTH(TAB_HISTORICO_MANUT[[#This Row],[Hora Inicio]])</f>
        <v>0</v>
      </c>
      <c r="B228" s="42"/>
      <c r="C228" s="43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Inicio]]=Z227,TAB_HISTORICO_MANUT[[#This Row],[Equipamento]]=AA227,TAB_HISTORICO_MANUT[[#This Row],[Descricao Despacho]]=AD227),0,1)))</f>
        <v>1</v>
      </c>
      <c r="O22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MONI. PNEUS</v>
      </c>
      <c r="P228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2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228" s="50">
        <f>IF($Q228="","",(TAB_HISTORICO_MANUT[[#This Row],[Hora Final]]-TAB_HISTORICO_MANUT[[#This Row],[Hora Inicio]])*24)</f>
        <v>2.4313888888573274</v>
      </c>
      <c r="S22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228" s="54" t="str">
        <f>IF(AND(TAB_HISTORICO_MANUT[[#This Row],[EXPURGO Mãe]]="SIM",TAB_HISTORICO_MANUT[[#This Row],[Tipo]]="MÃE"),"EXP.MAE",IF(TAB_HISTORICO_MANUT[[#This Row],[EXPURGO Mãe]]="NÃO","NÃO EXP.MAE",T227))</f>
        <v>EXP.MAE</v>
      </c>
      <c r="U22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28" s="56">
        <f>IF(TAB_HISTORICO_MANUT[[#This Row],[EXPURGO Filhas]]="SIM",MAX(TAB_HISTORICO_MANUT[[#This Row],[Hora Final]]-TAB_HISTORICO_MANUT[[#This Row],[Hora Inicio]],0),0)</f>
        <v>0</v>
      </c>
      <c r="W22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2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28" s="46">
        <v>46237.453564814816</v>
      </c>
      <c r="Z228" s="47">
        <v>46237.554872685185</v>
      </c>
      <c r="AA228" s="48" t="s">
        <v>209</v>
      </c>
      <c r="AB228" s="48" t="s">
        <v>1413</v>
      </c>
      <c r="AC228" s="43" t="s">
        <v>1217</v>
      </c>
      <c r="AD228" s="46" t="s">
        <v>144</v>
      </c>
      <c r="AE228" s="46" t="s">
        <v>1218</v>
      </c>
      <c r="AF228" s="88" t="s">
        <v>210</v>
      </c>
      <c r="AG228" s="105">
        <f>IF(TAB_HISTORICO_MANUT[[#This Row],[Hora Inicio]]="","",MONTH(TAB_HISTORICO_MANUT[[#This Row],[Hora Inicio]]))</f>
        <v>8</v>
      </c>
      <c r="AH228" s="58" t="s">
        <v>1414</v>
      </c>
      <c r="AI228" s="43" t="s">
        <v>151</v>
      </c>
      <c r="AJ228" s="43" t="s">
        <v>1419</v>
      </c>
      <c r="AK228" s="43" t="s">
        <v>461</v>
      </c>
      <c r="AL228" s="43" t="s">
        <v>282</v>
      </c>
      <c r="AM228" s="114" t="s">
        <v>283</v>
      </c>
      <c r="AN228" s="43" t="s">
        <v>241</v>
      </c>
      <c r="AO228" s="43" t="s">
        <v>1415</v>
      </c>
      <c r="AP228" s="43" t="s">
        <v>1416</v>
      </c>
    </row>
    <row r="229" spans="1:42" ht="50.1" customHeight="1" x14ac:dyDescent="0.25">
      <c r="A229" s="43">
        <f>MONTH(TAB_HISTORICO_MANUT[[#This Row],[Hora Final]])-MONTH(TAB_HISTORICO_MANUT[[#This Row],[Hora Inicio]])</f>
        <v>0</v>
      </c>
      <c r="B229" s="42"/>
      <c r="C229" s="43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Inicio]]=Z228,TAB_HISTORICO_MANUT[[#This Row],[Equipamento]]=AA228,TAB_HISTORICO_MANUT[[#This Row],[Descricao Despacho]]=AD228),0,1)))</f>
        <v>1</v>
      </c>
      <c r="O22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229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2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229" s="50">
        <f>IF($Q229="","",(TAB_HISTORICO_MANUT[[#This Row],[Hora Final]]-TAB_HISTORICO_MANUT[[#This Row],[Hora Inicio]])*24)</f>
        <v>1.652777777868323</v>
      </c>
      <c r="S22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29" s="54" t="str">
        <f>IF(AND(TAB_HISTORICO_MANUT[[#This Row],[EXPURGO Mãe]]="SIM",TAB_HISTORICO_MANUT[[#This Row],[Tipo]]="MÃE"),"EXP.MAE",IF(TAB_HISTORICO_MANUT[[#This Row],[EXPURGO Mãe]]="NÃO","NÃO EXP.MAE",T228))</f>
        <v>NÃO EXP.MAE</v>
      </c>
      <c r="U22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29" s="56">
        <f>IF(TAB_HISTORICO_MANUT[[#This Row],[EXPURGO Filhas]]="SIM",MAX(TAB_HISTORICO_MANUT[[#This Row],[Hora Final]]-TAB_HISTORICO_MANUT[[#This Row],[Hora Inicio]],0),0)</f>
        <v>0</v>
      </c>
      <c r="W22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2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29" s="46">
        <v>46237.554872685185</v>
      </c>
      <c r="Z229" s="47">
        <v>46237.623738425929</v>
      </c>
      <c r="AA229" s="48" t="s">
        <v>209</v>
      </c>
      <c r="AB229" s="48"/>
      <c r="AC229" s="43" t="s">
        <v>882</v>
      </c>
      <c r="AD229" s="46" t="s">
        <v>146</v>
      </c>
      <c r="AE229" s="46" t="s">
        <v>883</v>
      </c>
      <c r="AF229" s="88" t="s">
        <v>210</v>
      </c>
      <c r="AG229" s="105">
        <f>IF(TAB_HISTORICO_MANUT[[#This Row],[Hora Inicio]]="","",MONTH(TAB_HISTORICO_MANUT[[#This Row],[Hora Inicio]]))</f>
        <v>8</v>
      </c>
      <c r="AH229" s="58"/>
      <c r="AI229" s="43" t="s">
        <v>25</v>
      </c>
      <c r="AJ229" s="43" t="s">
        <v>25</v>
      </c>
      <c r="AK229" s="43" t="s">
        <v>25</v>
      </c>
      <c r="AL229" s="43" t="s">
        <v>25</v>
      </c>
      <c r="AM229" s="114" t="s">
        <v>25</v>
      </c>
      <c r="AN229" s="43"/>
      <c r="AO229" s="43"/>
      <c r="AP229" s="43"/>
    </row>
    <row r="230" spans="1:42" ht="50.1" customHeight="1" x14ac:dyDescent="0.25">
      <c r="A230" s="43">
        <f>MONTH(TAB_HISTORICO_MANUT[[#This Row],[Hora Final]])-MONTH(TAB_HISTORICO_MANUT[[#This Row],[Hora Inicio]])</f>
        <v>0</v>
      </c>
      <c r="B230" s="42"/>
      <c r="C230" s="43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Inicio]]=Z229,TAB_HISTORICO_MANUT[[#This Row],[Equipamento]]=AA229,TAB_HISTORICO_MANUT[[#This Row],[Descricao Despacho]]=AD229),0,1)))</f>
        <v>1</v>
      </c>
      <c r="O23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230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3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30" s="50">
        <f>IF($Q230="","",(TAB_HISTORICO_MANUT[[#This Row],[Hora Final]]-TAB_HISTORICO_MANUT[[#This Row],[Hora Inicio]])*24)</f>
        <v>0.99138888891320676</v>
      </c>
      <c r="S23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30" s="54" t="str">
        <f>IF(AND(TAB_HISTORICO_MANUT[[#This Row],[EXPURGO Mãe]]="SIM",TAB_HISTORICO_MANUT[[#This Row],[Tipo]]="MÃE"),"EXP.MAE",IF(TAB_HISTORICO_MANUT[[#This Row],[EXPURGO Mãe]]="NÃO","NÃO EXP.MAE",T229))</f>
        <v>NÃO EXP.MAE</v>
      </c>
      <c r="U23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30" s="56">
        <f>IF(TAB_HISTORICO_MANUT[[#This Row],[EXPURGO Filhas]]="SIM",MAX(TAB_HISTORICO_MANUT[[#This Row],[Hora Final]]-TAB_HISTORICO_MANUT[[#This Row],[Hora Inicio]],0),0)</f>
        <v>0</v>
      </c>
      <c r="W23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3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30" s="46">
        <v>46239.041481481479</v>
      </c>
      <c r="Z230" s="47">
        <v>46239.082789351851</v>
      </c>
      <c r="AA230" s="48" t="s">
        <v>209</v>
      </c>
      <c r="AB230" s="48" t="s">
        <v>1421</v>
      </c>
      <c r="AC230" s="43" t="s">
        <v>204</v>
      </c>
      <c r="AD230" s="46" t="s">
        <v>144</v>
      </c>
      <c r="AE230" s="46" t="s">
        <v>172</v>
      </c>
      <c r="AF230" s="88" t="s">
        <v>210</v>
      </c>
      <c r="AG230" s="105">
        <f>IF(TAB_HISTORICO_MANUT[[#This Row],[Hora Inicio]]="","",MONTH(TAB_HISTORICO_MANUT[[#This Row],[Hora Inicio]]))</f>
        <v>8</v>
      </c>
      <c r="AH230" s="58" t="s">
        <v>1422</v>
      </c>
      <c r="AI230" s="43" t="s">
        <v>235</v>
      </c>
      <c r="AJ230" s="43" t="s">
        <v>717</v>
      </c>
      <c r="AK230" s="43" t="s">
        <v>422</v>
      </c>
      <c r="AL230" s="43" t="s">
        <v>279</v>
      </c>
      <c r="AM230" s="114" t="s">
        <v>280</v>
      </c>
      <c r="AN230" s="43" t="s">
        <v>217</v>
      </c>
      <c r="AO230" s="43" t="s">
        <v>729</v>
      </c>
      <c r="AP230" s="43" t="s">
        <v>403</v>
      </c>
    </row>
    <row r="231" spans="1:42" ht="50.1" customHeight="1" x14ac:dyDescent="0.25">
      <c r="A231" s="43">
        <f>MONTH(TAB_HISTORICO_MANUT[[#This Row],[Hora Final]])-MONTH(TAB_HISTORICO_MANUT[[#This Row],[Hora Inicio]])</f>
        <v>0</v>
      </c>
      <c r="B231" s="42"/>
      <c r="C231" s="43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Inicio]]=Z230,TAB_HISTORICO_MANUT[[#This Row],[Equipamento]]=AA230,TAB_HISTORICO_MANUT[[#This Row],[Descricao Despacho]]=AD230),0,1)))</f>
        <v>1</v>
      </c>
      <c r="O23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HIDRAULICO</v>
      </c>
      <c r="P231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3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31" s="50">
        <f>IF($Q231="","",(TAB_HISTORICO_MANUT[[#This Row],[Hora Final]]-TAB_HISTORICO_MANUT[[#This Row],[Hora Inicio]])*24)</f>
        <v>15.012222222110722</v>
      </c>
      <c r="S23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31" s="54" t="str">
        <f>IF(AND(TAB_HISTORICO_MANUT[[#This Row],[EXPURGO Mãe]]="SIM",TAB_HISTORICO_MANUT[[#This Row],[Tipo]]="MÃE"),"EXP.MAE",IF(TAB_HISTORICO_MANUT[[#This Row],[EXPURGO Mãe]]="NÃO","NÃO EXP.MAE",T230))</f>
        <v>NÃO EXP.MAE</v>
      </c>
      <c r="U23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31" s="56">
        <f>IF(TAB_HISTORICO_MANUT[[#This Row],[EXPURGO Filhas]]="SIM",MAX(TAB_HISTORICO_MANUT[[#This Row],[Hora Final]]-TAB_HISTORICO_MANUT[[#This Row],[Hora Inicio]],0),0)</f>
        <v>0</v>
      </c>
      <c r="W23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3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31" s="46">
        <v>46240.146481481483</v>
      </c>
      <c r="Z231" s="47">
        <v>46240.771990740737</v>
      </c>
      <c r="AA231" s="48" t="s">
        <v>209</v>
      </c>
      <c r="AB231" s="48" t="s">
        <v>1424</v>
      </c>
      <c r="AC231" s="43" t="s">
        <v>204</v>
      </c>
      <c r="AD231" s="46" t="s">
        <v>144</v>
      </c>
      <c r="AE231" s="46" t="s">
        <v>172</v>
      </c>
      <c r="AF231" s="88" t="s">
        <v>210</v>
      </c>
      <c r="AG231" s="105">
        <f>IF(TAB_HISTORICO_MANUT[[#This Row],[Hora Inicio]]="","",MONTH(TAB_HISTORICO_MANUT[[#This Row],[Hora Inicio]]))</f>
        <v>8</v>
      </c>
      <c r="AH231" s="58" t="s">
        <v>1427</v>
      </c>
      <c r="AI231" s="43" t="s">
        <v>149</v>
      </c>
      <c r="AJ231" s="43" t="s">
        <v>423</v>
      </c>
      <c r="AK231" s="43" t="s">
        <v>474</v>
      </c>
      <c r="AL231" s="43" t="s">
        <v>275</v>
      </c>
      <c r="AM231" s="114" t="s">
        <v>276</v>
      </c>
      <c r="AN231" s="43" t="s">
        <v>217</v>
      </c>
      <c r="AO231" s="43" t="s">
        <v>758</v>
      </c>
      <c r="AP231" s="43" t="s">
        <v>577</v>
      </c>
    </row>
    <row r="232" spans="1:42" ht="50.1" customHeight="1" x14ac:dyDescent="0.25">
      <c r="A232" s="43">
        <f>MONTH(TAB_HISTORICO_MANUT[[#This Row],[Hora Final]])-MONTH(TAB_HISTORICO_MANUT[[#This Row],[Hora Inicio]])</f>
        <v>0</v>
      </c>
      <c r="B232" s="42"/>
      <c r="C232" s="43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Inicio]]=Z231,TAB_HISTORICO_MANUT[[#This Row],[Equipamento]]=AA231,TAB_HISTORICO_MANUT[[#This Row],[Descricao Despacho]]=AD231),0,1)))</f>
        <v>1</v>
      </c>
      <c r="O23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232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3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32" s="50">
        <f>IF($Q232="","",(TAB_HISTORICO_MANUT[[#This Row],[Hora Final]]-TAB_HISTORICO_MANUT[[#This Row],[Hora Inicio]])*24)</f>
        <v>8.2072222221759148</v>
      </c>
      <c r="S23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32" s="54" t="str">
        <f>IF(AND(TAB_HISTORICO_MANUT[[#This Row],[EXPURGO Mãe]]="SIM",TAB_HISTORICO_MANUT[[#This Row],[Tipo]]="MÃE"),"EXP.MAE",IF(TAB_HISTORICO_MANUT[[#This Row],[EXPURGO Mãe]]="NÃO","NÃO EXP.MAE",T231))</f>
        <v>NÃO EXP.MAE</v>
      </c>
      <c r="U23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32" s="56">
        <f>IF(TAB_HISTORICO_MANUT[[#This Row],[EXPURGO Filhas]]="SIM",MAX(TAB_HISTORICO_MANUT[[#This Row],[Hora Final]]-TAB_HISTORICO_MANUT[[#This Row],[Hora Inicio]],0),0)</f>
        <v>0</v>
      </c>
      <c r="W23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3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32" s="46">
        <v>46242.105185185188</v>
      </c>
      <c r="Z232" s="47">
        <v>46242.447152777779</v>
      </c>
      <c r="AA232" s="48" t="s">
        <v>209</v>
      </c>
      <c r="AB232" s="48" t="s">
        <v>1431</v>
      </c>
      <c r="AC232" s="43" t="s">
        <v>204</v>
      </c>
      <c r="AD232" s="46" t="s">
        <v>144</v>
      </c>
      <c r="AE232" s="46" t="s">
        <v>172</v>
      </c>
      <c r="AF232" s="88" t="s">
        <v>210</v>
      </c>
      <c r="AG232" s="105">
        <f>IF(TAB_HISTORICO_MANUT[[#This Row],[Hora Inicio]]="","",MONTH(TAB_HISTORICO_MANUT[[#This Row],[Hora Inicio]]))</f>
        <v>8</v>
      </c>
      <c r="AH232" s="58" t="s">
        <v>1434</v>
      </c>
      <c r="AI232" s="43" t="s">
        <v>24</v>
      </c>
      <c r="AJ232" s="43" t="s">
        <v>223</v>
      </c>
      <c r="AK232" s="43" t="s">
        <v>644</v>
      </c>
      <c r="AL232" s="43" t="s">
        <v>275</v>
      </c>
      <c r="AM232" s="114" t="s">
        <v>276</v>
      </c>
      <c r="AN232" s="43" t="s">
        <v>217</v>
      </c>
      <c r="AO232" s="43" t="s">
        <v>419</v>
      </c>
      <c r="AP232" s="43" t="s">
        <v>494</v>
      </c>
    </row>
    <row r="233" spans="1:42" ht="50.1" customHeight="1" x14ac:dyDescent="0.25">
      <c r="A233" s="43">
        <f>MONTH(TAB_HISTORICO_MANUT[[#This Row],[Hora Final]])-MONTH(TAB_HISTORICO_MANUT[[#This Row],[Hora Inicio]])</f>
        <v>0</v>
      </c>
      <c r="B233" s="42"/>
      <c r="C233" s="43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Inicio]]=Z232,TAB_HISTORICO_MANUT[[#This Row],[Equipamento]]=AA232,TAB_HISTORICO_MANUT[[#This Row],[Descricao Despacho]]=AD232),0,1)))</f>
        <v>1</v>
      </c>
      <c r="O23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AR CONDICIONADO</v>
      </c>
      <c r="P233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3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33" s="50">
        <f>IF($Q233="","",(TAB_HISTORICO_MANUT[[#This Row],[Hora Final]]-TAB_HISTORICO_MANUT[[#This Row],[Hora Inicio]])*24)</f>
        <v>7.2402777778333984</v>
      </c>
      <c r="S23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33" s="54" t="str">
        <f>IF(AND(TAB_HISTORICO_MANUT[[#This Row],[EXPURGO Mãe]]="SIM",TAB_HISTORICO_MANUT[[#This Row],[Tipo]]="MÃE"),"EXP.MAE",IF(TAB_HISTORICO_MANUT[[#This Row],[EXPURGO Mãe]]="NÃO","NÃO EXP.MAE",T232))</f>
        <v>NÃO EXP.MAE</v>
      </c>
      <c r="U23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33" s="56">
        <f>IF(TAB_HISTORICO_MANUT[[#This Row],[EXPURGO Filhas]]="SIM",MAX(TAB_HISTORICO_MANUT[[#This Row],[Hora Final]]-TAB_HISTORICO_MANUT[[#This Row],[Hora Inicio]],0),0)</f>
        <v>0</v>
      </c>
      <c r="W23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3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33" s="46">
        <v>46242.610671296294</v>
      </c>
      <c r="Z233" s="47">
        <v>46242.912349537037</v>
      </c>
      <c r="AA233" s="48" t="s">
        <v>209</v>
      </c>
      <c r="AB233" s="48" t="s">
        <v>1432</v>
      </c>
      <c r="AC233" s="43" t="s">
        <v>204</v>
      </c>
      <c r="AD233" s="46" t="s">
        <v>144</v>
      </c>
      <c r="AE233" s="46" t="s">
        <v>172</v>
      </c>
      <c r="AF233" s="88" t="s">
        <v>210</v>
      </c>
      <c r="AG233" s="105">
        <f>IF(TAB_HISTORICO_MANUT[[#This Row],[Hora Inicio]]="","",MONTH(TAB_HISTORICO_MANUT[[#This Row],[Hora Inicio]]))</f>
        <v>8</v>
      </c>
      <c r="AH233" s="58" t="s">
        <v>1435</v>
      </c>
      <c r="AI233" s="43" t="s">
        <v>37</v>
      </c>
      <c r="AJ233" s="43" t="s">
        <v>331</v>
      </c>
      <c r="AK233" s="43" t="s">
        <v>1440</v>
      </c>
      <c r="AL233" s="43" t="s">
        <v>1441</v>
      </c>
      <c r="AM233" s="114" t="s">
        <v>1210</v>
      </c>
      <c r="AN233" s="43" t="s">
        <v>217</v>
      </c>
      <c r="AO233" s="43" t="s">
        <v>1436</v>
      </c>
      <c r="AP233" s="43" t="s">
        <v>1437</v>
      </c>
    </row>
    <row r="234" spans="1:42" ht="50.1" customHeight="1" x14ac:dyDescent="0.25">
      <c r="A234" s="43">
        <f>MONTH(TAB_HISTORICO_MANUT[[#This Row],[Hora Final]])-MONTH(TAB_HISTORICO_MANUT[[#This Row],[Hora Inicio]])</f>
        <v>0</v>
      </c>
      <c r="B234" s="42"/>
      <c r="C234" s="43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Inicio]]=Z233,TAB_HISTORICO_MANUT[[#This Row],[Equipamento]]=AA233,TAB_HISTORICO_MANUT[[#This Row],[Descricao Despacho]]=AD233),0,1)))</f>
        <v>1</v>
      </c>
      <c r="O23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234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3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34" s="50">
        <f>IF($Q234="","",(TAB_HISTORICO_MANUT[[#This Row],[Hora Final]]-TAB_HISTORICO_MANUT[[#This Row],[Hora Inicio]])*24)</f>
        <v>0.87916666665114462</v>
      </c>
      <c r="S23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34" s="54" t="str">
        <f>IF(AND(TAB_HISTORICO_MANUT[[#This Row],[EXPURGO Mãe]]="SIM",TAB_HISTORICO_MANUT[[#This Row],[Tipo]]="MÃE"),"EXP.MAE",IF(TAB_HISTORICO_MANUT[[#This Row],[EXPURGO Mãe]]="NÃO","NÃO EXP.MAE",T233))</f>
        <v>NÃO EXP.MAE</v>
      </c>
      <c r="U23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34" s="56">
        <f>IF(TAB_HISTORICO_MANUT[[#This Row],[EXPURGO Filhas]]="SIM",MAX(TAB_HISTORICO_MANUT[[#This Row],[Hora Final]]-TAB_HISTORICO_MANUT[[#This Row],[Hora Inicio]],0),0)</f>
        <v>0</v>
      </c>
      <c r="W23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3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34" s="46">
        <v>46245.121631944443</v>
      </c>
      <c r="Z234" s="47">
        <v>46245.158263888887</v>
      </c>
      <c r="AA234" s="48" t="s">
        <v>209</v>
      </c>
      <c r="AB234" s="48" t="s">
        <v>1447</v>
      </c>
      <c r="AC234" s="43" t="s">
        <v>204</v>
      </c>
      <c r="AD234" s="46" t="s">
        <v>144</v>
      </c>
      <c r="AE234" s="46" t="s">
        <v>172</v>
      </c>
      <c r="AF234" s="88" t="s">
        <v>210</v>
      </c>
      <c r="AG234" s="105">
        <f>IF(TAB_HISTORICO_MANUT[[#This Row],[Hora Inicio]]="","",MONTH(TAB_HISTORICO_MANUT[[#This Row],[Hora Inicio]]))</f>
        <v>8</v>
      </c>
      <c r="AH234" s="58" t="s">
        <v>1448</v>
      </c>
      <c r="AI234" s="43" t="s">
        <v>235</v>
      </c>
      <c r="AJ234" s="43" t="s">
        <v>717</v>
      </c>
      <c r="AK234" s="43" t="s">
        <v>422</v>
      </c>
      <c r="AL234" s="43" t="s">
        <v>279</v>
      </c>
      <c r="AM234" s="114" t="s">
        <v>280</v>
      </c>
      <c r="AN234" s="43" t="s">
        <v>217</v>
      </c>
      <c r="AO234" s="43" t="s">
        <v>729</v>
      </c>
      <c r="AP234" s="43" t="s">
        <v>218</v>
      </c>
    </row>
    <row r="235" spans="1:42" ht="50.1" customHeight="1" x14ac:dyDescent="0.25">
      <c r="A235" s="43">
        <f>MONTH(TAB_HISTORICO_MANUT[[#This Row],[Hora Final]])-MONTH(TAB_HISTORICO_MANUT[[#This Row],[Hora Inicio]])</f>
        <v>0</v>
      </c>
      <c r="B235" s="42"/>
      <c r="C235" s="43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Inicio]]=Z234,TAB_HISTORICO_MANUT[[#This Row],[Equipamento]]=AA234,TAB_HISTORICO_MANUT[[#This Row],[Descricao Despacho]]=AD234),0,1)))</f>
        <v>1</v>
      </c>
      <c r="O23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235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3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235" s="50">
        <f>IF($Q235="","",(TAB_HISTORICO_MANUT[[#This Row],[Hora Final]]-TAB_HISTORICO_MANUT[[#This Row],[Hora Inicio]])*24)</f>
        <v>1.5172222222317941</v>
      </c>
      <c r="S23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35" s="54" t="str">
        <f>IF(AND(TAB_HISTORICO_MANUT[[#This Row],[EXPURGO Mãe]]="SIM",TAB_HISTORICO_MANUT[[#This Row],[Tipo]]="MÃE"),"EXP.MAE",IF(TAB_HISTORICO_MANUT[[#This Row],[EXPURGO Mãe]]="NÃO","NÃO EXP.MAE",T234))</f>
        <v>NÃO EXP.MAE</v>
      </c>
      <c r="U23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35" s="56">
        <f>IF(TAB_HISTORICO_MANUT[[#This Row],[EXPURGO Filhas]]="SIM",MAX(TAB_HISTORICO_MANUT[[#This Row],[Hora Final]]-TAB_HISTORICO_MANUT[[#This Row],[Hora Inicio]],0),0)</f>
        <v>0</v>
      </c>
      <c r="W23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3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35" s="46">
        <v>46246.470381944448</v>
      </c>
      <c r="Z235" s="47">
        <v>46246.533599537041</v>
      </c>
      <c r="AA235" s="48" t="s">
        <v>209</v>
      </c>
      <c r="AB235" s="48"/>
      <c r="AC235" s="43" t="s">
        <v>882</v>
      </c>
      <c r="AD235" s="46" t="s">
        <v>146</v>
      </c>
      <c r="AE235" s="46" t="s">
        <v>883</v>
      </c>
      <c r="AF235" s="88" t="s">
        <v>210</v>
      </c>
      <c r="AG235" s="105">
        <f>IF(TAB_HISTORICO_MANUT[[#This Row],[Hora Inicio]]="","",MONTH(TAB_HISTORICO_MANUT[[#This Row],[Hora Inicio]]))</f>
        <v>8</v>
      </c>
      <c r="AH235" s="58" t="s">
        <v>1009</v>
      </c>
      <c r="AI235" s="43" t="s">
        <v>25</v>
      </c>
      <c r="AJ235" s="43" t="s">
        <v>25</v>
      </c>
      <c r="AK235" s="43" t="s">
        <v>25</v>
      </c>
      <c r="AL235" s="43" t="s">
        <v>25</v>
      </c>
      <c r="AM235" s="114" t="s">
        <v>25</v>
      </c>
      <c r="AN235" s="43"/>
      <c r="AO235" s="43"/>
      <c r="AP235" s="43"/>
    </row>
    <row r="236" spans="1:42" ht="50.1" customHeight="1" x14ac:dyDescent="0.25">
      <c r="A236" s="43">
        <f>MONTH(TAB_HISTORICO_MANUT[[#This Row],[Hora Final]])-MONTH(TAB_HISTORICO_MANUT[[#This Row],[Hora Inicio]])</f>
        <v>0</v>
      </c>
      <c r="B236" s="42"/>
      <c r="C236" s="43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Inicio]]=Z235,TAB_HISTORICO_MANUT[[#This Row],[Equipamento]]=AA235,TAB_HISTORICO_MANUT[[#This Row],[Descricao Despacho]]=AD235),0,1)))</f>
        <v>1</v>
      </c>
      <c r="O23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DE FREIO</v>
      </c>
      <c r="P23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3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36" s="50">
        <f>IF($Q236="","",(TAB_HISTORICO_MANUT[[#This Row],[Hora Final]]-TAB_HISTORICO_MANUT[[#This Row],[Hora Inicio]])*24)</f>
        <v>10.821388888929505</v>
      </c>
      <c r="S23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36" s="54" t="str">
        <f>IF(AND(TAB_HISTORICO_MANUT[[#This Row],[EXPURGO Mãe]]="SIM",TAB_HISTORICO_MANUT[[#This Row],[Tipo]]="MÃE"),"EXP.MAE",IF(TAB_HISTORICO_MANUT[[#This Row],[EXPURGO Mãe]]="NÃO","NÃO EXP.MAE",T235))</f>
        <v>NÃO EXP.MAE</v>
      </c>
      <c r="U23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36" s="56">
        <f>IF(TAB_HISTORICO_MANUT[[#This Row],[EXPURGO Filhas]]="SIM",MAX(TAB_HISTORICO_MANUT[[#This Row],[Hora Final]]-TAB_HISTORICO_MANUT[[#This Row],[Hora Inicio]],0),0)</f>
        <v>0</v>
      </c>
      <c r="W23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3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36" s="46">
        <v>46248.697835648149</v>
      </c>
      <c r="Z236" s="47">
        <v>46249.148726851854</v>
      </c>
      <c r="AA236" s="48" t="s">
        <v>209</v>
      </c>
      <c r="AB236" s="48"/>
      <c r="AC236" s="43" t="s">
        <v>204</v>
      </c>
      <c r="AD236" s="46" t="s">
        <v>144</v>
      </c>
      <c r="AE236" s="46" t="s">
        <v>172</v>
      </c>
      <c r="AF236" s="88" t="s">
        <v>210</v>
      </c>
      <c r="AG236" s="105">
        <f>IF(TAB_HISTORICO_MANUT[[#This Row],[Hora Inicio]]="","",MONTH(TAB_HISTORICO_MANUT[[#This Row],[Hora Inicio]]))</f>
        <v>8</v>
      </c>
      <c r="AH236" s="58" t="s">
        <v>1462</v>
      </c>
      <c r="AI236" s="43" t="s">
        <v>46</v>
      </c>
      <c r="AJ236" s="43" t="s">
        <v>295</v>
      </c>
      <c r="AK236" s="43" t="s">
        <v>458</v>
      </c>
      <c r="AL236" s="43" t="s">
        <v>282</v>
      </c>
      <c r="AM236" s="114" t="s">
        <v>276</v>
      </c>
      <c r="AN236" s="43" t="s">
        <v>217</v>
      </c>
      <c r="AO236" s="43" t="s">
        <v>1463</v>
      </c>
      <c r="AP236" s="43" t="s">
        <v>575</v>
      </c>
    </row>
    <row r="237" spans="1:42" ht="50.1" customHeight="1" x14ac:dyDescent="0.25">
      <c r="A237" s="43">
        <f>MONTH(TAB_HISTORICO_MANUT[[#This Row],[Hora Final]])-MONTH(TAB_HISTORICO_MANUT[[#This Row],[Hora Inicio]])</f>
        <v>0</v>
      </c>
      <c r="B237" s="42"/>
      <c r="C237" s="43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Inicio]]=Z236,TAB_HISTORICO_MANUT[[#This Row],[Equipamento]]=AA236,TAB_HISTORICO_MANUT[[#This Row],[Descricao Despacho]]=AD236),0,1)))</f>
        <v>1</v>
      </c>
      <c r="O23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237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3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37" s="50">
        <f>IF($Q237="","",(TAB_HISTORICO_MANUT[[#This Row],[Hora Final]]-TAB_HISTORICO_MANUT[[#This Row],[Hora Inicio]])*24)</f>
        <v>5.278888888831716</v>
      </c>
      <c r="S23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37" s="54" t="str">
        <f>IF(AND(TAB_HISTORICO_MANUT[[#This Row],[EXPURGO Mãe]]="SIM",TAB_HISTORICO_MANUT[[#This Row],[Tipo]]="MÃE"),"EXP.MAE",IF(TAB_HISTORICO_MANUT[[#This Row],[EXPURGO Mãe]]="NÃO","NÃO EXP.MAE",T236))</f>
        <v>NÃO EXP.MAE</v>
      </c>
      <c r="U23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37" s="56">
        <f>IF(TAB_HISTORICO_MANUT[[#This Row],[EXPURGO Filhas]]="SIM",MAX(TAB_HISTORICO_MANUT[[#This Row],[Hora Final]]-TAB_HISTORICO_MANUT[[#This Row],[Hora Inicio]],0),0)</f>
        <v>0</v>
      </c>
      <c r="W23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3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37" s="46">
        <v>46251.276956018519</v>
      </c>
      <c r="Z237" s="47">
        <v>46251.49690972222</v>
      </c>
      <c r="AA237" s="48" t="s">
        <v>209</v>
      </c>
      <c r="AB237" s="48" t="s">
        <v>1466</v>
      </c>
      <c r="AC237" s="43" t="s">
        <v>204</v>
      </c>
      <c r="AD237" s="46" t="s">
        <v>144</v>
      </c>
      <c r="AE237" s="46" t="s">
        <v>172</v>
      </c>
      <c r="AF237" s="88" t="s">
        <v>210</v>
      </c>
      <c r="AG237" s="105">
        <f>IF(TAB_HISTORICO_MANUT[[#This Row],[Hora Inicio]]="","",MONTH(TAB_HISTORICO_MANUT[[#This Row],[Hora Inicio]]))</f>
        <v>8</v>
      </c>
      <c r="AH237" s="58" t="s">
        <v>1468</v>
      </c>
      <c r="AI237" s="43" t="s">
        <v>28</v>
      </c>
      <c r="AJ237" s="43" t="s">
        <v>30</v>
      </c>
      <c r="AK237" s="43" t="s">
        <v>1472</v>
      </c>
      <c r="AL237" s="43" t="s">
        <v>275</v>
      </c>
      <c r="AM237" s="114" t="s">
        <v>276</v>
      </c>
      <c r="AN237" s="43" t="s">
        <v>217</v>
      </c>
      <c r="AO237" s="43" t="s">
        <v>316</v>
      </c>
      <c r="AP237" s="43" t="s">
        <v>1469</v>
      </c>
    </row>
    <row r="238" spans="1:42" ht="50.1" customHeight="1" x14ac:dyDescent="0.25">
      <c r="A238" s="43">
        <f>MONTH(TAB_HISTORICO_MANUT[[#This Row],[Hora Final]])-MONTH(TAB_HISTORICO_MANUT[[#This Row],[Hora Inicio]])</f>
        <v>0</v>
      </c>
      <c r="B238" s="42"/>
      <c r="C238" s="43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Inicio]]=Z237,TAB_HISTORICO_MANUT[[#This Row],[Equipamento]]=AA237,TAB_HISTORICO_MANUT[[#This Row],[Descricao Despacho]]=AD237),0,1)))</f>
        <v>1</v>
      </c>
      <c r="O23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238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3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38" s="50">
        <f>IF($Q238="","",(TAB_HISTORICO_MANUT[[#This Row],[Hora Final]]-TAB_HISTORICO_MANUT[[#This Row],[Hora Inicio]])*24)</f>
        <v>6.7344444444752298</v>
      </c>
      <c r="S23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38" s="54" t="str">
        <f>IF(AND(TAB_HISTORICO_MANUT[[#This Row],[EXPURGO Mãe]]="SIM",TAB_HISTORICO_MANUT[[#This Row],[Tipo]]="MÃE"),"EXP.MAE",IF(TAB_HISTORICO_MANUT[[#This Row],[EXPURGO Mãe]]="NÃO","NÃO EXP.MAE",T237))</f>
        <v>NÃO EXP.MAE</v>
      </c>
      <c r="U23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38" s="56">
        <f>IF(TAB_HISTORICO_MANUT[[#This Row],[EXPURGO Filhas]]="SIM",MAX(TAB_HISTORICO_MANUT[[#This Row],[Hora Final]]-TAB_HISTORICO_MANUT[[#This Row],[Hora Inicio]],0),0)</f>
        <v>0</v>
      </c>
      <c r="W23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3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38" s="46">
        <v>46254.669189814813</v>
      </c>
      <c r="Z238" s="47">
        <v>46254.949791666666</v>
      </c>
      <c r="AA238" s="48" t="s">
        <v>209</v>
      </c>
      <c r="AB238" s="48" t="s">
        <v>1477</v>
      </c>
      <c r="AC238" s="43" t="s">
        <v>204</v>
      </c>
      <c r="AD238" s="46" t="s">
        <v>144</v>
      </c>
      <c r="AE238" s="46" t="s">
        <v>172</v>
      </c>
      <c r="AF238" s="88" t="s">
        <v>210</v>
      </c>
      <c r="AG238" s="105">
        <f>IF(TAB_HISTORICO_MANUT[[#This Row],[Hora Inicio]]="","",MONTH(TAB_HISTORICO_MANUT[[#This Row],[Hora Inicio]]))</f>
        <v>8</v>
      </c>
      <c r="AH238" s="58" t="s">
        <v>1478</v>
      </c>
      <c r="AI238" s="43" t="s">
        <v>235</v>
      </c>
      <c r="AJ238" s="43" t="s">
        <v>223</v>
      </c>
      <c r="AK238" s="43" t="s">
        <v>422</v>
      </c>
      <c r="AL238" s="43" t="s">
        <v>279</v>
      </c>
      <c r="AM238" s="114" t="s">
        <v>280</v>
      </c>
      <c r="AN238" s="43" t="s">
        <v>217</v>
      </c>
      <c r="AO238" s="43" t="s">
        <v>811</v>
      </c>
      <c r="AP238" s="43" t="s">
        <v>796</v>
      </c>
    </row>
    <row r="239" spans="1:42" ht="50.1" customHeight="1" x14ac:dyDescent="0.25">
      <c r="A239" s="43">
        <f>MONTH(TAB_HISTORICO_MANUT[[#This Row],[Hora Final]])-MONTH(TAB_HISTORICO_MANUT[[#This Row],[Hora Inicio]])</f>
        <v>0</v>
      </c>
      <c r="B239" s="42"/>
      <c r="C239" s="43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Inicio]]=Z238,TAB_HISTORICO_MANUT[[#This Row],[Equipamento]]=AA238,TAB_HISTORICO_MANUT[[#This Row],[Descricao Despacho]]=AD238),0,1)))</f>
        <v>1</v>
      </c>
      <c r="O23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239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3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239" s="50">
        <f>IF($Q239="","",(TAB_HISTORICO_MANUT[[#This Row],[Hora Final]]-TAB_HISTORICO_MANUT[[#This Row],[Hora Inicio]])*24)</f>
        <v>5.6874999999417923</v>
      </c>
      <c r="S23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239" s="54" t="str">
        <f>IF(AND(TAB_HISTORICO_MANUT[[#This Row],[EXPURGO Mãe]]="SIM",TAB_HISTORICO_MANUT[[#This Row],[Tipo]]="MÃE"),"EXP.MAE",IF(TAB_HISTORICO_MANUT[[#This Row],[EXPURGO Mãe]]="NÃO","NÃO EXP.MAE",T238))</f>
        <v>EXP.MAE</v>
      </c>
      <c r="U23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39" s="56">
        <f>IF(TAB_HISTORICO_MANUT[[#This Row],[EXPURGO Filhas]]="SIM",MAX(TAB_HISTORICO_MANUT[[#This Row],[Hora Final]]-TAB_HISTORICO_MANUT[[#This Row],[Hora Inicio]],0),0)</f>
        <v>0</v>
      </c>
      <c r="W23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3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39" s="46">
        <v>46256.209606481483</v>
      </c>
      <c r="Z239" s="47">
        <v>46256.446585648147</v>
      </c>
      <c r="AA239" s="48" t="s">
        <v>209</v>
      </c>
      <c r="AB239" s="48" t="s">
        <v>1479</v>
      </c>
      <c r="AC239" s="43" t="s">
        <v>1217</v>
      </c>
      <c r="AD239" s="46" t="s">
        <v>144</v>
      </c>
      <c r="AE239" s="46" t="s">
        <v>1218</v>
      </c>
      <c r="AF239" s="88" t="s">
        <v>210</v>
      </c>
      <c r="AG239" s="105">
        <f>IF(TAB_HISTORICO_MANUT[[#This Row],[Hora Inicio]]="","",MONTH(TAB_HISTORICO_MANUT[[#This Row],[Hora Inicio]]))</f>
        <v>8</v>
      </c>
      <c r="AH239" s="58" t="s">
        <v>1481</v>
      </c>
      <c r="AI239" s="43" t="s">
        <v>82</v>
      </c>
      <c r="AJ239" s="43" t="s">
        <v>82</v>
      </c>
      <c r="AK239" s="43" t="s">
        <v>82</v>
      </c>
      <c r="AL239" s="43" t="s">
        <v>82</v>
      </c>
      <c r="AM239" s="114" t="s">
        <v>82</v>
      </c>
      <c r="AN239" s="43" t="s">
        <v>241</v>
      </c>
      <c r="AO239" s="43" t="s">
        <v>1482</v>
      </c>
      <c r="AP239" s="43" t="s">
        <v>1097</v>
      </c>
    </row>
    <row r="240" spans="1:42" ht="50.1" customHeight="1" x14ac:dyDescent="0.25">
      <c r="A240" s="43">
        <f>MONTH(TAB_HISTORICO_MANUT[[#This Row],[Hora Final]])-MONTH(TAB_HISTORICO_MANUT[[#This Row],[Hora Inicio]])</f>
        <v>0</v>
      </c>
      <c r="B240" s="42"/>
      <c r="C240" s="43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Inicio]]=Z239,TAB_HISTORICO_MANUT[[#This Row],[Equipamento]]=AA239,TAB_HISTORICO_MANUT[[#This Row],[Descricao Despacho]]=AD239),0,1)))</f>
        <v>1</v>
      </c>
      <c r="O24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240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4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240" s="50">
        <f>IF($Q240="","",(TAB_HISTORICO_MANUT[[#This Row],[Hora Final]]-TAB_HISTORICO_MANUT[[#This Row],[Hora Inicio]])*24)</f>
        <v>3.1824999998789281</v>
      </c>
      <c r="S24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40" s="54" t="str">
        <f>IF(AND(TAB_HISTORICO_MANUT[[#This Row],[EXPURGO Mãe]]="SIM",TAB_HISTORICO_MANUT[[#This Row],[Tipo]]="MÃE"),"EXP.MAE",IF(TAB_HISTORICO_MANUT[[#This Row],[EXPURGO Mãe]]="NÃO","NÃO EXP.MAE",T239))</f>
        <v>NÃO EXP.MAE</v>
      </c>
      <c r="U24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40" s="56">
        <f>IF(TAB_HISTORICO_MANUT[[#This Row],[EXPURGO Filhas]]="SIM",MAX(TAB_HISTORICO_MANUT[[#This Row],[Hora Final]]-TAB_HISTORICO_MANUT[[#This Row],[Hora Inicio]],0),0)</f>
        <v>0</v>
      </c>
      <c r="W24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4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40" s="46">
        <v>46257.393090277779</v>
      </c>
      <c r="Z240" s="47">
        <v>46257.525694444441</v>
      </c>
      <c r="AA240" s="48" t="s">
        <v>209</v>
      </c>
      <c r="AB240" s="48"/>
      <c r="AC240" s="43" t="s">
        <v>301</v>
      </c>
      <c r="AD240" s="46" t="s">
        <v>146</v>
      </c>
      <c r="AE240" s="46" t="s">
        <v>310</v>
      </c>
      <c r="AF240" s="88" t="s">
        <v>210</v>
      </c>
      <c r="AG240" s="105">
        <f>IF(TAB_HISTORICO_MANUT[[#This Row],[Hora Inicio]]="","",MONTH(TAB_HISTORICO_MANUT[[#This Row],[Hora Inicio]]))</f>
        <v>8</v>
      </c>
      <c r="AH240" s="58" t="s">
        <v>1486</v>
      </c>
      <c r="AI240" s="43" t="s">
        <v>340</v>
      </c>
      <c r="AJ240" s="43" t="s">
        <v>432</v>
      </c>
      <c r="AK240" s="43" t="s">
        <v>1272</v>
      </c>
      <c r="AL240" s="43" t="s">
        <v>1272</v>
      </c>
      <c r="AM240" s="114" t="s">
        <v>1272</v>
      </c>
      <c r="AN240" s="43"/>
      <c r="AO240" s="43"/>
      <c r="AP240" s="43"/>
    </row>
    <row r="241" spans="1:42" ht="50.1" customHeight="1" x14ac:dyDescent="0.25">
      <c r="A241" s="43">
        <f>MONTH(TAB_HISTORICO_MANUT[[#This Row],[Hora Final]])-MONTH(TAB_HISTORICO_MANUT[[#This Row],[Hora Inicio]])</f>
        <v>0</v>
      </c>
      <c r="B241" s="42"/>
      <c r="C241" s="43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Inicio]]=Z240,TAB_HISTORICO_MANUT[[#This Row],[Equipamento]]=AA240,TAB_HISTORICO_MANUT[[#This Row],[Descricao Despacho]]=AD240),0,1)))</f>
        <v>0</v>
      </c>
      <c r="O24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241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4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241" s="50">
        <f>IF($Q241="","",(TAB_HISTORICO_MANUT[[#This Row],[Hora Final]]-TAB_HISTORICO_MANUT[[#This Row],[Hora Inicio]])*24)</f>
        <v>4.2047222223482095</v>
      </c>
      <c r="S24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41" s="54" t="str">
        <f>IF(AND(TAB_HISTORICO_MANUT[[#This Row],[EXPURGO Mãe]]="SIM",TAB_HISTORICO_MANUT[[#This Row],[Tipo]]="MÃE"),"EXP.MAE",IF(TAB_HISTORICO_MANUT[[#This Row],[EXPURGO Mãe]]="NÃO","NÃO EXP.MAE",T240))</f>
        <v>NÃO EXP.MAE</v>
      </c>
      <c r="U24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41" s="56">
        <f>IF(TAB_HISTORICO_MANUT[[#This Row],[EXPURGO Filhas]]="SIM",MAX(TAB_HISTORICO_MANUT[[#This Row],[Hora Final]]-TAB_HISTORICO_MANUT[[#This Row],[Hora Inicio]],0),0)</f>
        <v>0</v>
      </c>
      <c r="W24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4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41" s="46">
        <v>46257.525694444441</v>
      </c>
      <c r="Z241" s="47">
        <v>46257.700891203705</v>
      </c>
      <c r="AA241" s="48" t="s">
        <v>209</v>
      </c>
      <c r="AB241" s="48"/>
      <c r="AC241" s="43" t="s">
        <v>302</v>
      </c>
      <c r="AD241" s="46" t="s">
        <v>146</v>
      </c>
      <c r="AE241" s="46" t="s">
        <v>311</v>
      </c>
      <c r="AF241" s="88" t="s">
        <v>210</v>
      </c>
      <c r="AG241" s="105">
        <f>IF(TAB_HISTORICO_MANUT[[#This Row],[Hora Inicio]]="","",MONTH(TAB_HISTORICO_MANUT[[#This Row],[Hora Inicio]]))</f>
        <v>8</v>
      </c>
      <c r="AH241" s="58" t="s">
        <v>1486</v>
      </c>
      <c r="AI241" s="43" t="s">
        <v>340</v>
      </c>
      <c r="AJ241" s="43" t="s">
        <v>432</v>
      </c>
      <c r="AK241" s="43" t="s">
        <v>1272</v>
      </c>
      <c r="AL241" s="43" t="s">
        <v>1272</v>
      </c>
      <c r="AM241" s="114" t="s">
        <v>1272</v>
      </c>
      <c r="AN241" s="43"/>
      <c r="AO241" s="43"/>
      <c r="AP241" s="43"/>
    </row>
    <row r="242" spans="1:42" ht="50.1" customHeight="1" x14ac:dyDescent="0.25">
      <c r="A242" s="43">
        <f>MONTH(TAB_HISTORICO_MANUT[[#This Row],[Hora Final]])-MONTH(TAB_HISTORICO_MANUT[[#This Row],[Hora Inicio]])</f>
        <v>0</v>
      </c>
      <c r="B242" s="42"/>
      <c r="C242" s="43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Inicio]]=Z241,TAB_HISTORICO_MANUT[[#This Row],[Equipamento]]=AA241,TAB_HISTORICO_MANUT[[#This Row],[Descricao Despacho]]=AD241),0,1)))</f>
        <v>0</v>
      </c>
      <c r="O24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242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4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242" s="50">
        <f>IF($Q242="","",(TAB_HISTORICO_MANUT[[#This Row],[Hora Final]]-TAB_HISTORICO_MANUT[[#This Row],[Hora Inicio]])*24)</f>
        <v>58.12083333323244</v>
      </c>
      <c r="S24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42" s="54" t="str">
        <f>IF(AND(TAB_HISTORICO_MANUT[[#This Row],[EXPURGO Mãe]]="SIM",TAB_HISTORICO_MANUT[[#This Row],[Tipo]]="MÃE"),"EXP.MAE",IF(TAB_HISTORICO_MANUT[[#This Row],[EXPURGO Mãe]]="NÃO","NÃO EXP.MAE",T241))</f>
        <v>NÃO EXP.MAE</v>
      </c>
      <c r="U24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42" s="56">
        <f>IF(TAB_HISTORICO_MANUT[[#This Row],[EXPURGO Filhas]]="SIM",MAX(TAB_HISTORICO_MANUT[[#This Row],[Hora Final]]-TAB_HISTORICO_MANUT[[#This Row],[Hora Inicio]],0),0)</f>
        <v>0</v>
      </c>
      <c r="W24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4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42" s="46">
        <v>46257.700891203705</v>
      </c>
      <c r="Z242" s="47">
        <v>46260.12259259259</v>
      </c>
      <c r="AA242" s="48" t="s">
        <v>209</v>
      </c>
      <c r="AB242" s="48"/>
      <c r="AC242" s="43" t="s">
        <v>301</v>
      </c>
      <c r="AD242" s="46" t="s">
        <v>146</v>
      </c>
      <c r="AE242" s="46" t="s">
        <v>310</v>
      </c>
      <c r="AF242" s="88" t="s">
        <v>210</v>
      </c>
      <c r="AG242" s="105">
        <f>IF(TAB_HISTORICO_MANUT[[#This Row],[Hora Inicio]]="","",MONTH(TAB_HISTORICO_MANUT[[#This Row],[Hora Inicio]]))</f>
        <v>8</v>
      </c>
      <c r="AH242" s="58" t="s">
        <v>1486</v>
      </c>
      <c r="AI242" s="43" t="s">
        <v>340</v>
      </c>
      <c r="AJ242" s="43" t="s">
        <v>432</v>
      </c>
      <c r="AK242" s="43" t="s">
        <v>1272</v>
      </c>
      <c r="AL242" s="43" t="s">
        <v>1272</v>
      </c>
      <c r="AM242" s="114" t="s">
        <v>1272</v>
      </c>
      <c r="AN242" s="43"/>
      <c r="AO242" s="43"/>
      <c r="AP242" s="43"/>
    </row>
    <row r="243" spans="1:42" ht="50.1" customHeight="1" x14ac:dyDescent="0.25">
      <c r="A243" s="43">
        <f>MONTH(TAB_HISTORICO_MANUT[[#This Row],[Hora Final]])-MONTH(TAB_HISTORICO_MANUT[[#This Row],[Hora Inicio]])</f>
        <v>0</v>
      </c>
      <c r="B243" s="42"/>
      <c r="C243" s="43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Inicio]]=Z242,TAB_HISTORICO_MANUT[[#This Row],[Equipamento]]=AA242,TAB_HISTORICO_MANUT[[#This Row],[Descricao Despacho]]=AD242),0,1)))</f>
        <v>1</v>
      </c>
      <c r="O24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243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4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43" s="50">
        <f>IF($Q243="","",(TAB_HISTORICO_MANUT[[#This Row],[Hora Final]]-TAB_HISTORICO_MANUT[[#This Row],[Hora Inicio]])*24)</f>
        <v>1.066388888808433</v>
      </c>
      <c r="S24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43" s="54" t="str">
        <f>IF(AND(TAB_HISTORICO_MANUT[[#This Row],[EXPURGO Mãe]]="SIM",TAB_HISTORICO_MANUT[[#This Row],[Tipo]]="MÃE"),"EXP.MAE",IF(TAB_HISTORICO_MANUT[[#This Row],[EXPURGO Mãe]]="NÃO","NÃO EXP.MAE",T242))</f>
        <v>NÃO EXP.MAE</v>
      </c>
      <c r="U24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43" s="56">
        <f>IF(TAB_HISTORICO_MANUT[[#This Row],[EXPURGO Filhas]]="SIM",MAX(TAB_HISTORICO_MANUT[[#This Row],[Hora Final]]-TAB_HISTORICO_MANUT[[#This Row],[Hora Inicio]],0),0)</f>
        <v>0</v>
      </c>
      <c r="W24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4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43" s="46">
        <v>46264.644988425927</v>
      </c>
      <c r="Z243" s="47">
        <v>46264.689421296294</v>
      </c>
      <c r="AA243" s="48" t="s">
        <v>209</v>
      </c>
      <c r="AB243" s="48"/>
      <c r="AC243" s="43" t="s">
        <v>204</v>
      </c>
      <c r="AD243" s="46" t="s">
        <v>144</v>
      </c>
      <c r="AE243" s="46" t="s">
        <v>172</v>
      </c>
      <c r="AF243" s="88" t="s">
        <v>210</v>
      </c>
      <c r="AG243" s="105">
        <f>IF(TAB_HISTORICO_MANUT[[#This Row],[Hora Inicio]]="","",MONTH(TAB_HISTORICO_MANUT[[#This Row],[Hora Inicio]]))</f>
        <v>8</v>
      </c>
      <c r="AH243" s="58" t="s">
        <v>1491</v>
      </c>
      <c r="AI243" s="43" t="s">
        <v>24</v>
      </c>
      <c r="AJ243" s="43" t="s">
        <v>149</v>
      </c>
      <c r="AK243" s="43" t="s">
        <v>422</v>
      </c>
      <c r="AL243" s="43" t="s">
        <v>279</v>
      </c>
      <c r="AM243" s="114" t="s">
        <v>280</v>
      </c>
      <c r="AN243" s="43"/>
      <c r="AO243" s="43"/>
      <c r="AP243" s="43"/>
    </row>
    <row r="244" spans="1:42" ht="50.1" customHeight="1" x14ac:dyDescent="0.25">
      <c r="A244" s="115">
        <f>MONTH(TAB_HISTORICO_MANUT[[#This Row],[Hora Final]])-MONTH(TAB_HISTORICO_MANUT[[#This Row],[Hora Inicio]])</f>
        <v>0</v>
      </c>
      <c r="B244" s="116"/>
      <c r="C244" s="115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Inicio]]=Z243,TAB_HISTORICO_MANUT[[#This Row],[Equipamento]]=AA243,TAB_HISTORICO_MANUT[[#This Row],[Descricao Despacho]]=AD243),0,1)))</f>
        <v>1</v>
      </c>
      <c r="O24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244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4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244" s="50">
        <f>IF($Q244="","",(TAB_HISTORICO_MANUT[[#This Row],[Hora Final]]-TAB_HISTORICO_MANUT[[#This Row],[Hora Inicio]])*24)</f>
        <v>1.0608333333511837</v>
      </c>
      <c r="S24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44" s="54" t="str">
        <f>IF(AND(TAB_HISTORICO_MANUT[[#This Row],[EXPURGO Mãe]]="SIM",TAB_HISTORICO_MANUT[[#This Row],[Tipo]]="MÃE"),"EXP.MAE",IF(TAB_HISTORICO_MANUT[[#This Row],[EXPURGO Mãe]]="NÃO","NÃO EXP.MAE",T243))</f>
        <v>NÃO EXP.MAE</v>
      </c>
      <c r="U24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44" s="56">
        <f>IF(TAB_HISTORICO_MANUT[[#This Row],[EXPURGO Filhas]]="SIM",MAX(TAB_HISTORICO_MANUT[[#This Row],[Hora Final]]-TAB_HISTORICO_MANUT[[#This Row],[Hora Inicio]],0),0)</f>
        <v>0</v>
      </c>
      <c r="W24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4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44" s="46">
        <v>46265.427337962959</v>
      </c>
      <c r="Z244" s="47">
        <v>46265.471539351849</v>
      </c>
      <c r="AA244" s="48" t="s">
        <v>209</v>
      </c>
      <c r="AB244" s="48"/>
      <c r="AC244" s="43" t="s">
        <v>882</v>
      </c>
      <c r="AD244" s="46" t="s">
        <v>146</v>
      </c>
      <c r="AE244" s="46" t="s">
        <v>883</v>
      </c>
      <c r="AF244" s="88" t="s">
        <v>210</v>
      </c>
      <c r="AG244" s="105">
        <f>IF(TAB_HISTORICO_MANUT[[#This Row],[Hora Inicio]]="","",MONTH(TAB_HISTORICO_MANUT[[#This Row],[Hora Inicio]]))</f>
        <v>8</v>
      </c>
      <c r="AH244" s="58" t="s">
        <v>751</v>
      </c>
      <c r="AI244" s="43" t="s">
        <v>25</v>
      </c>
      <c r="AJ244" s="43" t="s">
        <v>25</v>
      </c>
      <c r="AK244" s="43" t="s">
        <v>25</v>
      </c>
      <c r="AL244" s="43" t="s">
        <v>25</v>
      </c>
      <c r="AM244" s="114" t="s">
        <v>25</v>
      </c>
      <c r="AN244" s="115"/>
      <c r="AO244" s="115"/>
      <c r="AP244" s="115"/>
    </row>
    <row r="245" spans="1:42" ht="50.1" customHeight="1" x14ac:dyDescent="0.25">
      <c r="A245" s="115">
        <f>MONTH(TAB_HISTORICO_MANUT[[#This Row],[Hora Final]])-MONTH(TAB_HISTORICO_MANUT[[#This Row],[Hora Inicio]])</f>
        <v>0</v>
      </c>
      <c r="B245" s="116"/>
      <c r="C245" s="115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Inicio]]=Z244,TAB_HISTORICO_MANUT[[#This Row],[Equipamento]]=AA244,TAB_HISTORICO_MANUT[[#This Row],[Descricao Despacho]]=AD244),0,1)))</f>
        <v>1</v>
      </c>
      <c r="O24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24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4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245" s="107">
        <f>IF($Q245="","",(TAB_HISTORICO_MANUT[[#This Row],[Hora Final]]-TAB_HISTORICO_MANUT[[#This Row],[Hora Inicio]])*24)</f>
        <v>4.2041666666627862</v>
      </c>
      <c r="S24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45" s="109" t="str">
        <f>IF(AND(TAB_HISTORICO_MANUT[[#This Row],[EXPURGO Mãe]]="SIM",TAB_HISTORICO_MANUT[[#This Row],[Tipo]]="MÃE"),"EXP.MAE",IF(TAB_HISTORICO_MANUT[[#This Row],[EXPURGO Mãe]]="NÃO","NÃO EXP.MAE",T244))</f>
        <v>NÃO EXP.MAE</v>
      </c>
      <c r="U24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45" s="110">
        <f>IF(TAB_HISTORICO_MANUT[[#This Row],[EXPURGO Filhas]]="SIM",MAX(TAB_HISTORICO_MANUT[[#This Row],[Hora Final]]-TAB_HISTORICO_MANUT[[#This Row],[Hora Inicio]],0),0)</f>
        <v>0</v>
      </c>
      <c r="W24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4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45" s="46">
        <v>46266.681458333333</v>
      </c>
      <c r="Z245" s="47">
        <v>46266.856631944444</v>
      </c>
      <c r="AA245" s="48" t="s">
        <v>209</v>
      </c>
      <c r="AB245" s="48" t="s">
        <v>1504</v>
      </c>
      <c r="AC245" s="43" t="s">
        <v>301</v>
      </c>
      <c r="AD245" s="46" t="s">
        <v>146</v>
      </c>
      <c r="AE245" s="46" t="s">
        <v>310</v>
      </c>
      <c r="AF245" s="88" t="s">
        <v>210</v>
      </c>
      <c r="AG245" s="105">
        <f>IF(TAB_HISTORICO_MANUT[[#This Row],[Hora Inicio]]="","",MONTH(TAB_HISTORICO_MANUT[[#This Row],[Hora Inicio]]))</f>
        <v>9</v>
      </c>
      <c r="AH245" s="58" t="s">
        <v>1506</v>
      </c>
      <c r="AI245" s="43" t="s">
        <v>340</v>
      </c>
      <c r="AJ245" s="43" t="s">
        <v>1281</v>
      </c>
      <c r="AK245" s="43" t="s">
        <v>422</v>
      </c>
      <c r="AL245" s="43" t="s">
        <v>279</v>
      </c>
      <c r="AM245" s="114" t="s">
        <v>280</v>
      </c>
      <c r="AN245" s="115" t="s">
        <v>217</v>
      </c>
      <c r="AO245" s="115" t="s">
        <v>729</v>
      </c>
      <c r="AP245" s="115" t="s">
        <v>403</v>
      </c>
    </row>
    <row r="246" spans="1:42" ht="50.1" customHeight="1" x14ac:dyDescent="0.25">
      <c r="A246" s="115">
        <f>MONTH(TAB_HISTORICO_MANUT[[#This Row],[Hora Final]])-MONTH(TAB_HISTORICO_MANUT[[#This Row],[Hora Inicio]])</f>
        <v>0</v>
      </c>
      <c r="B246" s="116"/>
      <c r="C246" s="115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Inicio]]=Z245,TAB_HISTORICO_MANUT[[#This Row],[Equipamento]]=AA245,TAB_HISTORICO_MANUT[[#This Row],[Descricao Despacho]]=AD245),0,1)))</f>
        <v>1</v>
      </c>
      <c r="O24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24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4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246" s="107">
        <f>IF($Q246="","",(TAB_HISTORICO_MANUT[[#This Row],[Hora Final]]-TAB_HISTORICO_MANUT[[#This Row],[Hora Inicio]])*24)</f>
        <v>0.83638888882705942</v>
      </c>
      <c r="S24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46" s="109" t="str">
        <f>IF(AND(TAB_HISTORICO_MANUT[[#This Row],[EXPURGO Mãe]]="SIM",TAB_HISTORICO_MANUT[[#This Row],[Tipo]]="MÃE"),"EXP.MAE",IF(TAB_HISTORICO_MANUT[[#This Row],[EXPURGO Mãe]]="NÃO","NÃO EXP.MAE",T245))</f>
        <v>NÃO EXP.MAE</v>
      </c>
      <c r="U24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46" s="110">
        <f>IF(TAB_HISTORICO_MANUT[[#This Row],[EXPURGO Filhas]]="SIM",MAX(TAB_HISTORICO_MANUT[[#This Row],[Hora Final]]-TAB_HISTORICO_MANUT[[#This Row],[Hora Inicio]],0),0)</f>
        <v>0</v>
      </c>
      <c r="W24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4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46" s="46">
        <v>46267.158784722225</v>
      </c>
      <c r="Z246" s="47">
        <v>46267.19363425926</v>
      </c>
      <c r="AA246" s="48" t="s">
        <v>209</v>
      </c>
      <c r="AB246" s="48" t="s">
        <v>1505</v>
      </c>
      <c r="AC246" s="43" t="s">
        <v>204</v>
      </c>
      <c r="AD246" s="46" t="s">
        <v>144</v>
      </c>
      <c r="AE246" s="46" t="s">
        <v>172</v>
      </c>
      <c r="AF246" s="88" t="s">
        <v>210</v>
      </c>
      <c r="AG246" s="105">
        <f>IF(TAB_HISTORICO_MANUT[[#This Row],[Hora Inicio]]="","",MONTH(TAB_HISTORICO_MANUT[[#This Row],[Hora Inicio]]))</f>
        <v>9</v>
      </c>
      <c r="AH246" s="58" t="s">
        <v>1507</v>
      </c>
      <c r="AI246" s="43" t="s">
        <v>340</v>
      </c>
      <c r="AJ246" s="43" t="s">
        <v>1281</v>
      </c>
      <c r="AK246" s="43" t="s">
        <v>290</v>
      </c>
      <c r="AL246" s="43" t="s">
        <v>282</v>
      </c>
      <c r="AM246" s="114" t="s">
        <v>283</v>
      </c>
      <c r="AN246" s="115" t="s">
        <v>215</v>
      </c>
      <c r="AO246" s="115" t="s">
        <v>224</v>
      </c>
      <c r="AP246" s="115" t="s">
        <v>225</v>
      </c>
    </row>
    <row r="247" spans="1:42" ht="50.1" customHeight="1" x14ac:dyDescent="0.25">
      <c r="A247" s="115">
        <f>MONTH(TAB_HISTORICO_MANUT[[#This Row],[Hora Final]])-MONTH(TAB_HISTORICO_MANUT[[#This Row],[Hora Inicio]])</f>
        <v>0</v>
      </c>
      <c r="B247" s="116"/>
      <c r="C247" s="115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Inicio]]=Z246,TAB_HISTORICO_MANUT[[#This Row],[Equipamento]]=AA246,TAB_HISTORICO_MANUT[[#This Row],[Descricao Despacho]]=AD246),0,1)))</f>
        <v>1</v>
      </c>
      <c r="O24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DE FREIO</v>
      </c>
      <c r="P24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4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47" s="107">
        <f>IF($Q247="","",(TAB_HISTORICO_MANUT[[#This Row],[Hora Final]]-TAB_HISTORICO_MANUT[[#This Row],[Hora Inicio]])*24)</f>
        <v>3.0922222221270204</v>
      </c>
      <c r="S24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47" s="109" t="str">
        <f>IF(AND(TAB_HISTORICO_MANUT[[#This Row],[EXPURGO Mãe]]="SIM",TAB_HISTORICO_MANUT[[#This Row],[Tipo]]="MÃE"),"EXP.MAE",IF(TAB_HISTORICO_MANUT[[#This Row],[EXPURGO Mãe]]="NÃO","NÃO EXP.MAE",T246))</f>
        <v>NÃO EXP.MAE</v>
      </c>
      <c r="U24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47" s="110">
        <f>IF(TAB_HISTORICO_MANUT[[#This Row],[EXPURGO Filhas]]="SIM",MAX(TAB_HISTORICO_MANUT[[#This Row],[Hora Final]]-TAB_HISTORICO_MANUT[[#This Row],[Hora Inicio]],0),0)</f>
        <v>0</v>
      </c>
      <c r="W24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4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47" s="46">
        <v>46267.23646990741</v>
      </c>
      <c r="Z247" s="47">
        <v>46267.365312499998</v>
      </c>
      <c r="AA247" s="48" t="s">
        <v>209</v>
      </c>
      <c r="AB247" s="48"/>
      <c r="AC247" s="43" t="s">
        <v>204</v>
      </c>
      <c r="AD247" s="46" t="s">
        <v>144</v>
      </c>
      <c r="AE247" s="46" t="s">
        <v>172</v>
      </c>
      <c r="AF247" s="88" t="s">
        <v>210</v>
      </c>
      <c r="AG247" s="105">
        <f>IF(TAB_HISTORICO_MANUT[[#This Row],[Hora Inicio]]="","",MONTH(TAB_HISTORICO_MANUT[[#This Row],[Hora Inicio]]))</f>
        <v>9</v>
      </c>
      <c r="AH247" s="58" t="s">
        <v>1508</v>
      </c>
      <c r="AI247" s="43" t="s">
        <v>46</v>
      </c>
      <c r="AJ247" s="43" t="s">
        <v>295</v>
      </c>
      <c r="AK247" s="43" t="s">
        <v>667</v>
      </c>
      <c r="AL247" s="43" t="s">
        <v>282</v>
      </c>
      <c r="AM247" s="114" t="s">
        <v>276</v>
      </c>
      <c r="AN247" s="115" t="s">
        <v>217</v>
      </c>
      <c r="AO247" s="115" t="s">
        <v>1509</v>
      </c>
      <c r="AP247" s="115" t="s">
        <v>1359</v>
      </c>
    </row>
    <row r="248" spans="1:42" ht="50.1" customHeight="1" x14ac:dyDescent="0.25">
      <c r="A248" s="115">
        <f>MONTH(TAB_HISTORICO_MANUT[[#This Row],[Hora Final]])-MONTH(TAB_HISTORICO_MANUT[[#This Row],[Hora Inicio]])</f>
        <v>0</v>
      </c>
      <c r="B248" s="116"/>
      <c r="C248" s="115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Inicio]]=Z247,TAB_HISTORICO_MANUT[[#This Row],[Equipamento]]=AA247,TAB_HISTORICO_MANUT[[#This Row],[Descricao Despacho]]=AD247),0,1)))</f>
        <v>1</v>
      </c>
      <c r="O24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24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4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48" s="107">
        <f>IF($Q248="","",(TAB_HISTORICO_MANUT[[#This Row],[Hora Final]]-TAB_HISTORICO_MANUT[[#This Row],[Hora Inicio]])*24)</f>
        <v>1.7369444444775581</v>
      </c>
      <c r="S24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48" s="109" t="str">
        <f>IF(AND(TAB_HISTORICO_MANUT[[#This Row],[EXPURGO Mãe]]="SIM",TAB_HISTORICO_MANUT[[#This Row],[Tipo]]="MÃE"),"EXP.MAE",IF(TAB_HISTORICO_MANUT[[#This Row],[EXPURGO Mãe]]="NÃO","NÃO EXP.MAE",T247))</f>
        <v>NÃO EXP.MAE</v>
      </c>
      <c r="U24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48" s="110">
        <f>IF(TAB_HISTORICO_MANUT[[#This Row],[EXPURGO Filhas]]="SIM",MAX(TAB_HISTORICO_MANUT[[#This Row],[Hora Final]]-TAB_HISTORICO_MANUT[[#This Row],[Hora Inicio]],0),0)</f>
        <v>0</v>
      </c>
      <c r="W24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4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48" s="46">
        <v>46269.937094907407</v>
      </c>
      <c r="Z248" s="47">
        <v>46270.009467592594</v>
      </c>
      <c r="AA248" s="48" t="s">
        <v>209</v>
      </c>
      <c r="AB248" s="48" t="s">
        <v>1510</v>
      </c>
      <c r="AC248" s="43" t="s">
        <v>204</v>
      </c>
      <c r="AD248" s="46" t="s">
        <v>144</v>
      </c>
      <c r="AE248" s="46" t="s">
        <v>172</v>
      </c>
      <c r="AF248" s="88" t="s">
        <v>210</v>
      </c>
      <c r="AG248" s="105">
        <f>IF(TAB_HISTORICO_MANUT[[#This Row],[Hora Inicio]]="","",MONTH(TAB_HISTORICO_MANUT[[#This Row],[Hora Inicio]]))</f>
        <v>9</v>
      </c>
      <c r="AH248" s="58" t="s">
        <v>1518</v>
      </c>
      <c r="AI248" s="43" t="s">
        <v>235</v>
      </c>
      <c r="AJ248" s="43" t="s">
        <v>717</v>
      </c>
      <c r="AK248" s="43" t="s">
        <v>422</v>
      </c>
      <c r="AL248" s="43" t="s">
        <v>279</v>
      </c>
      <c r="AM248" s="114" t="s">
        <v>280</v>
      </c>
      <c r="AN248" s="115" t="s">
        <v>217</v>
      </c>
      <c r="AO248" s="115" t="s">
        <v>705</v>
      </c>
      <c r="AP248" s="115" t="s">
        <v>218</v>
      </c>
    </row>
    <row r="249" spans="1:42" ht="50.1" customHeight="1" x14ac:dyDescent="0.25">
      <c r="A249" s="43">
        <f>MONTH(TAB_HISTORICO_MANUT[[#This Row],[Hora Final]])-MONTH(TAB_HISTORICO_MANUT[[#This Row],[Hora Inicio]])</f>
        <v>0</v>
      </c>
      <c r="B249" s="42"/>
      <c r="C249" s="43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Inicio]]=Z248,TAB_HISTORICO_MANUT[[#This Row],[Equipamento]]=AA248,TAB_HISTORICO_MANUT[[#This Row],[Descricao Despacho]]=AD248),0,1)))</f>
        <v>1</v>
      </c>
      <c r="O24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24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24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249" s="107">
        <f>IF($Q249="","",(TAB_HISTORICO_MANUT[[#This Row],[Hora Final]]-TAB_HISTORICO_MANUT[[#This Row],[Hora Inicio]])*24)</f>
        <v>0.46055555547354743</v>
      </c>
      <c r="S24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49" s="109" t="str">
        <f>IF(AND(TAB_HISTORICO_MANUT[[#This Row],[EXPURGO Mãe]]="SIM",TAB_HISTORICO_MANUT[[#This Row],[Tipo]]="MÃE"),"EXP.MAE",IF(TAB_HISTORICO_MANUT[[#This Row],[EXPURGO Mãe]]="NÃO","NÃO EXP.MAE",T248))</f>
        <v>NÃO EXP.MAE</v>
      </c>
      <c r="U24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49" s="56">
        <f>IF(TAB_HISTORICO_MANUT[[#This Row],[EXPURGO Filhas]]="SIM",MAX(TAB_HISTORICO_MANUT[[#This Row],[Hora Final]]-TAB_HISTORICO_MANUT[[#This Row],[Hora Inicio]],0),0)</f>
        <v>0</v>
      </c>
      <c r="W24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4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49" s="46">
        <v>46271.117442129631</v>
      </c>
      <c r="Z249" s="47">
        <v>46271.136631944442</v>
      </c>
      <c r="AA249" s="48" t="s">
        <v>209</v>
      </c>
      <c r="AB249" s="48"/>
      <c r="AC249" s="43" t="s">
        <v>205</v>
      </c>
      <c r="AD249" s="46" t="s">
        <v>145</v>
      </c>
      <c r="AE249" s="46" t="s">
        <v>173</v>
      </c>
      <c r="AF249" s="88" t="s">
        <v>210</v>
      </c>
      <c r="AG249" s="105">
        <f>IF(TAB_HISTORICO_MANUT[[#This Row],[Hora Inicio]]="","",MONTH(TAB_HISTORICO_MANUT[[#This Row],[Hora Inicio]]))</f>
        <v>9</v>
      </c>
      <c r="AH249" s="58"/>
      <c r="AI249" s="43" t="s">
        <v>21</v>
      </c>
      <c r="AJ249" s="43" t="s">
        <v>21</v>
      </c>
      <c r="AK249" s="43" t="s">
        <v>21</v>
      </c>
      <c r="AL249" s="43" t="s">
        <v>21</v>
      </c>
      <c r="AM249" s="114" t="s">
        <v>21</v>
      </c>
      <c r="AN249" s="43"/>
      <c r="AO249" s="43"/>
      <c r="AP249" s="43"/>
    </row>
    <row r="250" spans="1:42" ht="50.1" customHeight="1" x14ac:dyDescent="0.25">
      <c r="A250" s="43">
        <f>MONTH(TAB_HISTORICO_MANUT[[#This Row],[Hora Final]])-MONTH(TAB_HISTORICO_MANUT[[#This Row],[Hora Inicio]])</f>
        <v>0</v>
      </c>
      <c r="B250" s="42"/>
      <c r="C250" s="43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Inicio]]=Z249,TAB_HISTORICO_MANUT[[#This Row],[Equipamento]]=AA249,TAB_HISTORICO_MANUT[[#This Row],[Descricao Despacho]]=AD249),0,1)))</f>
        <v>1</v>
      </c>
      <c r="O25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AR CONDICIONADO</v>
      </c>
      <c r="P250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5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50" s="50">
        <f>IF($Q250="","",(TAB_HISTORICO_MANUT[[#This Row],[Hora Final]]-TAB_HISTORICO_MANUT[[#This Row],[Hora Inicio]])*24)</f>
        <v>3.4350000000558794</v>
      </c>
      <c r="S25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50" s="54" t="str">
        <f>IF(AND(TAB_HISTORICO_MANUT[[#This Row],[EXPURGO Mãe]]="SIM",TAB_HISTORICO_MANUT[[#This Row],[Tipo]]="MÃE"),"EXP.MAE",IF(TAB_HISTORICO_MANUT[[#This Row],[EXPURGO Mãe]]="NÃO","NÃO EXP.MAE",T249))</f>
        <v>NÃO EXP.MAE</v>
      </c>
      <c r="U25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50" s="56">
        <f>IF(TAB_HISTORICO_MANUT[[#This Row],[EXPURGO Filhas]]="SIM",MAX(TAB_HISTORICO_MANUT[[#This Row],[Hora Final]]-TAB_HISTORICO_MANUT[[#This Row],[Hora Inicio]],0),0)</f>
        <v>0</v>
      </c>
      <c r="W25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5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50" s="46">
        <v>46272.774398148147</v>
      </c>
      <c r="Z250" s="47">
        <v>46272.917523148149</v>
      </c>
      <c r="AA250" s="48" t="s">
        <v>209</v>
      </c>
      <c r="AB250" s="48" t="s">
        <v>1515</v>
      </c>
      <c r="AC250" s="43" t="s">
        <v>204</v>
      </c>
      <c r="AD250" s="46" t="s">
        <v>144</v>
      </c>
      <c r="AE250" s="46" t="s">
        <v>172</v>
      </c>
      <c r="AF250" s="88" t="s">
        <v>210</v>
      </c>
      <c r="AG250" s="105">
        <f>IF(TAB_HISTORICO_MANUT[[#This Row],[Hora Inicio]]="","",MONTH(TAB_HISTORICO_MANUT[[#This Row],[Hora Inicio]]))</f>
        <v>9</v>
      </c>
      <c r="AH250" s="58" t="s">
        <v>1529</v>
      </c>
      <c r="AI250" s="43" t="s">
        <v>37</v>
      </c>
      <c r="AJ250" s="43" t="s">
        <v>22</v>
      </c>
      <c r="AK250" s="43" t="s">
        <v>543</v>
      </c>
      <c r="AL250" s="43" t="s">
        <v>282</v>
      </c>
      <c r="AM250" s="114" t="s">
        <v>276</v>
      </c>
      <c r="AN250" s="43" t="s">
        <v>215</v>
      </c>
      <c r="AO250" s="43" t="s">
        <v>680</v>
      </c>
      <c r="AP250" s="43" t="s">
        <v>1530</v>
      </c>
    </row>
    <row r="251" spans="1:42" ht="50.1" customHeight="1" x14ac:dyDescent="0.25">
      <c r="A251" s="43">
        <f>MONTH(TAB_HISTORICO_MANUT[[#This Row],[Hora Final]])-MONTH(TAB_HISTORICO_MANUT[[#This Row],[Hora Inicio]])</f>
        <v>0</v>
      </c>
      <c r="B251" s="42"/>
      <c r="C251" s="43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Inicio]]=Z250,TAB_HISTORICO_MANUT[[#This Row],[Equipamento]]=AA250,TAB_HISTORICO_MANUT[[#This Row],[Descricao Despacho]]=AD250),0,1)))</f>
        <v>1</v>
      </c>
      <c r="O25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251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5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51" s="50">
        <f>IF($Q251="","",(TAB_HISTORICO_MANUT[[#This Row],[Hora Final]]-TAB_HISTORICO_MANUT[[#This Row],[Hora Inicio]])*24)</f>
        <v>0.60166666674194857</v>
      </c>
      <c r="S25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51" s="54" t="str">
        <f>IF(AND(TAB_HISTORICO_MANUT[[#This Row],[EXPURGO Mãe]]="SIM",TAB_HISTORICO_MANUT[[#This Row],[Tipo]]="MÃE"),"EXP.MAE",IF(TAB_HISTORICO_MANUT[[#This Row],[EXPURGO Mãe]]="NÃO","NÃO EXP.MAE",T250))</f>
        <v>NÃO EXP.MAE</v>
      </c>
      <c r="U25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51" s="56">
        <f>IF(TAB_HISTORICO_MANUT[[#This Row],[EXPURGO Filhas]]="SIM",MAX(TAB_HISTORICO_MANUT[[#This Row],[Hora Final]]-TAB_HISTORICO_MANUT[[#This Row],[Hora Inicio]],0),0)</f>
        <v>0</v>
      </c>
      <c r="W25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5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51" s="46">
        <v>46275.596365740741</v>
      </c>
      <c r="Z251" s="47">
        <v>46275.621435185189</v>
      </c>
      <c r="AA251" s="48" t="s">
        <v>209</v>
      </c>
      <c r="AB251" s="48" t="s">
        <v>1558</v>
      </c>
      <c r="AC251" s="43" t="s">
        <v>204</v>
      </c>
      <c r="AD251" s="46" t="s">
        <v>144</v>
      </c>
      <c r="AE251" s="46" t="s">
        <v>172</v>
      </c>
      <c r="AF251" s="88" t="s">
        <v>210</v>
      </c>
      <c r="AG251" s="105">
        <f>IF(TAB_HISTORICO_MANUT[[#This Row],[Hora Inicio]]="","",MONTH(TAB_HISTORICO_MANUT[[#This Row],[Hora Inicio]]))</f>
        <v>9</v>
      </c>
      <c r="AH251" s="58" t="s">
        <v>1564</v>
      </c>
      <c r="AI251" s="43" t="s">
        <v>235</v>
      </c>
      <c r="AJ251" s="43" t="s">
        <v>223</v>
      </c>
      <c r="AK251" s="43" t="s">
        <v>422</v>
      </c>
      <c r="AL251" s="43" t="s">
        <v>279</v>
      </c>
      <c r="AM251" s="114" t="s">
        <v>280</v>
      </c>
      <c r="AN251" s="43" t="s">
        <v>217</v>
      </c>
      <c r="AO251" s="43" t="s">
        <v>705</v>
      </c>
      <c r="AP251" s="43" t="s">
        <v>218</v>
      </c>
    </row>
    <row r="252" spans="1:42" ht="50.1" customHeight="1" x14ac:dyDescent="0.25">
      <c r="A252" s="115">
        <f>MONTH(TAB_HISTORICO_MANUT[[#This Row],[Hora Final]])-MONTH(TAB_HISTORICO_MANUT[[#This Row],[Hora Inicio]])</f>
        <v>0</v>
      </c>
      <c r="B252" s="116"/>
      <c r="C252" s="115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Inicio]]=Z251,TAB_HISTORICO_MANUT[[#This Row],[Equipamento]]=AA251,TAB_HISTORICO_MANUT[[#This Row],[Descricao Despacho]]=AD251),0,1)))</f>
        <v>1</v>
      </c>
      <c r="O25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25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25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252" s="107">
        <f>IF($Q252="","",(TAB_HISTORICO_MANUT[[#This Row],[Hora Final]]-TAB_HISTORICO_MANUT[[#This Row],[Hora Inicio]])*24)</f>
        <v>2.3622222222620621</v>
      </c>
      <c r="S25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252" s="109" t="str">
        <f>IF(AND(TAB_HISTORICO_MANUT[[#This Row],[EXPURGO Mãe]]="SIM",TAB_HISTORICO_MANUT[[#This Row],[Tipo]]="MÃE"),"EXP.MAE",IF(TAB_HISTORICO_MANUT[[#This Row],[EXPURGO Mãe]]="NÃO","NÃO EXP.MAE",T251))</f>
        <v>EXP.MAE</v>
      </c>
      <c r="U25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52" s="110">
        <f>IF(TAB_HISTORICO_MANUT[[#This Row],[EXPURGO Filhas]]="SIM",MAX(TAB_HISTORICO_MANUT[[#This Row],[Hora Final]]-TAB_HISTORICO_MANUT[[#This Row],[Hora Inicio]],0),0)</f>
        <v>0</v>
      </c>
      <c r="W25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5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52" s="117">
        <v>46276.803449074076</v>
      </c>
      <c r="Z252" s="118">
        <v>46276.901875000003</v>
      </c>
      <c r="AA252" s="119" t="s">
        <v>209</v>
      </c>
      <c r="AB252" s="119"/>
      <c r="AC252" s="115" t="s">
        <v>343</v>
      </c>
      <c r="AD252" s="117" t="s">
        <v>145</v>
      </c>
      <c r="AE252" s="117" t="s">
        <v>188</v>
      </c>
      <c r="AF252" s="88" t="s">
        <v>210</v>
      </c>
      <c r="AG252" s="105">
        <f>IF(TAB_HISTORICO_MANUT[[#This Row],[Hora Inicio]]="","",MONTH(TAB_HISTORICO_MANUT[[#This Row],[Hora Inicio]]))</f>
        <v>9</v>
      </c>
      <c r="AH252" s="120"/>
      <c r="AI252" s="43" t="s">
        <v>21</v>
      </c>
      <c r="AJ252" s="43" t="s">
        <v>21</v>
      </c>
      <c r="AK252" s="43" t="s">
        <v>21</v>
      </c>
      <c r="AL252" s="43" t="s">
        <v>21</v>
      </c>
      <c r="AM252" s="114" t="s">
        <v>21</v>
      </c>
      <c r="AN252" s="115"/>
      <c r="AO252" s="115"/>
      <c r="AP252" s="115"/>
    </row>
    <row r="253" spans="1:42" ht="50.1" customHeight="1" x14ac:dyDescent="0.25">
      <c r="A253" s="115">
        <f>MONTH(TAB_HISTORICO_MANUT[[#This Row],[Hora Final]])-MONTH(TAB_HISTORICO_MANUT[[#This Row],[Hora Inicio]])</f>
        <v>0</v>
      </c>
      <c r="B253" s="116"/>
      <c r="C253" s="115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Inicio]]=Z252,TAB_HISTORICO_MANUT[[#This Row],[Equipamento]]=AA252,TAB_HISTORICO_MANUT[[#This Row],[Descricao Despacho]]=AD252),0,1)))</f>
        <v>1</v>
      </c>
      <c r="O25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25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5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53" s="107">
        <f>IF($Q253="","",(TAB_HISTORICO_MANUT[[#This Row],[Hora Final]]-TAB_HISTORICO_MANUT[[#This Row],[Hora Inicio]])*24)</f>
        <v>3.6713888888480142</v>
      </c>
      <c r="S25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53" s="109" t="str">
        <f>IF(AND(TAB_HISTORICO_MANUT[[#This Row],[EXPURGO Mãe]]="SIM",TAB_HISTORICO_MANUT[[#This Row],[Tipo]]="MÃE"),"EXP.MAE",IF(TAB_HISTORICO_MANUT[[#This Row],[EXPURGO Mãe]]="NÃO","NÃO EXP.MAE",T252))</f>
        <v>NÃO EXP.MAE</v>
      </c>
      <c r="U25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53" s="110">
        <f>IF(TAB_HISTORICO_MANUT[[#This Row],[EXPURGO Filhas]]="SIM",MAX(TAB_HISTORICO_MANUT[[#This Row],[Hora Final]]-TAB_HISTORICO_MANUT[[#This Row],[Hora Inicio]],0),0)</f>
        <v>0</v>
      </c>
      <c r="W25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5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53" s="46">
        <v>46278.529722222222</v>
      </c>
      <c r="Z253" s="47">
        <v>46278.682696759257</v>
      </c>
      <c r="AA253" s="48" t="s">
        <v>209</v>
      </c>
      <c r="AB253" s="48"/>
      <c r="AC253" s="43" t="s">
        <v>204</v>
      </c>
      <c r="AD253" s="46" t="s">
        <v>144</v>
      </c>
      <c r="AE253" s="46" t="s">
        <v>172</v>
      </c>
      <c r="AF253" s="88" t="s">
        <v>210</v>
      </c>
      <c r="AG253" s="105">
        <f>IF(TAB_HISTORICO_MANUT[[#This Row],[Hora Inicio]]="","",MONTH(TAB_HISTORICO_MANUT[[#This Row],[Hora Inicio]]))</f>
        <v>9</v>
      </c>
      <c r="AH253" s="120" t="s">
        <v>1571</v>
      </c>
      <c r="AI253" s="43" t="s">
        <v>28</v>
      </c>
      <c r="AJ253" s="43" t="s">
        <v>30</v>
      </c>
      <c r="AK253" s="43" t="s">
        <v>673</v>
      </c>
      <c r="AL253" s="43" t="s">
        <v>1627</v>
      </c>
      <c r="AM253" s="114" t="s">
        <v>1272</v>
      </c>
      <c r="AN253" s="115" t="s">
        <v>217</v>
      </c>
      <c r="AO253" s="115" t="s">
        <v>316</v>
      </c>
      <c r="AP253" s="115" t="s">
        <v>1572</v>
      </c>
    </row>
    <row r="254" spans="1:42" ht="50.1" customHeight="1" x14ac:dyDescent="0.25">
      <c r="A254" s="115">
        <f>MONTH(TAB_HISTORICO_MANUT[[#This Row],[Hora Final]])-MONTH(TAB_HISTORICO_MANUT[[#This Row],[Hora Inicio]])</f>
        <v>0</v>
      </c>
      <c r="B254" s="116"/>
      <c r="C254" s="115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Inicio]]=Z253,TAB_HISTORICO_MANUT[[#This Row],[Equipamento]]=AA253,TAB_HISTORICO_MANUT[[#This Row],[Descricao Despacho]]=AD253),0,1)))</f>
        <v>1</v>
      </c>
      <c r="O25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25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5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254" s="107">
        <f>IF($Q254="","",(TAB_HISTORICO_MANUT[[#This Row],[Hora Final]]-TAB_HISTORICO_MANUT[[#This Row],[Hora Inicio]])*24)</f>
        <v>2.8047222221503034</v>
      </c>
      <c r="S25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254" s="109" t="str">
        <f>IF(AND(TAB_HISTORICO_MANUT[[#This Row],[EXPURGO Mãe]]="SIM",TAB_HISTORICO_MANUT[[#This Row],[Tipo]]="MÃE"),"EXP.MAE",IF(TAB_HISTORICO_MANUT[[#This Row],[EXPURGO Mãe]]="NÃO","NÃO EXP.MAE",T253))</f>
        <v>EXP.MAE</v>
      </c>
      <c r="U25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54" s="110">
        <f>IF(TAB_HISTORICO_MANUT[[#This Row],[EXPURGO Filhas]]="SIM",MAX(TAB_HISTORICO_MANUT[[#This Row],[Hora Final]]-TAB_HISTORICO_MANUT[[#This Row],[Hora Inicio]],0),0)</f>
        <v>0</v>
      </c>
      <c r="W25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5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54" s="46">
        <v>46278.687222222223</v>
      </c>
      <c r="Z254" s="47">
        <v>46278.804085648146</v>
      </c>
      <c r="AA254" s="48" t="s">
        <v>209</v>
      </c>
      <c r="AB254" s="48"/>
      <c r="AC254" s="43" t="s">
        <v>300</v>
      </c>
      <c r="AD254" s="46" t="s">
        <v>146</v>
      </c>
      <c r="AE254" s="46" t="s">
        <v>178</v>
      </c>
      <c r="AF254" s="88" t="s">
        <v>210</v>
      </c>
      <c r="AG254" s="105">
        <f>IF(TAB_HISTORICO_MANUT[[#This Row],[Hora Inicio]]="","",MONTH(TAB_HISTORICO_MANUT[[#This Row],[Hora Inicio]]))</f>
        <v>9</v>
      </c>
      <c r="AH254" s="120" t="s">
        <v>1625</v>
      </c>
      <c r="AI254" s="43" t="s">
        <v>340</v>
      </c>
      <c r="AJ254" s="43" t="s">
        <v>436</v>
      </c>
      <c r="AK254" s="43" t="s">
        <v>1272</v>
      </c>
      <c r="AL254" s="43" t="s">
        <v>1272</v>
      </c>
      <c r="AM254" s="114" t="s">
        <v>1272</v>
      </c>
      <c r="AN254" s="115"/>
      <c r="AO254" s="115"/>
      <c r="AP254" s="115"/>
    </row>
    <row r="255" spans="1:42" ht="50.1" customHeight="1" x14ac:dyDescent="0.25">
      <c r="A255" s="43">
        <f>MONTH(TAB_HISTORICO_MANUT[[#This Row],[Hora Final]])-MONTH(TAB_HISTORICO_MANUT[[#This Row],[Hora Inicio]])</f>
        <v>0</v>
      </c>
      <c r="B255" s="42"/>
      <c r="C255" s="43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Inicio]]=Z254,TAB_HISTORICO_MANUT[[#This Row],[Equipamento]]=AA254,TAB_HISTORICO_MANUT[[#This Row],[Descricao Despacho]]=AD254),0,1)))</f>
        <v>0</v>
      </c>
      <c r="O25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25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5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255" s="107">
        <f>IF($Q255="","",(TAB_HISTORICO_MANUT[[#This Row],[Hora Final]]-TAB_HISTORICO_MANUT[[#This Row],[Hora Inicio]])*24)</f>
        <v>8.0416666666860692</v>
      </c>
      <c r="S25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55" s="109" t="str">
        <f>IF(AND(TAB_HISTORICO_MANUT[[#This Row],[EXPURGO Mãe]]="SIM",TAB_HISTORICO_MANUT[[#This Row],[Tipo]]="MÃE"),"EXP.MAE",IF(TAB_HISTORICO_MANUT[[#This Row],[EXPURGO Mãe]]="NÃO","NÃO EXP.MAE",T254))</f>
        <v>NÃO EXP.MAE</v>
      </c>
      <c r="U25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55" s="56">
        <f>IF(TAB_HISTORICO_MANUT[[#This Row],[EXPURGO Filhas]]="SIM",MAX(TAB_HISTORICO_MANUT[[#This Row],[Hora Final]]-TAB_HISTORICO_MANUT[[#This Row],[Hora Inicio]],0),0)</f>
        <v>0</v>
      </c>
      <c r="W25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5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55" s="46">
        <v>46278.804085648146</v>
      </c>
      <c r="Z255" s="47">
        <v>46279.139155092591</v>
      </c>
      <c r="AA255" s="48" t="s">
        <v>209</v>
      </c>
      <c r="AB255" s="48"/>
      <c r="AC255" s="43" t="s">
        <v>301</v>
      </c>
      <c r="AD255" s="46" t="s">
        <v>146</v>
      </c>
      <c r="AE255" s="46" t="s">
        <v>310</v>
      </c>
      <c r="AF255" s="88" t="s">
        <v>210</v>
      </c>
      <c r="AG255" s="105">
        <f>IF(TAB_HISTORICO_MANUT[[#This Row],[Hora Inicio]]="","",MONTH(TAB_HISTORICO_MANUT[[#This Row],[Hora Inicio]]))</f>
        <v>9</v>
      </c>
      <c r="AH255" s="120" t="s">
        <v>1625</v>
      </c>
      <c r="AI255" s="43" t="s">
        <v>340</v>
      </c>
      <c r="AJ255" s="43" t="s">
        <v>436</v>
      </c>
      <c r="AK255" s="43" t="s">
        <v>1272</v>
      </c>
      <c r="AL255" s="43" t="s">
        <v>1272</v>
      </c>
      <c r="AM255" s="114" t="s">
        <v>1272</v>
      </c>
      <c r="AN255" s="43"/>
      <c r="AO255" s="43"/>
      <c r="AP255" s="43"/>
    </row>
    <row r="256" spans="1:42" ht="50.1" customHeight="1" x14ac:dyDescent="0.25">
      <c r="A256" s="115">
        <f>MONTH(TAB_HISTORICO_MANUT[[#This Row],[Hora Final]])-MONTH(TAB_HISTORICO_MANUT[[#This Row],[Hora Inicio]])</f>
        <v>0</v>
      </c>
      <c r="B256" s="116"/>
      <c r="C256" s="115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Inicio]]=Z255,TAB_HISTORICO_MANUT[[#This Row],[Equipamento]]=AA255,TAB_HISTORICO_MANUT[[#This Row],[Descricao Despacho]]=AD255),0,1)))</f>
        <v>1</v>
      </c>
      <c r="O25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25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5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256" s="107">
        <f>IF($Q256="","",(TAB_HISTORICO_MANUT[[#This Row],[Hora Final]]-TAB_HISTORICO_MANUT[[#This Row],[Hora Inicio]])*24)</f>
        <v>1.1641666667419486</v>
      </c>
      <c r="S25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56" s="109" t="str">
        <f>IF(AND(TAB_HISTORICO_MANUT[[#This Row],[EXPURGO Mãe]]="SIM",TAB_HISTORICO_MANUT[[#This Row],[Tipo]]="MÃE"),"EXP.MAE",IF(TAB_HISTORICO_MANUT[[#This Row],[EXPURGO Mãe]]="NÃO","NÃO EXP.MAE",T255))</f>
        <v>NÃO EXP.MAE</v>
      </c>
      <c r="U25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56" s="110">
        <f>IF(TAB_HISTORICO_MANUT[[#This Row],[EXPURGO Filhas]]="SIM",MAX(TAB_HISTORICO_MANUT[[#This Row],[Hora Final]]-TAB_HISTORICO_MANUT[[#This Row],[Hora Inicio]],0),0)</f>
        <v>0</v>
      </c>
      <c r="W25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5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56" s="117">
        <v>46279.428472222222</v>
      </c>
      <c r="Z256" s="47">
        <v>46279.476979166669</v>
      </c>
      <c r="AA256" s="119" t="s">
        <v>209</v>
      </c>
      <c r="AB256" s="119"/>
      <c r="AC256" s="115" t="s">
        <v>882</v>
      </c>
      <c r="AD256" s="117" t="s">
        <v>146</v>
      </c>
      <c r="AE256" s="117" t="s">
        <v>883</v>
      </c>
      <c r="AF256" s="88" t="s">
        <v>210</v>
      </c>
      <c r="AG256" s="105">
        <f>IF(TAB_HISTORICO_MANUT[[#This Row],[Hora Inicio]]="","",MONTH(TAB_HISTORICO_MANUT[[#This Row],[Hora Inicio]]))</f>
        <v>9</v>
      </c>
      <c r="AH256" s="120"/>
      <c r="AI256" s="115" t="s">
        <v>25</v>
      </c>
      <c r="AJ256" s="115" t="s">
        <v>25</v>
      </c>
      <c r="AK256" s="115" t="s">
        <v>25</v>
      </c>
      <c r="AL256" s="115" t="s">
        <v>25</v>
      </c>
      <c r="AM256" s="121" t="s">
        <v>25</v>
      </c>
      <c r="AN256" s="115"/>
      <c r="AO256" s="115"/>
      <c r="AP256" s="115"/>
    </row>
    <row r="257" spans="1:42" ht="50.1" customHeight="1" x14ac:dyDescent="0.25">
      <c r="A257" s="115">
        <f>MONTH(TAB_HISTORICO_MANUT[[#This Row],[Hora Final]])-MONTH(TAB_HISTORICO_MANUT[[#This Row],[Hora Inicio]])</f>
        <v>0</v>
      </c>
      <c r="B257" s="116"/>
      <c r="C257" s="115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Inicio]]=Z256,TAB_HISTORICO_MANUT[[#This Row],[Equipamento]]=AA256,TAB_HISTORICO_MANUT[[#This Row],[Descricao Despacho]]=AD256),0,1)))</f>
        <v>1</v>
      </c>
      <c r="O25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25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25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257" s="107">
        <f>IF($Q257="","",(TAB_HISTORICO_MANUT[[#This Row],[Hora Final]]-TAB_HISTORICO_MANUT[[#This Row],[Hora Inicio]])*24)</f>
        <v>1.0941666667931713</v>
      </c>
      <c r="S25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57" s="109" t="str">
        <f>IF(AND(TAB_HISTORICO_MANUT[[#This Row],[EXPURGO Mãe]]="SIM",TAB_HISTORICO_MANUT[[#This Row],[Tipo]]="MÃE"),"EXP.MAE",IF(TAB_HISTORICO_MANUT[[#This Row],[EXPURGO Mãe]]="NÃO","NÃO EXP.MAE",T256))</f>
        <v>NÃO EXP.MAE</v>
      </c>
      <c r="U25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57" s="110">
        <f>IF(TAB_HISTORICO_MANUT[[#This Row],[EXPURGO Filhas]]="SIM",MAX(TAB_HISTORICO_MANUT[[#This Row],[Hora Final]]-TAB_HISTORICO_MANUT[[#This Row],[Hora Inicio]],0),0)</f>
        <v>0</v>
      </c>
      <c r="W25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5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57" s="46">
        <v>46280.354629629626</v>
      </c>
      <c r="Z257" s="47">
        <v>46280.400219907409</v>
      </c>
      <c r="AA257" s="48" t="s">
        <v>209</v>
      </c>
      <c r="AB257" s="48"/>
      <c r="AC257" s="43" t="s">
        <v>205</v>
      </c>
      <c r="AD257" s="46" t="s">
        <v>145</v>
      </c>
      <c r="AE257" s="46" t="s">
        <v>173</v>
      </c>
      <c r="AF257" s="88" t="s">
        <v>210</v>
      </c>
      <c r="AG257" s="105">
        <f>IF(TAB_HISTORICO_MANUT[[#This Row],[Hora Inicio]]="","",MONTH(TAB_HISTORICO_MANUT[[#This Row],[Hora Inicio]]))</f>
        <v>9</v>
      </c>
      <c r="AH257" s="58" t="s">
        <v>630</v>
      </c>
      <c r="AI257" s="43" t="s">
        <v>21</v>
      </c>
      <c r="AJ257" s="43" t="s">
        <v>21</v>
      </c>
      <c r="AK257" s="43" t="s">
        <v>21</v>
      </c>
      <c r="AL257" s="43" t="s">
        <v>21</v>
      </c>
      <c r="AM257" s="43" t="s">
        <v>21</v>
      </c>
      <c r="AN257" s="43"/>
      <c r="AO257" s="43"/>
      <c r="AP257" s="43"/>
    </row>
    <row r="258" spans="1:42" ht="50.1" customHeight="1" x14ac:dyDescent="0.25">
      <c r="A258" s="115">
        <f>MONTH(TAB_HISTORICO_MANUT[[#This Row],[Hora Final]])-MONTH(TAB_HISTORICO_MANUT[[#This Row],[Hora Inicio]])</f>
        <v>0</v>
      </c>
      <c r="B258" s="116"/>
      <c r="C258" s="115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Inicio]]=Z257,TAB_HISTORICO_MANUT[[#This Row],[Equipamento]]=AA257,TAB_HISTORICO_MANUT[[#This Row],[Descricao Despacho]]=AD257),0,1)))</f>
        <v>1</v>
      </c>
      <c r="O25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25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5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58" s="107">
        <f>IF($Q258="","",(TAB_HISTORICO_MANUT[[#This Row],[Hora Final]]-TAB_HISTORICO_MANUT[[#This Row],[Hora Inicio]])*24)</f>
        <v>1.8641666667535901</v>
      </c>
      <c r="S25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58" s="109" t="str">
        <f>IF(AND(TAB_HISTORICO_MANUT[[#This Row],[EXPURGO Mãe]]="SIM",TAB_HISTORICO_MANUT[[#This Row],[Tipo]]="MÃE"),"EXP.MAE",IF(TAB_HISTORICO_MANUT[[#This Row],[EXPURGO Mãe]]="NÃO","NÃO EXP.MAE",T257))</f>
        <v>NÃO EXP.MAE</v>
      </c>
      <c r="U25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58" s="110">
        <f>IF(TAB_HISTORICO_MANUT[[#This Row],[EXPURGO Filhas]]="SIM",MAX(TAB_HISTORICO_MANUT[[#This Row],[Hora Final]]-TAB_HISTORICO_MANUT[[#This Row],[Hora Inicio]],0),0)</f>
        <v>0</v>
      </c>
      <c r="W25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5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58" s="46">
        <v>46285.25</v>
      </c>
      <c r="Z258" s="47">
        <v>46285.327673611115</v>
      </c>
      <c r="AA258" s="48" t="s">
        <v>209</v>
      </c>
      <c r="AB258" s="48" t="s">
        <v>1584</v>
      </c>
      <c r="AC258" s="43" t="s">
        <v>204</v>
      </c>
      <c r="AD258" s="46" t="s">
        <v>144</v>
      </c>
      <c r="AE258" s="46" t="s">
        <v>172</v>
      </c>
      <c r="AF258" s="88" t="s">
        <v>210</v>
      </c>
      <c r="AG258" s="105">
        <f>IF(TAB_HISTORICO_MANUT[[#This Row],[Hora Inicio]]="","",MONTH(TAB_HISTORICO_MANUT[[#This Row],[Hora Inicio]]))</f>
        <v>9</v>
      </c>
      <c r="AH258" s="58" t="s">
        <v>1599</v>
      </c>
      <c r="AI258" s="43" t="s">
        <v>24</v>
      </c>
      <c r="AJ258" s="43" t="s">
        <v>223</v>
      </c>
      <c r="AK258" s="43" t="s">
        <v>422</v>
      </c>
      <c r="AL258" s="43" t="s">
        <v>279</v>
      </c>
      <c r="AM258" s="43" t="s">
        <v>280</v>
      </c>
      <c r="AN258" s="43" t="s">
        <v>217</v>
      </c>
      <c r="AO258" s="43" t="s">
        <v>405</v>
      </c>
      <c r="AP258" s="43" t="s">
        <v>403</v>
      </c>
    </row>
    <row r="259" spans="1:42" ht="50.1" customHeight="1" x14ac:dyDescent="0.25">
      <c r="A259" s="43">
        <f>MONTH(TAB_HISTORICO_MANUT[[#This Row],[Hora Final]])-MONTH(TAB_HISTORICO_MANUT[[#This Row],[Hora Inicio]])</f>
        <v>0</v>
      </c>
      <c r="B259" s="42"/>
      <c r="C259" s="43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Inicio]]=Z258,TAB_HISTORICO_MANUT[[#This Row],[Equipamento]]=AA258,TAB_HISTORICO_MANUT[[#This Row],[Descricao Despacho]]=AD258),0,1)))</f>
        <v>1</v>
      </c>
      <c r="O25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25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5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59" s="107">
        <f>IF($Q259="","",(TAB_HISTORICO_MANUT[[#This Row],[Hora Final]]-TAB_HISTORICO_MANUT[[#This Row],[Hora Inicio]])*24)</f>
        <v>0.18333333323244005</v>
      </c>
      <c r="S25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59" s="109" t="str">
        <f>IF(AND(TAB_HISTORICO_MANUT[[#This Row],[EXPURGO Mãe]]="SIM",TAB_HISTORICO_MANUT[[#This Row],[Tipo]]="MÃE"),"EXP.MAE",IF(TAB_HISTORICO_MANUT[[#This Row],[EXPURGO Mãe]]="NÃO","NÃO EXP.MAE",T258))</f>
        <v>NÃO EXP.MAE</v>
      </c>
      <c r="U25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59" s="56">
        <f>IF(TAB_HISTORICO_MANUT[[#This Row],[EXPURGO Filhas]]="SIM",MAX(TAB_HISTORICO_MANUT[[#This Row],[Hora Final]]-TAB_HISTORICO_MANUT[[#This Row],[Hora Inicio]],0),0)</f>
        <v>0</v>
      </c>
      <c r="W25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5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59" s="46">
        <v>46285.36277777778</v>
      </c>
      <c r="Z259" s="47">
        <v>46285.370416666665</v>
      </c>
      <c r="AA259" s="48" t="s">
        <v>209</v>
      </c>
      <c r="AB259" s="48" t="s">
        <v>1584</v>
      </c>
      <c r="AC259" s="43" t="s">
        <v>204</v>
      </c>
      <c r="AD259" s="46" t="s">
        <v>144</v>
      </c>
      <c r="AE259" s="46" t="s">
        <v>172</v>
      </c>
      <c r="AF259" s="88" t="s">
        <v>210</v>
      </c>
      <c r="AG259" s="105">
        <f>IF(TAB_HISTORICO_MANUT[[#This Row],[Hora Inicio]]="","",MONTH(TAB_HISTORICO_MANUT[[#This Row],[Hora Inicio]]))</f>
        <v>9</v>
      </c>
      <c r="AH259" s="58" t="s">
        <v>1600</v>
      </c>
      <c r="AI259" s="43" t="s">
        <v>235</v>
      </c>
      <c r="AJ259" s="43" t="s">
        <v>223</v>
      </c>
      <c r="AK259" s="43" t="s">
        <v>422</v>
      </c>
      <c r="AL259" s="43" t="s">
        <v>279</v>
      </c>
      <c r="AM259" s="43" t="s">
        <v>280</v>
      </c>
      <c r="AN259" s="43" t="s">
        <v>217</v>
      </c>
      <c r="AO259" s="43" t="s">
        <v>405</v>
      </c>
      <c r="AP259" s="43" t="s">
        <v>403</v>
      </c>
    </row>
    <row r="260" spans="1:42" ht="50.1" customHeight="1" x14ac:dyDescent="0.25">
      <c r="A260" s="43">
        <f>MONTH(TAB_HISTORICO_MANUT[[#This Row],[Hora Final]])-MONTH(TAB_HISTORICO_MANUT[[#This Row],[Hora Inicio]])</f>
        <v>0</v>
      </c>
      <c r="B260" s="42"/>
      <c r="C260" s="43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Inicio]]=Z259,TAB_HISTORICO_MANUT[[#This Row],[Equipamento]]=AA259,TAB_HISTORICO_MANUT[[#This Row],[Descricao Despacho]]=AD259),0,1)))</f>
        <v>1</v>
      </c>
      <c r="O26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AR CONDICIONADO</v>
      </c>
      <c r="P260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6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60" s="50">
        <f>IF($Q260="","",(TAB_HISTORICO_MANUT[[#This Row],[Hora Final]]-TAB_HISTORICO_MANUT[[#This Row],[Hora Inicio]])*24)</f>
        <v>6.097500000090804</v>
      </c>
      <c r="S26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60" s="54" t="str">
        <f>IF(AND(TAB_HISTORICO_MANUT[[#This Row],[EXPURGO Mãe]]="SIM",TAB_HISTORICO_MANUT[[#This Row],[Tipo]]="MÃE"),"EXP.MAE",IF(TAB_HISTORICO_MANUT[[#This Row],[EXPURGO Mãe]]="NÃO","NÃO EXP.MAE",T259))</f>
        <v>NÃO EXP.MAE</v>
      </c>
      <c r="U26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60" s="56">
        <f>IF(TAB_HISTORICO_MANUT[[#This Row],[EXPURGO Filhas]]="SIM",MAX(TAB_HISTORICO_MANUT[[#This Row],[Hora Final]]-TAB_HISTORICO_MANUT[[#This Row],[Hora Inicio]],0),0)</f>
        <v>0</v>
      </c>
      <c r="W26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6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60" s="46">
        <v>46285.656145833331</v>
      </c>
      <c r="Z260" s="47">
        <v>46285.910208333335</v>
      </c>
      <c r="AA260" s="48" t="s">
        <v>209</v>
      </c>
      <c r="AB260" s="48" t="s">
        <v>1585</v>
      </c>
      <c r="AC260" s="43" t="s">
        <v>204</v>
      </c>
      <c r="AD260" s="46" t="s">
        <v>144</v>
      </c>
      <c r="AE260" s="46" t="s">
        <v>172</v>
      </c>
      <c r="AF260" s="88" t="s">
        <v>210</v>
      </c>
      <c r="AG260" s="105">
        <f>IF(TAB_HISTORICO_MANUT[[#This Row],[Hora Inicio]]="","",MONTH(TAB_HISTORICO_MANUT[[#This Row],[Hora Inicio]]))</f>
        <v>9</v>
      </c>
      <c r="AH260" s="58" t="s">
        <v>1601</v>
      </c>
      <c r="AI260" s="43" t="s">
        <v>37</v>
      </c>
      <c r="AJ260" s="43" t="s">
        <v>273</v>
      </c>
      <c r="AK260" s="43" t="s">
        <v>1626</v>
      </c>
      <c r="AL260" s="43" t="s">
        <v>354</v>
      </c>
      <c r="AM260" s="114" t="s">
        <v>355</v>
      </c>
      <c r="AN260" s="43" t="s">
        <v>217</v>
      </c>
      <c r="AO260" s="43" t="s">
        <v>216</v>
      </c>
      <c r="AP260" s="43" t="s">
        <v>757</v>
      </c>
    </row>
    <row r="261" spans="1:42" ht="50.1" customHeight="1" x14ac:dyDescent="0.25">
      <c r="A261" s="115">
        <f>MONTH(TAB_HISTORICO_MANUT[[#This Row],[Hora Final]])-MONTH(TAB_HISTORICO_MANUT[[#This Row],[Hora Inicio]])</f>
        <v>0</v>
      </c>
      <c r="B261" s="116"/>
      <c r="C261" s="115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Inicio]]=Z260,TAB_HISTORICO_MANUT[[#This Row],[Equipamento]]=AA260,TAB_HISTORICO_MANUT[[#This Row],[Descricao Despacho]]=AD260),0,1)))</f>
        <v>1</v>
      </c>
      <c r="O26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26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6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261" s="107">
        <f>IF($Q261="","",(TAB_HISTORICO_MANUT[[#This Row],[Hora Final]]-TAB_HISTORICO_MANUT[[#This Row],[Hora Inicio]])*24)</f>
        <v>1.218333333323244</v>
      </c>
      <c r="S26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61" s="109" t="str">
        <f>IF(AND(TAB_HISTORICO_MANUT[[#This Row],[EXPURGO Mãe]]="SIM",TAB_HISTORICO_MANUT[[#This Row],[Tipo]]="MÃE"),"EXP.MAE",IF(TAB_HISTORICO_MANUT[[#This Row],[EXPURGO Mãe]]="NÃO","NÃO EXP.MAE",T260))</f>
        <v>NÃO EXP.MAE</v>
      </c>
      <c r="U26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61" s="110">
        <f>IF(TAB_HISTORICO_MANUT[[#This Row],[EXPURGO Filhas]]="SIM",MAX(TAB_HISTORICO_MANUT[[#This Row],[Hora Final]]-TAB_HISTORICO_MANUT[[#This Row],[Hora Inicio]],0),0)</f>
        <v>0</v>
      </c>
      <c r="W26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6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61" s="117">
        <v>46293.428599537037</v>
      </c>
      <c r="Z261" s="118">
        <v>46293.479363425926</v>
      </c>
      <c r="AA261" s="119" t="s">
        <v>209</v>
      </c>
      <c r="AB261" s="119"/>
      <c r="AC261" s="115" t="s">
        <v>882</v>
      </c>
      <c r="AD261" s="117" t="s">
        <v>146</v>
      </c>
      <c r="AE261" s="117" t="s">
        <v>883</v>
      </c>
      <c r="AF261" s="88" t="s">
        <v>210</v>
      </c>
      <c r="AG261" s="105">
        <f>IF(TAB_HISTORICO_MANUT[[#This Row],[Hora Inicio]]="","",MONTH(TAB_HISTORICO_MANUT[[#This Row],[Hora Inicio]]))</f>
        <v>9</v>
      </c>
      <c r="AH261" s="120" t="s">
        <v>601</v>
      </c>
      <c r="AI261" s="115" t="s">
        <v>25</v>
      </c>
      <c r="AJ261" s="115" t="s">
        <v>25</v>
      </c>
      <c r="AK261" s="115" t="s">
        <v>25</v>
      </c>
      <c r="AL261" s="115" t="s">
        <v>25</v>
      </c>
      <c r="AM261" s="115" t="s">
        <v>25</v>
      </c>
      <c r="AN261" s="115"/>
      <c r="AO261" s="115"/>
      <c r="AP261" s="115"/>
    </row>
    <row r="262" spans="1:42" ht="50.1" customHeight="1" x14ac:dyDescent="0.25">
      <c r="A262" s="43">
        <f>MONTH(TAB_HISTORICO_MANUT[[#This Row],[Hora Final]])-MONTH(TAB_HISTORICO_MANUT[[#This Row],[Hora Inicio]])</f>
        <v>0</v>
      </c>
      <c r="B262" s="42"/>
      <c r="C262" s="43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Inicio]]=Z261,TAB_HISTORICO_MANUT[[#This Row],[Equipamento]]=AA261,TAB_HISTORICO_MANUT[[#This Row],[Descricao Despacho]]=AD261),0,1)))</f>
        <v>1</v>
      </c>
      <c r="O26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262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6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62" s="50">
        <f>IF($Q262="","",(TAB_HISTORICO_MANUT[[#This Row],[Hora Final]]-TAB_HISTORICO_MANUT[[#This Row],[Hora Inicio]])*24)</f>
        <v>0.68333333329064772</v>
      </c>
      <c r="S26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62" s="54" t="str">
        <f>IF(AND(TAB_HISTORICO_MANUT[[#This Row],[EXPURGO Mãe]]="SIM",TAB_HISTORICO_MANUT[[#This Row],[Tipo]]="MÃE"),"EXP.MAE",IF(TAB_HISTORICO_MANUT[[#This Row],[EXPURGO Mãe]]="NÃO","NÃO EXP.MAE",T261))</f>
        <v>NÃO EXP.MAE</v>
      </c>
      <c r="U26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62" s="56">
        <f>IF(TAB_HISTORICO_MANUT[[#This Row],[EXPURGO Filhas]]="SIM",MAX(TAB_HISTORICO_MANUT[[#This Row],[Hora Final]]-TAB_HISTORICO_MANUT[[#This Row],[Hora Inicio]],0),0)</f>
        <v>0</v>
      </c>
      <c r="W26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6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62" s="46">
        <v>46295.007314814815</v>
      </c>
      <c r="Z262" s="47">
        <v>46295.035787037035</v>
      </c>
      <c r="AA262" s="48" t="s">
        <v>209</v>
      </c>
      <c r="AB262" s="48" t="s">
        <v>1639</v>
      </c>
      <c r="AC262" s="43" t="s">
        <v>204</v>
      </c>
      <c r="AD262" s="46" t="s">
        <v>144</v>
      </c>
      <c r="AE262" s="46" t="s">
        <v>172</v>
      </c>
      <c r="AF262" s="88" t="s">
        <v>210</v>
      </c>
      <c r="AG262" s="105">
        <f>IF(TAB_HISTORICO_MANUT[[#This Row],[Hora Inicio]]="","",MONTH(TAB_HISTORICO_MANUT[[#This Row],[Hora Inicio]]))</f>
        <v>9</v>
      </c>
      <c r="AH262" s="58" t="s">
        <v>1640</v>
      </c>
      <c r="AI262" s="43" t="s">
        <v>22</v>
      </c>
      <c r="AJ262" s="43" t="s">
        <v>536</v>
      </c>
      <c r="AK262" s="43" t="s">
        <v>458</v>
      </c>
      <c r="AL262" s="43" t="s">
        <v>282</v>
      </c>
      <c r="AM262" s="114" t="s">
        <v>283</v>
      </c>
      <c r="AN262" s="43" t="s">
        <v>215</v>
      </c>
      <c r="AO262" s="43" t="s">
        <v>657</v>
      </c>
      <c r="AP262" s="43" t="s">
        <v>1641</v>
      </c>
    </row>
    <row r="263" spans="1:42" ht="50.1" customHeight="1" x14ac:dyDescent="0.25">
      <c r="A263" s="43">
        <f>MONTH(TAB_HISTORICO_MANUT[[#This Row],[Hora Final]])-MONTH(TAB_HISTORICO_MANUT[[#This Row],[Hora Inicio]])</f>
        <v>0</v>
      </c>
      <c r="B263" s="42"/>
      <c r="C263" s="43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Inicio]]=Z262,TAB_HISTORICO_MANUT[[#This Row],[Equipamento]]=AA262,TAB_HISTORICO_MANUT[[#This Row],[Descricao Despacho]]=AD262),0,1)))</f>
        <v>1</v>
      </c>
      <c r="O26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263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6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63" s="50">
        <f>IF($Q263="","",(TAB_HISTORICO_MANUT[[#This Row],[Hora Final]]-TAB_HISTORICO_MANUT[[#This Row],[Hora Inicio]])*24)</f>
        <v>0.26277777773793787</v>
      </c>
      <c r="S26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63" s="54" t="str">
        <f>IF(AND(TAB_HISTORICO_MANUT[[#This Row],[EXPURGO Mãe]]="SIM",TAB_HISTORICO_MANUT[[#This Row],[Tipo]]="MÃE"),"EXP.MAE",IF(TAB_HISTORICO_MANUT[[#This Row],[EXPURGO Mãe]]="NÃO","NÃO EXP.MAE",T262))</f>
        <v>NÃO EXP.MAE</v>
      </c>
      <c r="U26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63" s="56">
        <f>IF(TAB_HISTORICO_MANUT[[#This Row],[EXPURGO Filhas]]="SIM",MAX(TAB_HISTORICO_MANUT[[#This Row],[Hora Final]]-TAB_HISTORICO_MANUT[[#This Row],[Hora Inicio]],0),0)</f>
        <v>0</v>
      </c>
      <c r="W26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6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63" s="46">
        <v>46296.947048611109</v>
      </c>
      <c r="Z263" s="47">
        <v>46296.957997685182</v>
      </c>
      <c r="AA263" s="48" t="s">
        <v>209</v>
      </c>
      <c r="AB263" s="48" t="s">
        <v>1642</v>
      </c>
      <c r="AC263" s="43" t="s">
        <v>204</v>
      </c>
      <c r="AD263" s="46" t="s">
        <v>144</v>
      </c>
      <c r="AE263" s="46" t="s">
        <v>172</v>
      </c>
      <c r="AF263" s="88" t="s">
        <v>210</v>
      </c>
      <c r="AG263" s="105">
        <f>IF(TAB_HISTORICO_MANUT[[#This Row],[Hora Inicio]]="","",MONTH(TAB_HISTORICO_MANUT[[#This Row],[Hora Inicio]]))</f>
        <v>10</v>
      </c>
      <c r="AH263" s="58" t="s">
        <v>1643</v>
      </c>
      <c r="AI263" s="43" t="s">
        <v>24</v>
      </c>
      <c r="AJ263" s="43" t="s">
        <v>149</v>
      </c>
      <c r="AK263" s="43" t="s">
        <v>422</v>
      </c>
      <c r="AL263" s="43" t="s">
        <v>279</v>
      </c>
      <c r="AM263" s="114" t="s">
        <v>280</v>
      </c>
      <c r="AN263" s="43" t="s">
        <v>217</v>
      </c>
      <c r="AO263" s="43" t="s">
        <v>1644</v>
      </c>
      <c r="AP263" s="43" t="s">
        <v>1645</v>
      </c>
    </row>
    <row r="264" spans="1:42" ht="50.1" customHeight="1" x14ac:dyDescent="0.25">
      <c r="A264" s="43">
        <f>MONTH(TAB_HISTORICO_MANUT[[#This Row],[Hora Final]])-MONTH(TAB_HISTORICO_MANUT[[#This Row],[Hora Inicio]])</f>
        <v>0</v>
      </c>
      <c r="B264" s="42"/>
      <c r="C264" s="43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Inicio]]=Z263,TAB_HISTORICO_MANUT[[#This Row],[Equipamento]]=AA263,TAB_HISTORICO_MANUT[[#This Row],[Descricao Despacho]]=AD263),0,1)))</f>
        <v>1</v>
      </c>
      <c r="O26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264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6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264" s="50">
        <f>IF($Q264="","",(TAB_HISTORICO_MANUT[[#This Row],[Hora Final]]-TAB_HISTORICO_MANUT[[#This Row],[Hora Inicio]])*24)</f>
        <v>1.8508333334466442</v>
      </c>
      <c r="S26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264" s="54" t="str">
        <f>IF(AND(TAB_HISTORICO_MANUT[[#This Row],[EXPURGO Mãe]]="SIM",TAB_HISTORICO_MANUT[[#This Row],[Tipo]]="MÃE"),"EXP.MAE",IF(TAB_HISTORICO_MANUT[[#This Row],[EXPURGO Mãe]]="NÃO","NÃO EXP.MAE",T263))</f>
        <v>EXP.MAE</v>
      </c>
      <c r="U26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64" s="56">
        <f>IF(TAB_HISTORICO_MANUT[[#This Row],[EXPURGO Filhas]]="SIM",MAX(TAB_HISTORICO_MANUT[[#This Row],[Hora Final]]-TAB_HISTORICO_MANUT[[#This Row],[Hora Inicio]],0),0)</f>
        <v>0</v>
      </c>
      <c r="W26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6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64" s="46">
        <v>46299.661030092589</v>
      </c>
      <c r="Z264" s="47">
        <v>46299.73814814815</v>
      </c>
      <c r="AA264" s="48" t="s">
        <v>209</v>
      </c>
      <c r="AB264" s="48" t="s">
        <v>1651</v>
      </c>
      <c r="AC264" s="43" t="s">
        <v>1217</v>
      </c>
      <c r="AD264" s="46" t="s">
        <v>144</v>
      </c>
      <c r="AE264" s="46" t="s">
        <v>1218</v>
      </c>
      <c r="AF264" s="88" t="s">
        <v>210</v>
      </c>
      <c r="AG264" s="105">
        <f>IF(TAB_HISTORICO_MANUT[[#This Row],[Hora Inicio]]="","",MONTH(TAB_HISTORICO_MANUT[[#This Row],[Hora Inicio]]))</f>
        <v>10</v>
      </c>
      <c r="AH264" s="58" t="s">
        <v>1657</v>
      </c>
      <c r="AI264" s="43" t="s">
        <v>82</v>
      </c>
      <c r="AJ264" s="43" t="s">
        <v>82</v>
      </c>
      <c r="AK264" s="43" t="s">
        <v>82</v>
      </c>
      <c r="AL264" s="43" t="s">
        <v>82</v>
      </c>
      <c r="AM264" s="43" t="s">
        <v>82</v>
      </c>
      <c r="AN264" s="43" t="s">
        <v>241</v>
      </c>
      <c r="AO264" s="43" t="s">
        <v>1658</v>
      </c>
      <c r="AP264" s="43" t="s">
        <v>1659</v>
      </c>
    </row>
    <row r="265" spans="1:42" ht="50.1" customHeight="1" x14ac:dyDescent="0.25">
      <c r="A265" s="43">
        <f>MONTH(TAB_HISTORICO_MANUT[[#This Row],[Hora Final]])-MONTH(TAB_HISTORICO_MANUT[[#This Row],[Hora Inicio]])</f>
        <v>0</v>
      </c>
      <c r="B265" s="42"/>
      <c r="C265" s="43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Inicio]]=Z264,TAB_HISTORICO_MANUT[[#This Row],[Equipamento]]=AA264,TAB_HISTORICO_MANUT[[#This Row],[Descricao Despacho]]=AD264),0,1)))</f>
        <v>1</v>
      </c>
      <c r="O26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265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6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265" s="50">
        <f>IF($Q265="","",(TAB_HISTORICO_MANUT[[#This Row],[Hora Final]]-TAB_HISTORICO_MANUT[[#This Row],[Hora Inicio]])*24)</f>
        <v>1.3061111110146157</v>
      </c>
      <c r="S26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265" s="54" t="str">
        <f>IF(AND(TAB_HISTORICO_MANUT[[#This Row],[EXPURGO Mãe]]="SIM",TAB_HISTORICO_MANUT[[#This Row],[Tipo]]="MÃE"),"EXP.MAE",IF(TAB_HISTORICO_MANUT[[#This Row],[EXPURGO Mãe]]="NÃO","NÃO EXP.MAE",T264))</f>
        <v>EXP.MAE</v>
      </c>
      <c r="U26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65" s="56">
        <f>IF(TAB_HISTORICO_MANUT[[#This Row],[EXPURGO Filhas]]="SIM",MAX(TAB_HISTORICO_MANUT[[#This Row],[Hora Final]]-TAB_HISTORICO_MANUT[[#This Row],[Hora Inicio]],0),0)</f>
        <v>0</v>
      </c>
      <c r="W26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6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65" s="46">
        <v>46300.374918981484</v>
      </c>
      <c r="Z265" s="47">
        <v>46300.429340277777</v>
      </c>
      <c r="AA265" s="48" t="s">
        <v>209</v>
      </c>
      <c r="AB265" s="48"/>
      <c r="AC265" s="43" t="s">
        <v>300</v>
      </c>
      <c r="AD265" s="46" t="s">
        <v>146</v>
      </c>
      <c r="AE265" s="46" t="s">
        <v>178</v>
      </c>
      <c r="AF265" s="88" t="s">
        <v>210</v>
      </c>
      <c r="AG265" s="105">
        <f>IF(TAB_HISTORICO_MANUT[[#This Row],[Hora Inicio]]="","",MONTH(TAB_HISTORICO_MANUT[[#This Row],[Hora Inicio]]))</f>
        <v>10</v>
      </c>
      <c r="AH265" s="58" t="s">
        <v>1669</v>
      </c>
      <c r="AI265" s="43" t="s">
        <v>340</v>
      </c>
      <c r="AJ265" s="43" t="s">
        <v>341</v>
      </c>
      <c r="AK265" s="43" t="s">
        <v>1272</v>
      </c>
      <c r="AL265" s="43" t="s">
        <v>1272</v>
      </c>
      <c r="AM265" s="114" t="s">
        <v>1272</v>
      </c>
      <c r="AN265" s="43"/>
      <c r="AO265" s="43"/>
      <c r="AP265" s="43"/>
    </row>
    <row r="266" spans="1:42" ht="50.1" customHeight="1" x14ac:dyDescent="0.25">
      <c r="A266" s="43">
        <f>MONTH(TAB_HISTORICO_MANUT[[#This Row],[Hora Final]])-MONTH(TAB_HISTORICO_MANUT[[#This Row],[Hora Inicio]])</f>
        <v>0</v>
      </c>
      <c r="B266" s="42"/>
      <c r="C266" s="43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Inicio]]=Z265,TAB_HISTORICO_MANUT[[#This Row],[Equipamento]]=AA265,TAB_HISTORICO_MANUT[[#This Row],[Descricao Despacho]]=AD265),0,1)))</f>
        <v>0</v>
      </c>
      <c r="O26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266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6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266" s="50">
        <f>IF($Q266="","",(TAB_HISTORICO_MANUT[[#This Row],[Hora Final]]-TAB_HISTORICO_MANUT[[#This Row],[Hora Inicio]])*24)</f>
        <v>1.6555555555969477</v>
      </c>
      <c r="S26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66" s="54" t="str">
        <f>IF(AND(TAB_HISTORICO_MANUT[[#This Row],[EXPURGO Mãe]]="SIM",TAB_HISTORICO_MANUT[[#This Row],[Tipo]]="MÃE"),"EXP.MAE",IF(TAB_HISTORICO_MANUT[[#This Row],[EXPURGO Mãe]]="NÃO","NÃO EXP.MAE",T265))</f>
        <v>NÃO EXP.MAE</v>
      </c>
      <c r="U26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66" s="56">
        <f>IF(TAB_HISTORICO_MANUT[[#This Row],[EXPURGO Filhas]]="SIM",MAX(TAB_HISTORICO_MANUT[[#This Row],[Hora Final]]-TAB_HISTORICO_MANUT[[#This Row],[Hora Inicio]],0),0)</f>
        <v>0</v>
      </c>
      <c r="W26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6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66" s="46">
        <v>46300.429340277777</v>
      </c>
      <c r="Z266" s="47">
        <v>46300.49832175926</v>
      </c>
      <c r="AA266" s="48" t="s">
        <v>209</v>
      </c>
      <c r="AB266" s="48"/>
      <c r="AC266" s="43" t="s">
        <v>301</v>
      </c>
      <c r="AD266" s="46" t="s">
        <v>146</v>
      </c>
      <c r="AE266" s="46" t="s">
        <v>310</v>
      </c>
      <c r="AF266" s="88" t="s">
        <v>210</v>
      </c>
      <c r="AG266" s="105">
        <f>IF(TAB_HISTORICO_MANUT[[#This Row],[Hora Inicio]]="","",MONTH(TAB_HISTORICO_MANUT[[#This Row],[Hora Inicio]]))</f>
        <v>10</v>
      </c>
      <c r="AH266" s="58" t="s">
        <v>1669</v>
      </c>
      <c r="AI266" s="43" t="s">
        <v>340</v>
      </c>
      <c r="AJ266" s="43" t="s">
        <v>341</v>
      </c>
      <c r="AK266" s="43" t="s">
        <v>1272</v>
      </c>
      <c r="AL266" s="43" t="s">
        <v>1272</v>
      </c>
      <c r="AM266" s="114" t="s">
        <v>1272</v>
      </c>
      <c r="AN266" s="43"/>
      <c r="AO266" s="43"/>
      <c r="AP266" s="43"/>
    </row>
    <row r="267" spans="1:42" ht="50.1" customHeight="1" x14ac:dyDescent="0.25">
      <c r="A267" s="43">
        <f>MONTH(TAB_HISTORICO_MANUT[[#This Row],[Hora Final]])-MONTH(TAB_HISTORICO_MANUT[[#This Row],[Hora Inicio]])</f>
        <v>0</v>
      </c>
      <c r="B267" s="42"/>
      <c r="C267" s="43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Inicio]]=Z266,TAB_HISTORICO_MANUT[[#This Row],[Equipamento]]=AA266,TAB_HISTORICO_MANUT[[#This Row],[Descricao Despacho]]=AD266),0,1)))</f>
        <v>0</v>
      </c>
      <c r="O26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267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6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267" s="50">
        <f>IF($Q267="","",(TAB_HISTORICO_MANUT[[#This Row],[Hora Final]]-TAB_HISTORICO_MANUT[[#This Row],[Hora Inicio]])*24)</f>
        <v>1.3044444444822147</v>
      </c>
      <c r="S26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267" s="54" t="str">
        <f>IF(AND(TAB_HISTORICO_MANUT[[#This Row],[EXPURGO Mãe]]="SIM",TAB_HISTORICO_MANUT[[#This Row],[Tipo]]="MÃE"),"EXP.MAE",IF(TAB_HISTORICO_MANUT[[#This Row],[EXPURGO Mãe]]="NÃO","NÃO EXP.MAE",T266))</f>
        <v>EXP.MAE</v>
      </c>
      <c r="U26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67" s="56">
        <f>IF(TAB_HISTORICO_MANUT[[#This Row],[EXPURGO Filhas]]="SIM",MAX(TAB_HISTORICO_MANUT[[#This Row],[Hora Final]]-TAB_HISTORICO_MANUT[[#This Row],[Hora Inicio]],0),0)</f>
        <v>0</v>
      </c>
      <c r="W26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6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67" s="46">
        <v>46300.49832175926</v>
      </c>
      <c r="Z267" s="47">
        <v>46300.552673611113</v>
      </c>
      <c r="AA267" s="48" t="s">
        <v>209</v>
      </c>
      <c r="AB267" s="48"/>
      <c r="AC267" s="43" t="s">
        <v>362</v>
      </c>
      <c r="AD267" s="46" t="s">
        <v>146</v>
      </c>
      <c r="AE267" s="46" t="s">
        <v>175</v>
      </c>
      <c r="AF267" s="88" t="s">
        <v>210</v>
      </c>
      <c r="AG267" s="105">
        <f>IF(TAB_HISTORICO_MANUT[[#This Row],[Hora Inicio]]="","",MONTH(TAB_HISTORICO_MANUT[[#This Row],[Hora Inicio]]))</f>
        <v>10</v>
      </c>
      <c r="AH267" s="58" t="s">
        <v>1669</v>
      </c>
      <c r="AI267" s="43" t="s">
        <v>340</v>
      </c>
      <c r="AJ267" s="43" t="s">
        <v>341</v>
      </c>
      <c r="AK267" s="43" t="s">
        <v>1272</v>
      </c>
      <c r="AL267" s="43" t="s">
        <v>1272</v>
      </c>
      <c r="AM267" s="114" t="s">
        <v>1272</v>
      </c>
      <c r="AN267" s="43"/>
      <c r="AO267" s="43"/>
      <c r="AP267" s="43"/>
    </row>
    <row r="268" spans="1:42" ht="50.1" customHeight="1" x14ac:dyDescent="0.25">
      <c r="A268" s="43">
        <f>MONTH(TAB_HISTORICO_MANUT[[#This Row],[Hora Final]])-MONTH(TAB_HISTORICO_MANUT[[#This Row],[Hora Inicio]])</f>
        <v>0</v>
      </c>
      <c r="B268" s="42"/>
      <c r="C268" s="43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Inicio]]=Z267,TAB_HISTORICO_MANUT[[#This Row],[Equipamento]]=AA267,TAB_HISTORICO_MANUT[[#This Row],[Descricao Despacho]]=AD267),0,1)))</f>
        <v>0</v>
      </c>
      <c r="O26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268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6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268" s="50">
        <f>IF($Q268="","",(TAB_HISTORICO_MANUT[[#This Row],[Hora Final]]-TAB_HISTORICO_MANUT[[#This Row],[Hora Inicio]])*24)</f>
        <v>11.797222222143319</v>
      </c>
      <c r="S26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68" s="54" t="str">
        <f>IF(AND(TAB_HISTORICO_MANUT[[#This Row],[EXPURGO Mãe]]="SIM",TAB_HISTORICO_MANUT[[#This Row],[Tipo]]="MÃE"),"EXP.MAE",IF(TAB_HISTORICO_MANUT[[#This Row],[EXPURGO Mãe]]="NÃO","NÃO EXP.MAE",T267))</f>
        <v>NÃO EXP.MAE</v>
      </c>
      <c r="U26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68" s="56">
        <f>IF(TAB_HISTORICO_MANUT[[#This Row],[EXPURGO Filhas]]="SIM",MAX(TAB_HISTORICO_MANUT[[#This Row],[Hora Final]]-TAB_HISTORICO_MANUT[[#This Row],[Hora Inicio]],0),0)</f>
        <v>0</v>
      </c>
      <c r="W26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6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68" s="46">
        <v>46300.552673611113</v>
      </c>
      <c r="Z268" s="47">
        <v>46301.044224537036</v>
      </c>
      <c r="AA268" s="48" t="s">
        <v>209</v>
      </c>
      <c r="AB268" s="48"/>
      <c r="AC268" s="43" t="s">
        <v>302</v>
      </c>
      <c r="AD268" s="46" t="s">
        <v>146</v>
      </c>
      <c r="AE268" s="46" t="s">
        <v>311</v>
      </c>
      <c r="AF268" s="88" t="s">
        <v>210</v>
      </c>
      <c r="AG268" s="105">
        <f>IF(TAB_HISTORICO_MANUT[[#This Row],[Hora Inicio]]="","",MONTH(TAB_HISTORICO_MANUT[[#This Row],[Hora Inicio]]))</f>
        <v>10</v>
      </c>
      <c r="AH268" s="58" t="s">
        <v>1669</v>
      </c>
      <c r="AI268" s="43" t="s">
        <v>340</v>
      </c>
      <c r="AJ268" s="43" t="s">
        <v>341</v>
      </c>
      <c r="AK268" s="43" t="s">
        <v>1272</v>
      </c>
      <c r="AL268" s="43" t="s">
        <v>1272</v>
      </c>
      <c r="AM268" s="114" t="s">
        <v>1272</v>
      </c>
      <c r="AN268" s="43"/>
      <c r="AO268" s="43"/>
      <c r="AP268" s="43"/>
    </row>
    <row r="269" spans="1:42" ht="50.1" customHeight="1" x14ac:dyDescent="0.25">
      <c r="A269" s="43">
        <f>MONTH(TAB_HISTORICO_MANUT[[#This Row],[Hora Final]])-MONTH(TAB_HISTORICO_MANUT[[#This Row],[Hora Inicio]])</f>
        <v>0</v>
      </c>
      <c r="B269" s="42"/>
      <c r="C269" s="43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Inicio]]=Z268,TAB_HISTORICO_MANUT[[#This Row],[Equipamento]]=AA268,TAB_HISTORICO_MANUT[[#This Row],[Descricao Despacho]]=AD268),0,1)))</f>
        <v>0</v>
      </c>
      <c r="O26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269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6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269" s="50">
        <f>IF($Q269="","",(TAB_HISTORICO_MANUT[[#This Row],[Hora Final]]-TAB_HISTORICO_MANUT[[#This Row],[Hora Inicio]])*24)</f>
        <v>22.938333333295304</v>
      </c>
      <c r="S26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69" s="54" t="str">
        <f>IF(AND(TAB_HISTORICO_MANUT[[#This Row],[EXPURGO Mãe]]="SIM",TAB_HISTORICO_MANUT[[#This Row],[Tipo]]="MÃE"),"EXP.MAE",IF(TAB_HISTORICO_MANUT[[#This Row],[EXPURGO Mãe]]="NÃO","NÃO EXP.MAE",T268))</f>
        <v>NÃO EXP.MAE</v>
      </c>
      <c r="U26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69" s="56">
        <f>IF(TAB_HISTORICO_MANUT[[#This Row],[EXPURGO Filhas]]="SIM",MAX(TAB_HISTORICO_MANUT[[#This Row],[Hora Final]]-TAB_HISTORICO_MANUT[[#This Row],[Hora Inicio]],0),0)</f>
        <v>0</v>
      </c>
      <c r="W26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6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69" s="46">
        <v>46301.044224537036</v>
      </c>
      <c r="Z269" s="147">
        <v>46301.999988425923</v>
      </c>
      <c r="AA269" s="48" t="s">
        <v>209</v>
      </c>
      <c r="AB269" s="48"/>
      <c r="AC269" s="43" t="s">
        <v>301</v>
      </c>
      <c r="AD269" s="46" t="s">
        <v>146</v>
      </c>
      <c r="AE269" s="46" t="s">
        <v>310</v>
      </c>
      <c r="AF269" s="88" t="s">
        <v>210</v>
      </c>
      <c r="AG269" s="105">
        <f>IF(TAB_HISTORICO_MANUT[[#This Row],[Hora Inicio]]="","",MONTH(TAB_HISTORICO_MANUT[[#This Row],[Hora Inicio]]))</f>
        <v>10</v>
      </c>
      <c r="AH269" s="58" t="s">
        <v>1669</v>
      </c>
      <c r="AI269" s="43" t="s">
        <v>340</v>
      </c>
      <c r="AJ269" s="43" t="s">
        <v>341</v>
      </c>
      <c r="AK269" s="43" t="s">
        <v>1272</v>
      </c>
      <c r="AL269" s="43" t="s">
        <v>1272</v>
      </c>
      <c r="AM269" s="114" t="s">
        <v>1272</v>
      </c>
      <c r="AN269" s="43"/>
      <c r="AO269" s="43"/>
      <c r="AP269" s="43"/>
    </row>
    <row r="270" spans="1:42" ht="50.1" customHeight="1" x14ac:dyDescent="0.25">
      <c r="A270" s="43">
        <f>MONTH(TAB_HISTORICO_MANUT[[#This Row],[Hora Final]])-MONTH(TAB_HISTORICO_MANUT[[#This Row],[Hora Inicio]])</f>
        <v>0</v>
      </c>
      <c r="B270" s="42"/>
      <c r="C270" s="43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Inicio]]=Z269,TAB_HISTORICO_MANUT[[#This Row],[Equipamento]]=AA269,TAB_HISTORICO_MANUT[[#This Row],[Descricao Despacho]]=AD269),0,1)))</f>
        <v>1</v>
      </c>
      <c r="O27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270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7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70" s="50">
        <f>IF($Q270="","",(TAB_HISTORICO_MANUT[[#This Row],[Hora Final]]-TAB_HISTORICO_MANUT[[#This Row],[Hora Inicio]])*24)</f>
        <v>8.4311111110146157</v>
      </c>
      <c r="S27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70" s="54" t="str">
        <f>IF(AND(TAB_HISTORICO_MANUT[[#This Row],[EXPURGO Mãe]]="SIM",TAB_HISTORICO_MANUT[[#This Row],[Tipo]]="MÃE"),"EXP.MAE",IF(TAB_HISTORICO_MANUT[[#This Row],[EXPURGO Mãe]]="NÃO","NÃO EXP.MAE",T269))</f>
        <v>NÃO EXP.MAE</v>
      </c>
      <c r="U27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70" s="56">
        <f>IF(TAB_HISTORICO_MANUT[[#This Row],[EXPURGO Filhas]]="SIM",MAX(TAB_HISTORICO_MANUT[[#This Row],[Hora Final]]-TAB_HISTORICO_MANUT[[#This Row],[Hora Inicio]],0),0)</f>
        <v>0</v>
      </c>
      <c r="W27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7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70" s="46">
        <v>46025.006053240744</v>
      </c>
      <c r="Z270" s="47">
        <v>46025.357349537036</v>
      </c>
      <c r="AA270" s="48" t="s">
        <v>232</v>
      </c>
      <c r="AB270" s="48" t="s">
        <v>240</v>
      </c>
      <c r="AC270" s="43" t="s">
        <v>204</v>
      </c>
      <c r="AD270" s="46" t="s">
        <v>144</v>
      </c>
      <c r="AE270" s="46" t="s">
        <v>172</v>
      </c>
      <c r="AF270" s="88" t="s">
        <v>210</v>
      </c>
      <c r="AG270" s="105">
        <f>IF(TAB_HISTORICO_MANUT[[#This Row],[Hora Inicio]]="","",MONTH(TAB_HISTORICO_MANUT[[#This Row],[Hora Inicio]]))</f>
        <v>1</v>
      </c>
      <c r="AH270" s="58" t="s">
        <v>470</v>
      </c>
      <c r="AI270" s="43" t="s">
        <v>22</v>
      </c>
      <c r="AJ270" s="43" t="s">
        <v>23</v>
      </c>
      <c r="AK270" s="43" t="s">
        <v>288</v>
      </c>
      <c r="AL270" s="43" t="s">
        <v>334</v>
      </c>
      <c r="AM270" s="114"/>
      <c r="AN270" s="43" t="s">
        <v>215</v>
      </c>
      <c r="AO270" s="43" t="s">
        <v>224</v>
      </c>
      <c r="AP270" s="43" t="s">
        <v>253</v>
      </c>
    </row>
    <row r="271" spans="1:42" ht="50.1" customHeight="1" x14ac:dyDescent="0.25">
      <c r="A271" s="43">
        <f>MONTH(TAB_HISTORICO_MANUT[[#This Row],[Hora Final]])-MONTH(TAB_HISTORICO_MANUT[[#This Row],[Hora Inicio]])</f>
        <v>0</v>
      </c>
      <c r="B271" s="42"/>
      <c r="C271" s="43"/>
      <c r="D271" s="42"/>
      <c r="E271" s="42"/>
      <c r="F271" s="42"/>
      <c r="G271" s="42"/>
      <c r="H271" s="42"/>
      <c r="I271" s="42"/>
      <c r="J271" s="42"/>
      <c r="K271" s="42"/>
      <c r="L271" s="42"/>
      <c r="M271" s="42" t="s">
        <v>98</v>
      </c>
      <c r="N27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Inicio]]=Z270,TAB_HISTORICO_MANUT[[#This Row],[Equipamento]]=AA270,TAB_HISTORICO_MANUT[[#This Row],[Descricao Despacho]]=AD270),0,1)))</f>
        <v>0</v>
      </c>
      <c r="O27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HIDRAULICO</v>
      </c>
      <c r="P271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7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71" s="50">
        <f>IF($Q271="","",(TAB_HISTORICO_MANUT[[#This Row],[Hora Final]]-TAB_HISTORICO_MANUT[[#This Row],[Hora Inicio]])*24)</f>
        <v>3.2733333333162591</v>
      </c>
      <c r="S27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271" s="54" t="str">
        <f>IF(AND(TAB_HISTORICO_MANUT[[#This Row],[EXPURGO Mãe]]="SIM",TAB_HISTORICO_MANUT[[#This Row],[Tipo]]="MÃE"),"EXP.MAE",IF(TAB_HISTORICO_MANUT[[#This Row],[EXPURGO Mãe]]="NÃO","NÃO EXP.MAE",T270))</f>
        <v>EXP.MAE</v>
      </c>
      <c r="U27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71" s="56">
        <f>IF(TAB_HISTORICO_MANUT[[#This Row],[EXPURGO Filhas]]="SIM",MAX(TAB_HISTORICO_MANUT[[#This Row],[Hora Final]]-TAB_HISTORICO_MANUT[[#This Row],[Hora Inicio]],0),0)</f>
        <v>0</v>
      </c>
      <c r="W27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7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71" s="46">
        <v>46025.357349537036</v>
      </c>
      <c r="Z271" s="47">
        <v>46025.493738425925</v>
      </c>
      <c r="AA271" s="48" t="s">
        <v>232</v>
      </c>
      <c r="AB271" s="48" t="s">
        <v>465</v>
      </c>
      <c r="AC271" s="43" t="s">
        <v>204</v>
      </c>
      <c r="AD271" s="46" t="s">
        <v>144</v>
      </c>
      <c r="AE271" s="46" t="s">
        <v>172</v>
      </c>
      <c r="AF271" s="88" t="s">
        <v>210</v>
      </c>
      <c r="AG271" s="105">
        <f>IF(TAB_HISTORICO_MANUT[[#This Row],[Hora Inicio]]="","",MONTH(TAB_HISTORICO_MANUT[[#This Row],[Hora Inicio]]))</f>
        <v>1</v>
      </c>
      <c r="AH271" s="58" t="s">
        <v>992</v>
      </c>
      <c r="AI271" s="43" t="s">
        <v>149</v>
      </c>
      <c r="AJ271" s="43" t="s">
        <v>423</v>
      </c>
      <c r="AK271" s="43" t="s">
        <v>422</v>
      </c>
      <c r="AL271" s="43" t="s">
        <v>279</v>
      </c>
      <c r="AM271" s="114" t="s">
        <v>280</v>
      </c>
      <c r="AN271" s="43" t="s">
        <v>217</v>
      </c>
      <c r="AO271" s="43" t="s">
        <v>410</v>
      </c>
      <c r="AP271" s="43" t="s">
        <v>403</v>
      </c>
    </row>
    <row r="272" spans="1:42" ht="50.1" customHeight="1" x14ac:dyDescent="0.25">
      <c r="A272" s="43">
        <f>MONTH(TAB_HISTORICO_MANUT[[#This Row],[Hora Final]])-MONTH(TAB_HISTORICO_MANUT[[#This Row],[Hora Inicio]])</f>
        <v>0</v>
      </c>
      <c r="B272" s="42"/>
      <c r="C272" s="43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Inicio]]=Z271,TAB_HISTORICO_MANUT[[#This Row],[Equipamento]]=AA271,TAB_HISTORICO_MANUT[[#This Row],[Descricao Despacho]]=AD271),0,1)))</f>
        <v>1</v>
      </c>
      <c r="O27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272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7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272" s="50">
        <f>IF($Q272="","",(TAB_HISTORICO_MANUT[[#This Row],[Hora Final]]-TAB_HISTORICO_MANUT[[#This Row],[Hora Inicio]])*24)</f>
        <v>6.1111111426725984E-3</v>
      </c>
      <c r="S27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72" s="54" t="str">
        <f>IF(AND(TAB_HISTORICO_MANUT[[#This Row],[EXPURGO Mãe]]="SIM",TAB_HISTORICO_MANUT[[#This Row],[Tipo]]="MÃE"),"EXP.MAE",IF(TAB_HISTORICO_MANUT[[#This Row],[EXPURGO Mãe]]="NÃO","NÃO EXP.MAE",T271))</f>
        <v>NÃO EXP.MAE</v>
      </c>
      <c r="U27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72" s="56">
        <f>IF(TAB_HISTORICO_MANUT[[#This Row],[EXPURGO Filhas]]="SIM",MAX(TAB_HISTORICO_MANUT[[#This Row],[Hora Final]]-TAB_HISTORICO_MANUT[[#This Row],[Hora Inicio]],0),0)</f>
        <v>0</v>
      </c>
      <c r="W27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7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72" s="46">
        <v>46025.61142361111</v>
      </c>
      <c r="Z272" s="47">
        <v>46025.611678240741</v>
      </c>
      <c r="AA272" s="48" t="s">
        <v>232</v>
      </c>
      <c r="AB272" s="48" t="s">
        <v>466</v>
      </c>
      <c r="AC272" s="43" t="s">
        <v>211</v>
      </c>
      <c r="AD272" s="46" t="s">
        <v>144</v>
      </c>
      <c r="AE272" s="46" t="s">
        <v>213</v>
      </c>
      <c r="AF272" s="88" t="s">
        <v>210</v>
      </c>
      <c r="AG272" s="105">
        <f>IF(TAB_HISTORICO_MANUT[[#This Row],[Hora Inicio]]="","",MONTH(TAB_HISTORICO_MANUT[[#This Row],[Hora Inicio]]))</f>
        <v>1</v>
      </c>
      <c r="AH272" s="58" t="s">
        <v>471</v>
      </c>
      <c r="AI272" s="43" t="s">
        <v>21</v>
      </c>
      <c r="AJ272" s="43" t="s">
        <v>356</v>
      </c>
      <c r="AK272" s="43" t="s">
        <v>291</v>
      </c>
      <c r="AL272" s="43" t="s">
        <v>473</v>
      </c>
      <c r="AM272" s="114" t="s">
        <v>280</v>
      </c>
      <c r="AN272" s="43" t="s">
        <v>229</v>
      </c>
      <c r="AO272" s="43" t="s">
        <v>404</v>
      </c>
      <c r="AP272" s="43" t="s">
        <v>242</v>
      </c>
    </row>
    <row r="273" spans="1:42" ht="50.1" customHeight="1" x14ac:dyDescent="0.25">
      <c r="A273" s="43">
        <f>MONTH(TAB_HISTORICO_MANUT[[#This Row],[Hora Final]])-MONTH(TAB_HISTORICO_MANUT[[#This Row],[Hora Inicio]])</f>
        <v>0</v>
      </c>
      <c r="B273" s="42"/>
      <c r="C273" s="43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Inicio]]=Z272,TAB_HISTORICO_MANUT[[#This Row],[Equipamento]]=AA272,TAB_HISTORICO_MANUT[[#This Row],[Descricao Despacho]]=AD272),0,1)))</f>
        <v>0</v>
      </c>
      <c r="O27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273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7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273" s="50">
        <f>IF($Q273="","",(TAB_HISTORICO_MANUT[[#This Row],[Hora Final]]-TAB_HISTORICO_MANUT[[#This Row],[Hora Inicio]])*24)</f>
        <v>1.4722222171258181E-2</v>
      </c>
      <c r="S27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73" s="54" t="str">
        <f>IF(AND(TAB_HISTORICO_MANUT[[#This Row],[EXPURGO Mãe]]="SIM",TAB_HISTORICO_MANUT[[#This Row],[Tipo]]="MÃE"),"EXP.MAE",IF(TAB_HISTORICO_MANUT[[#This Row],[EXPURGO Mãe]]="NÃO","NÃO EXP.MAE",T272))</f>
        <v>NÃO EXP.MAE</v>
      </c>
      <c r="U27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73" s="56">
        <f>IF(TAB_HISTORICO_MANUT[[#This Row],[EXPURGO Filhas]]="SIM",MAX(TAB_HISTORICO_MANUT[[#This Row],[Hora Final]]-TAB_HISTORICO_MANUT[[#This Row],[Hora Inicio]],0),0)</f>
        <v>0</v>
      </c>
      <c r="W27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7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73" s="46">
        <v>46025.611678240741</v>
      </c>
      <c r="Z273" s="47">
        <v>46025.612291666665</v>
      </c>
      <c r="AA273" s="48" t="s">
        <v>232</v>
      </c>
      <c r="AB273" s="48" t="s">
        <v>466</v>
      </c>
      <c r="AC273" s="43" t="s">
        <v>211</v>
      </c>
      <c r="AD273" s="46" t="s">
        <v>144</v>
      </c>
      <c r="AE273" s="46" t="s">
        <v>213</v>
      </c>
      <c r="AF273" s="88" t="s">
        <v>210</v>
      </c>
      <c r="AG273" s="105">
        <f>IF(TAB_HISTORICO_MANUT[[#This Row],[Hora Inicio]]="","",MONTH(TAB_HISTORICO_MANUT[[#This Row],[Hora Inicio]]))</f>
        <v>1</v>
      </c>
      <c r="AH273" s="58" t="s">
        <v>471</v>
      </c>
      <c r="AI273" s="43" t="s">
        <v>21</v>
      </c>
      <c r="AJ273" s="43" t="s">
        <v>356</v>
      </c>
      <c r="AK273" s="43" t="s">
        <v>291</v>
      </c>
      <c r="AL273" s="43" t="s">
        <v>473</v>
      </c>
      <c r="AM273" s="114" t="s">
        <v>280</v>
      </c>
      <c r="AN273" s="43" t="s">
        <v>229</v>
      </c>
      <c r="AO273" s="43" t="s">
        <v>404</v>
      </c>
      <c r="AP273" s="43" t="s">
        <v>242</v>
      </c>
    </row>
    <row r="274" spans="1:42" ht="50.1" customHeight="1" x14ac:dyDescent="0.25">
      <c r="A274" s="115">
        <f>MONTH(TAB_HISTORICO_MANUT[[#This Row],[Hora Final]])-MONTH(TAB_HISTORICO_MANUT[[#This Row],[Hora Inicio]])</f>
        <v>0</v>
      </c>
      <c r="B274" s="116"/>
      <c r="C274" s="115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Inicio]]=Z273,TAB_HISTORICO_MANUT[[#This Row],[Equipamento]]=AA273,TAB_HISTORICO_MANUT[[#This Row],[Descricao Despacho]]=AD273),0,1)))</f>
        <v>0</v>
      </c>
      <c r="O27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274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7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274" s="50">
        <f>IF($Q274="","",(TAB_HISTORICO_MANUT[[#This Row],[Hora Final]]-TAB_HISTORICO_MANUT[[#This Row],[Hora Inicio]])*24)</f>
        <v>0.50138888892251998</v>
      </c>
      <c r="S27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74" s="54" t="str">
        <f>IF(AND(TAB_HISTORICO_MANUT[[#This Row],[EXPURGO Mãe]]="SIM",TAB_HISTORICO_MANUT[[#This Row],[Tipo]]="MÃE"),"EXP.MAE",IF(TAB_HISTORICO_MANUT[[#This Row],[EXPURGO Mãe]]="NÃO","NÃO EXP.MAE",T273))</f>
        <v>NÃO EXP.MAE</v>
      </c>
      <c r="U27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74" s="56">
        <f>IF(TAB_HISTORICO_MANUT[[#This Row],[EXPURGO Filhas]]="SIM",MAX(TAB_HISTORICO_MANUT[[#This Row],[Hora Final]]-TAB_HISTORICO_MANUT[[#This Row],[Hora Inicio]],0),0)</f>
        <v>0</v>
      </c>
      <c r="W27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7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74" s="117">
        <v>46025.612291666665</v>
      </c>
      <c r="Z274" s="118">
        <v>46025.63318287037</v>
      </c>
      <c r="AA274" s="119" t="s">
        <v>232</v>
      </c>
      <c r="AB274" s="119" t="s">
        <v>466</v>
      </c>
      <c r="AC274" s="115" t="s">
        <v>211</v>
      </c>
      <c r="AD274" s="117" t="s">
        <v>144</v>
      </c>
      <c r="AE274" s="117" t="s">
        <v>213</v>
      </c>
      <c r="AF274" s="88" t="s">
        <v>210</v>
      </c>
      <c r="AG274" s="105">
        <f>IF(TAB_HISTORICO_MANUT[[#This Row],[Hora Inicio]]="","",MONTH(TAB_HISTORICO_MANUT[[#This Row],[Hora Inicio]]))</f>
        <v>1</v>
      </c>
      <c r="AH274" s="120" t="s">
        <v>471</v>
      </c>
      <c r="AI274" s="115" t="s">
        <v>21</v>
      </c>
      <c r="AJ274" s="115" t="s">
        <v>356</v>
      </c>
      <c r="AK274" s="115" t="s">
        <v>291</v>
      </c>
      <c r="AL274" s="115" t="s">
        <v>473</v>
      </c>
      <c r="AM274" s="121" t="s">
        <v>280</v>
      </c>
      <c r="AN274" s="115" t="s">
        <v>229</v>
      </c>
      <c r="AO274" s="115" t="s">
        <v>404</v>
      </c>
      <c r="AP274" s="115" t="s">
        <v>242</v>
      </c>
    </row>
    <row r="275" spans="1:42" ht="50.1" customHeight="1" x14ac:dyDescent="0.25">
      <c r="A275" s="115">
        <f>MONTH(TAB_HISTORICO_MANUT[[#This Row],[Hora Final]])-MONTH(TAB_HISTORICO_MANUT[[#This Row],[Hora Inicio]])</f>
        <v>0</v>
      </c>
      <c r="B275" s="116"/>
      <c r="C275" s="115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 t="s">
        <v>98</v>
      </c>
      <c r="N27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Inicio]]=Z274,TAB_HISTORICO_MANUT[[#This Row],[Equipamento]]=AA274,TAB_HISTORICO_MANUT[[#This Row],[Descricao Despacho]]=AD274),0,1)))</f>
        <v>1</v>
      </c>
      <c r="O27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HIDRAULICO</v>
      </c>
      <c r="P275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7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75" s="50">
        <f>IF($Q275="","",(TAB_HISTORICO_MANUT[[#This Row],[Hora Final]]-TAB_HISTORICO_MANUT[[#This Row],[Hora Inicio]])*24)</f>
        <v>7.8900000000139698</v>
      </c>
      <c r="S27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275" s="54" t="str">
        <f>IF(AND(TAB_HISTORICO_MANUT[[#This Row],[EXPURGO Mãe]]="SIM",TAB_HISTORICO_MANUT[[#This Row],[Tipo]]="MÃE"),"EXP.MAE",IF(TAB_HISTORICO_MANUT[[#This Row],[EXPURGO Mãe]]="NÃO","NÃO EXP.MAE",T274))</f>
        <v>EXP.MAE</v>
      </c>
      <c r="U27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75" s="56">
        <f>IF(TAB_HISTORICO_MANUT[[#This Row],[EXPURGO Filhas]]="SIM",MAX(TAB_HISTORICO_MANUT[[#This Row],[Hora Final]]-TAB_HISTORICO_MANUT[[#This Row],[Hora Inicio]],0),0)</f>
        <v>0</v>
      </c>
      <c r="W27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7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75" s="117">
        <v>46025.6403125</v>
      </c>
      <c r="Z275" s="118">
        <v>46025.9690625</v>
      </c>
      <c r="AA275" s="119" t="s">
        <v>232</v>
      </c>
      <c r="AB275" s="119" t="s">
        <v>465</v>
      </c>
      <c r="AC275" s="115" t="s">
        <v>204</v>
      </c>
      <c r="AD275" s="117" t="s">
        <v>144</v>
      </c>
      <c r="AE275" s="117" t="s">
        <v>172</v>
      </c>
      <c r="AF275" s="88" t="s">
        <v>210</v>
      </c>
      <c r="AG275" s="105">
        <f>IF(TAB_HISTORICO_MANUT[[#This Row],[Hora Inicio]]="","",MONTH(TAB_HISTORICO_MANUT[[#This Row],[Hora Inicio]]))</f>
        <v>1</v>
      </c>
      <c r="AH275" s="120" t="s">
        <v>989</v>
      </c>
      <c r="AI275" s="115" t="s">
        <v>149</v>
      </c>
      <c r="AJ275" s="115" t="s">
        <v>423</v>
      </c>
      <c r="AK275" s="115" t="s">
        <v>422</v>
      </c>
      <c r="AL275" s="115" t="s">
        <v>279</v>
      </c>
      <c r="AM275" s="121" t="s">
        <v>280</v>
      </c>
      <c r="AN275" s="115" t="s">
        <v>217</v>
      </c>
      <c r="AO275" s="115" t="s">
        <v>410</v>
      </c>
      <c r="AP275" s="115" t="s">
        <v>403</v>
      </c>
    </row>
    <row r="276" spans="1:42" ht="50.1" customHeight="1" x14ac:dyDescent="0.25">
      <c r="A276" s="115">
        <f>MONTH(TAB_HISTORICO_MANUT[[#This Row],[Hora Final]])-MONTH(TAB_HISTORICO_MANUT[[#This Row],[Hora Inicio]])</f>
        <v>0</v>
      </c>
      <c r="B276" s="116"/>
      <c r="C276" s="115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Inicio]]=Z275,TAB_HISTORICO_MANUT[[#This Row],[Equipamento]]=AA275,TAB_HISTORICO_MANUT[[#This Row],[Descricao Despacho]]=AD275),0,1)))</f>
        <v>1</v>
      </c>
      <c r="O27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27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7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76" s="50">
        <f>IF($Q276="","",(TAB_HISTORICO_MANUT[[#This Row],[Hora Final]]-TAB_HISTORICO_MANUT[[#This Row],[Hora Inicio]])*24)</f>
        <v>5.5558333334047347</v>
      </c>
      <c r="S27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76" s="54" t="str">
        <f>IF(AND(TAB_HISTORICO_MANUT[[#This Row],[EXPURGO Mãe]]="SIM",TAB_HISTORICO_MANUT[[#This Row],[Tipo]]="MÃE"),"EXP.MAE",IF(TAB_HISTORICO_MANUT[[#This Row],[EXPURGO Mãe]]="NÃO","NÃO EXP.MAE",T275))</f>
        <v>NÃO EXP.MAE</v>
      </c>
      <c r="U27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76" s="56">
        <f>IF(TAB_HISTORICO_MANUT[[#This Row],[EXPURGO Filhas]]="SIM",MAX(TAB_HISTORICO_MANUT[[#This Row],[Hora Final]]-TAB_HISTORICO_MANUT[[#This Row],[Hora Inicio]],0),0)</f>
        <v>0</v>
      </c>
      <c r="W27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7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76" s="117">
        <v>46026.490243055552</v>
      </c>
      <c r="Z276" s="118">
        <v>46026.721736111111</v>
      </c>
      <c r="AA276" s="119" t="s">
        <v>232</v>
      </c>
      <c r="AB276" s="119" t="s">
        <v>467</v>
      </c>
      <c r="AC276" s="115" t="s">
        <v>204</v>
      </c>
      <c r="AD276" s="117" t="s">
        <v>144</v>
      </c>
      <c r="AE276" s="117" t="s">
        <v>172</v>
      </c>
      <c r="AF276" s="88" t="s">
        <v>210</v>
      </c>
      <c r="AG276" s="105">
        <f>IF(TAB_HISTORICO_MANUT[[#This Row],[Hora Inicio]]="","",MONTH(TAB_HISTORICO_MANUT[[#This Row],[Hora Inicio]]))</f>
        <v>1</v>
      </c>
      <c r="AH276" s="120" t="s">
        <v>472</v>
      </c>
      <c r="AI276" s="115" t="s">
        <v>23</v>
      </c>
      <c r="AJ276" s="115" t="s">
        <v>277</v>
      </c>
      <c r="AK276" s="115" t="s">
        <v>474</v>
      </c>
      <c r="AL276" s="115" t="s">
        <v>297</v>
      </c>
      <c r="AM276" s="121" t="s">
        <v>283</v>
      </c>
      <c r="AN276" s="115" t="s">
        <v>217</v>
      </c>
      <c r="AO276" s="115" t="s">
        <v>468</v>
      </c>
      <c r="AP276" s="115" t="s">
        <v>469</v>
      </c>
    </row>
    <row r="277" spans="1:42" ht="50.1" customHeight="1" x14ac:dyDescent="0.25">
      <c r="A277" s="43">
        <f>MONTH(TAB_HISTORICO_MANUT[[#This Row],[Hora Final]])-MONTH(TAB_HISTORICO_MANUT[[#This Row],[Hora Inicio]])</f>
        <v>0</v>
      </c>
      <c r="B277" s="42"/>
      <c r="C277" s="43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Inicio]]=Z276,TAB_HISTORICO_MANUT[[#This Row],[Equipamento]]=AA276,TAB_HISTORICO_MANUT[[#This Row],[Descricao Despacho]]=AD276),0,1)))</f>
        <v>1</v>
      </c>
      <c r="O27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277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7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77" s="50">
        <f>IF($Q277="","",(TAB_HISTORICO_MANUT[[#This Row],[Hora Final]]-TAB_HISTORICO_MANUT[[#This Row],[Hora Inicio]])*24)</f>
        <v>1.0502777777728625</v>
      </c>
      <c r="S27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77" s="54" t="str">
        <f>IF(AND(TAB_HISTORICO_MANUT[[#This Row],[EXPURGO Mãe]]="SIM",TAB_HISTORICO_MANUT[[#This Row],[Tipo]]="MÃE"),"EXP.MAE",IF(TAB_HISTORICO_MANUT[[#This Row],[EXPURGO Mãe]]="NÃO","NÃO EXP.MAE",T276))</f>
        <v>NÃO EXP.MAE</v>
      </c>
      <c r="U27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77" s="56">
        <f>IF(TAB_HISTORICO_MANUT[[#This Row],[EXPURGO Filhas]]="SIM",MAX(TAB_HISTORICO_MANUT[[#This Row],[Hora Final]]-TAB_HISTORICO_MANUT[[#This Row],[Hora Inicio]],0),0)</f>
        <v>0</v>
      </c>
      <c r="W27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7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77" s="46">
        <v>46027.341307870367</v>
      </c>
      <c r="Z277" s="47">
        <v>46027.385069444441</v>
      </c>
      <c r="AA277" s="48" t="s">
        <v>232</v>
      </c>
      <c r="AB277" s="48" t="s">
        <v>475</v>
      </c>
      <c r="AC277" s="43" t="s">
        <v>204</v>
      </c>
      <c r="AD277" s="46" t="s">
        <v>144</v>
      </c>
      <c r="AE277" s="46" t="s">
        <v>172</v>
      </c>
      <c r="AF277" s="88" t="s">
        <v>210</v>
      </c>
      <c r="AG277" s="105">
        <f>IF(TAB_HISTORICO_MANUT[[#This Row],[Hora Inicio]]="","",MONTH(TAB_HISTORICO_MANUT[[#This Row],[Hora Inicio]]))</f>
        <v>1</v>
      </c>
      <c r="AH277" s="58" t="s">
        <v>476</v>
      </c>
      <c r="AI277" s="43" t="s">
        <v>22</v>
      </c>
      <c r="AJ277" s="43" t="s">
        <v>295</v>
      </c>
      <c r="AK277" s="43" t="s">
        <v>458</v>
      </c>
      <c r="AL277" s="43" t="s">
        <v>479</v>
      </c>
      <c r="AM277" s="43" t="s">
        <v>283</v>
      </c>
      <c r="AN277" s="43" t="s">
        <v>215</v>
      </c>
      <c r="AO277" s="43" t="s">
        <v>477</v>
      </c>
      <c r="AP277" s="43" t="s">
        <v>478</v>
      </c>
    </row>
    <row r="278" spans="1:42" ht="50.1" customHeight="1" x14ac:dyDescent="0.25">
      <c r="A278" s="43">
        <f>MONTH(TAB_HISTORICO_MANUT[[#This Row],[Hora Final]])-MONTH(TAB_HISTORICO_MANUT[[#This Row],[Hora Inicio]])</f>
        <v>0</v>
      </c>
      <c r="B278" s="42"/>
      <c r="C278" s="43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Inicio]]=Z277,TAB_HISTORICO_MANUT[[#This Row],[Equipamento]]=AA277,TAB_HISTORICO_MANUT[[#This Row],[Descricao Despacho]]=AD277),0,1)))</f>
        <v>1</v>
      </c>
      <c r="O27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278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7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278" s="50">
        <f>IF($Q278="","",(TAB_HISTORICO_MANUT[[#This Row],[Hora Final]]-TAB_HISTORICO_MANUT[[#This Row],[Hora Inicio]])*24)</f>
        <v>1.1238888889783993</v>
      </c>
      <c r="S27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278" s="54" t="str">
        <f>IF(AND(TAB_HISTORICO_MANUT[[#This Row],[EXPURGO Mãe]]="SIM",TAB_HISTORICO_MANUT[[#This Row],[Tipo]]="MÃE"),"EXP.MAE",IF(TAB_HISTORICO_MANUT[[#This Row],[EXPURGO Mãe]]="NÃO","NÃO EXP.MAE",T277))</f>
        <v>EXP.MAE</v>
      </c>
      <c r="U27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78" s="56">
        <f>IF(TAB_HISTORICO_MANUT[[#This Row],[EXPURGO Filhas]]="SIM",MAX(TAB_HISTORICO_MANUT[[#This Row],[Hora Final]]-TAB_HISTORICO_MANUT[[#This Row],[Hora Inicio]],0),0)</f>
        <v>0</v>
      </c>
      <c r="W27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7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78" s="46">
        <v>46027.844340277778</v>
      </c>
      <c r="Z278" s="47">
        <v>46027.891168981485</v>
      </c>
      <c r="AA278" s="48" t="s">
        <v>232</v>
      </c>
      <c r="AB278" s="48" t="s">
        <v>250</v>
      </c>
      <c r="AC278" s="43" t="s">
        <v>212</v>
      </c>
      <c r="AD278" s="46" t="s">
        <v>144</v>
      </c>
      <c r="AE278" s="46" t="s">
        <v>214</v>
      </c>
      <c r="AF278" s="88" t="s">
        <v>210</v>
      </c>
      <c r="AG278" s="105">
        <f>IF(TAB_HISTORICO_MANUT[[#This Row],[Hora Inicio]]="","",MONTH(TAB_HISTORICO_MANUT[[#This Row],[Hora Inicio]]))</f>
        <v>1</v>
      </c>
      <c r="AH278" s="58" t="s">
        <v>272</v>
      </c>
      <c r="AI278" s="43" t="s">
        <v>82</v>
      </c>
      <c r="AJ278" s="43" t="s">
        <v>82</v>
      </c>
      <c r="AK278" s="43" t="s">
        <v>299</v>
      </c>
      <c r="AL278" s="43" t="s">
        <v>282</v>
      </c>
      <c r="AM278" s="114" t="s">
        <v>283</v>
      </c>
      <c r="AN278" s="43" t="s">
        <v>241</v>
      </c>
      <c r="AO278" s="43" t="s">
        <v>259</v>
      </c>
      <c r="AP278" s="43" t="s">
        <v>260</v>
      </c>
    </row>
    <row r="279" spans="1:42" ht="50.1" customHeight="1" x14ac:dyDescent="0.25">
      <c r="A279" s="43">
        <f>MONTH(TAB_HISTORICO_MANUT[[#This Row],[Hora Final]])-MONTH(TAB_HISTORICO_MANUT[[#This Row],[Hora Inicio]])</f>
        <v>0</v>
      </c>
      <c r="B279" s="42"/>
      <c r="C279" s="43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Inicio]]=Z278,TAB_HISTORICO_MANUT[[#This Row],[Equipamento]]=AA278,TAB_HISTORICO_MANUT[[#This Row],[Descricao Despacho]]=AD278),0,1)))</f>
        <v>1</v>
      </c>
      <c r="O27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279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7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279" s="50">
        <f>IF($Q279="","",(TAB_HISTORICO_MANUT[[#This Row],[Hora Final]]-TAB_HISTORICO_MANUT[[#This Row],[Hora Inicio]])*24)</f>
        <v>1.4699999999720603</v>
      </c>
      <c r="S27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279" s="54" t="str">
        <f>IF(AND(TAB_HISTORICO_MANUT[[#This Row],[EXPURGO Mãe]]="SIM",TAB_HISTORICO_MANUT[[#This Row],[Tipo]]="MÃE"),"EXP.MAE",IF(TAB_HISTORICO_MANUT[[#This Row],[EXPURGO Mãe]]="NÃO","NÃO EXP.MAE",T278))</f>
        <v>EXP.MAE</v>
      </c>
      <c r="U27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79" s="56">
        <f>IF(TAB_HISTORICO_MANUT[[#This Row],[EXPURGO Filhas]]="SIM",MAX(TAB_HISTORICO_MANUT[[#This Row],[Hora Final]]-TAB_HISTORICO_MANUT[[#This Row],[Hora Inicio]],0),0)</f>
        <v>0</v>
      </c>
      <c r="W27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7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79" s="46">
        <v>46028.281539351854</v>
      </c>
      <c r="Z279" s="47">
        <v>46028.342789351853</v>
      </c>
      <c r="AA279" s="48" t="s">
        <v>232</v>
      </c>
      <c r="AB279" s="48" t="s">
        <v>303</v>
      </c>
      <c r="AC279" s="43" t="s">
        <v>212</v>
      </c>
      <c r="AD279" s="46" t="s">
        <v>144</v>
      </c>
      <c r="AE279" s="46" t="s">
        <v>214</v>
      </c>
      <c r="AF279" s="88" t="s">
        <v>210</v>
      </c>
      <c r="AG279" s="105">
        <f>IF(TAB_HISTORICO_MANUT[[#This Row],[Hora Inicio]]="","",MONTH(TAB_HISTORICO_MANUT[[#This Row],[Hora Inicio]]))</f>
        <v>1</v>
      </c>
      <c r="AH279" s="58" t="s">
        <v>322</v>
      </c>
      <c r="AI279" s="43" t="s">
        <v>82</v>
      </c>
      <c r="AJ279" s="43" t="s">
        <v>82</v>
      </c>
      <c r="AK279" s="43" t="s">
        <v>299</v>
      </c>
      <c r="AL279" s="43" t="s">
        <v>282</v>
      </c>
      <c r="AM279" s="114" t="s">
        <v>283</v>
      </c>
      <c r="AN279" s="43" t="s">
        <v>241</v>
      </c>
      <c r="AO279" s="43" t="s">
        <v>312</v>
      </c>
      <c r="AP279" s="43" t="s">
        <v>313</v>
      </c>
    </row>
    <row r="280" spans="1:42" ht="50.1" customHeight="1" x14ac:dyDescent="0.25">
      <c r="A280" s="43">
        <f>MONTH(TAB_HISTORICO_MANUT[[#This Row],[Hora Final]])-MONTH(TAB_HISTORICO_MANUT[[#This Row],[Hora Inicio]])</f>
        <v>0</v>
      </c>
      <c r="B280" s="42"/>
      <c r="C280" s="43"/>
      <c r="D280" s="42"/>
      <c r="E280" s="42"/>
      <c r="F280" s="42"/>
      <c r="G280" s="42"/>
      <c r="H280" s="42"/>
      <c r="I280" s="42"/>
      <c r="J280" s="42"/>
      <c r="K280" s="42"/>
      <c r="L280" s="42"/>
      <c r="M280" s="42" t="s">
        <v>98</v>
      </c>
      <c r="N28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Inicio]]=Z279,TAB_HISTORICO_MANUT[[#This Row],[Equipamento]]=AA279,TAB_HISTORICO_MANUT[[#This Row],[Descricao Despacho]]=AD279),0,1)))</f>
        <v>1</v>
      </c>
      <c r="O28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280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8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80" s="50">
        <f>IF($Q280="","",(TAB_HISTORICO_MANUT[[#This Row],[Hora Final]]-TAB_HISTORICO_MANUT[[#This Row],[Hora Inicio]])*24)</f>
        <v>3.5713888888712972</v>
      </c>
      <c r="S28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280" s="54" t="str">
        <f>IF(AND(TAB_HISTORICO_MANUT[[#This Row],[EXPURGO Mãe]]="SIM",TAB_HISTORICO_MANUT[[#This Row],[Tipo]]="MÃE"),"EXP.MAE",IF(TAB_HISTORICO_MANUT[[#This Row],[EXPURGO Mãe]]="NÃO","NÃO EXP.MAE",T279))</f>
        <v>EXP.MAE</v>
      </c>
      <c r="U28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80" s="56">
        <f>IF(TAB_HISTORICO_MANUT[[#This Row],[EXPURGO Filhas]]="SIM",MAX(TAB_HISTORICO_MANUT[[#This Row],[Hora Final]]-TAB_HISTORICO_MANUT[[#This Row],[Hora Inicio]],0),0)</f>
        <v>0</v>
      </c>
      <c r="W28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8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80" s="46">
        <v>46031.202789351853</v>
      </c>
      <c r="Z280" s="47">
        <v>46031.351597222223</v>
      </c>
      <c r="AA280" s="48" t="s">
        <v>232</v>
      </c>
      <c r="AB280" s="48" t="s">
        <v>306</v>
      </c>
      <c r="AC280" s="43" t="s">
        <v>204</v>
      </c>
      <c r="AD280" s="46" t="s">
        <v>144</v>
      </c>
      <c r="AE280" s="46" t="s">
        <v>172</v>
      </c>
      <c r="AF280" s="88" t="s">
        <v>210</v>
      </c>
      <c r="AG280" s="105">
        <f>IF(TAB_HISTORICO_MANUT[[#This Row],[Hora Inicio]]="","",MONTH(TAB_HISTORICO_MANUT[[#This Row],[Hora Inicio]]))</f>
        <v>1</v>
      </c>
      <c r="AH280" s="58" t="s">
        <v>990</v>
      </c>
      <c r="AI280" s="43" t="s">
        <v>235</v>
      </c>
      <c r="AJ280" s="43" t="s">
        <v>83</v>
      </c>
      <c r="AK280" s="43" t="s">
        <v>335</v>
      </c>
      <c r="AL280" s="43" t="s">
        <v>297</v>
      </c>
      <c r="AM280" s="114" t="s">
        <v>283</v>
      </c>
      <c r="AN280" s="43" t="s">
        <v>217</v>
      </c>
      <c r="AO280" s="43" t="s">
        <v>317</v>
      </c>
      <c r="AP280" s="43" t="s">
        <v>318</v>
      </c>
    </row>
    <row r="281" spans="1:42" ht="50.1" customHeight="1" x14ac:dyDescent="0.25">
      <c r="A281" s="43">
        <f>MONTH(TAB_HISTORICO_MANUT[[#This Row],[Hora Final]])-MONTH(TAB_HISTORICO_MANUT[[#This Row],[Hora Inicio]])</f>
        <v>0</v>
      </c>
      <c r="B281" s="42"/>
      <c r="C281" s="43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Inicio]]=Z280,TAB_HISTORICO_MANUT[[#This Row],[Equipamento]]=AA280,TAB_HISTORICO_MANUT[[#This Row],[Descricao Despacho]]=AD280),0,1)))</f>
        <v>1</v>
      </c>
      <c r="O28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281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8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281" s="50">
        <f>IF($Q281="","",(TAB_HISTORICO_MANUT[[#This Row],[Hora Final]]-TAB_HISTORICO_MANUT[[#This Row],[Hora Inicio]])*24)</f>
        <v>0.84833333326969296</v>
      </c>
      <c r="S28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281" s="54" t="str">
        <f>IF(AND(TAB_HISTORICO_MANUT[[#This Row],[EXPURGO Mãe]]="SIM",TAB_HISTORICO_MANUT[[#This Row],[Tipo]]="MÃE"),"EXP.MAE",IF(TAB_HISTORICO_MANUT[[#This Row],[EXPURGO Mãe]]="NÃO","NÃO EXP.MAE",T280))</f>
        <v>EXP.MAE</v>
      </c>
      <c r="U28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81" s="56">
        <f>IF(TAB_HISTORICO_MANUT[[#This Row],[EXPURGO Filhas]]="SIM",MAX(TAB_HISTORICO_MANUT[[#This Row],[Hora Final]]-TAB_HISTORICO_MANUT[[#This Row],[Hora Inicio]],0),0)</f>
        <v>0</v>
      </c>
      <c r="W28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8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81" s="46">
        <v>46033.625138888892</v>
      </c>
      <c r="Z281" s="47">
        <v>46033.660486111112</v>
      </c>
      <c r="AA281" s="48" t="s">
        <v>232</v>
      </c>
      <c r="AB281" s="48" t="s">
        <v>309</v>
      </c>
      <c r="AC281" s="43" t="s">
        <v>212</v>
      </c>
      <c r="AD281" s="46" t="s">
        <v>144</v>
      </c>
      <c r="AE281" s="46" t="s">
        <v>214</v>
      </c>
      <c r="AF281" s="88" t="s">
        <v>210</v>
      </c>
      <c r="AG281" s="105">
        <f>IF(TAB_HISTORICO_MANUT[[#This Row],[Hora Inicio]]="","",MONTH(TAB_HISTORICO_MANUT[[#This Row],[Hora Inicio]]))</f>
        <v>1</v>
      </c>
      <c r="AH281" s="58" t="s">
        <v>329</v>
      </c>
      <c r="AI281" s="43" t="s">
        <v>82</v>
      </c>
      <c r="AJ281" s="43" t="s">
        <v>82</v>
      </c>
      <c r="AK281" s="43" t="s">
        <v>299</v>
      </c>
      <c r="AL281" s="43" t="s">
        <v>275</v>
      </c>
      <c r="AM281" s="114" t="s">
        <v>276</v>
      </c>
      <c r="AN281" s="43" t="s">
        <v>241</v>
      </c>
      <c r="AO281" s="43" t="s">
        <v>320</v>
      </c>
      <c r="AP281" s="43" t="s">
        <v>321</v>
      </c>
    </row>
    <row r="282" spans="1:42" ht="50.1" customHeight="1" x14ac:dyDescent="0.25">
      <c r="A282" s="43">
        <f>MONTH(TAB_HISTORICO_MANUT[[#This Row],[Hora Final]])-MONTH(TAB_HISTORICO_MANUT[[#This Row],[Hora Inicio]])</f>
        <v>0</v>
      </c>
      <c r="B282" s="42"/>
      <c r="C282" s="43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Inicio]]=Z281,TAB_HISTORICO_MANUT[[#This Row],[Equipamento]]=AA281,TAB_HISTORICO_MANUT[[#This Row],[Descricao Despacho]]=AD281),0,1)))</f>
        <v>1</v>
      </c>
      <c r="O28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282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8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82" s="50">
        <f>IF($Q282="","",(TAB_HISTORICO_MANUT[[#This Row],[Hora Final]]-TAB_HISTORICO_MANUT[[#This Row],[Hora Inicio]])*24)</f>
        <v>4.4699999999720603</v>
      </c>
      <c r="S28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82" s="54" t="str">
        <f>IF(AND(TAB_HISTORICO_MANUT[[#This Row],[EXPURGO Mãe]]="SIM",TAB_HISTORICO_MANUT[[#This Row],[Tipo]]="MÃE"),"EXP.MAE",IF(TAB_HISTORICO_MANUT[[#This Row],[EXPURGO Mãe]]="NÃO","NÃO EXP.MAE",T281))</f>
        <v>NÃO EXP.MAE</v>
      </c>
      <c r="U28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82" s="56">
        <f>IF(TAB_HISTORICO_MANUT[[#This Row],[EXPURGO Filhas]]="SIM",MAX(TAB_HISTORICO_MANUT[[#This Row],[Hora Final]]-TAB_HISTORICO_MANUT[[#This Row],[Hora Inicio]],0),0)</f>
        <v>0</v>
      </c>
      <c r="W28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8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82" s="46">
        <v>46034.05846064815</v>
      </c>
      <c r="Z282" s="47">
        <v>46034.244710648149</v>
      </c>
      <c r="AA282" s="48" t="s">
        <v>232</v>
      </c>
      <c r="AB282" s="48" t="s">
        <v>351</v>
      </c>
      <c r="AC282" s="43" t="s">
        <v>204</v>
      </c>
      <c r="AD282" s="46" t="s">
        <v>144</v>
      </c>
      <c r="AE282" s="46" t="s">
        <v>172</v>
      </c>
      <c r="AF282" s="88" t="s">
        <v>210</v>
      </c>
      <c r="AG282" s="105">
        <f>IF(TAB_HISTORICO_MANUT[[#This Row],[Hora Inicio]]="","",MONTH(TAB_HISTORICO_MANUT[[#This Row],[Hora Inicio]]))</f>
        <v>1</v>
      </c>
      <c r="AH282" s="58" t="s">
        <v>344</v>
      </c>
      <c r="AI282" s="43" t="s">
        <v>22</v>
      </c>
      <c r="AJ282" s="43"/>
      <c r="AK282" s="43"/>
      <c r="AL282" s="43"/>
      <c r="AM282" s="114"/>
      <c r="AN282" s="43" t="s">
        <v>217</v>
      </c>
      <c r="AO282" s="43" t="s">
        <v>349</v>
      </c>
      <c r="AP282" s="43" t="s">
        <v>350</v>
      </c>
    </row>
    <row r="283" spans="1:42" ht="50.1" customHeight="1" x14ac:dyDescent="0.25">
      <c r="A283" s="43">
        <f>MONTH(TAB_HISTORICO_MANUT[[#This Row],[Hora Final]])-MONTH(TAB_HISTORICO_MANUT[[#This Row],[Hora Inicio]])</f>
        <v>0</v>
      </c>
      <c r="B283" s="42"/>
      <c r="C283" s="43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Inicio]]=Z282,TAB_HISTORICO_MANUT[[#This Row],[Equipamento]]=AA282,TAB_HISTORICO_MANUT[[#This Row],[Descricao Despacho]]=AD282),0,1)))</f>
        <v>1</v>
      </c>
      <c r="O28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283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28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283" s="50">
        <f>IF($Q283="","",(TAB_HISTORICO_MANUT[[#This Row],[Hora Final]]-TAB_HISTORICO_MANUT[[#This Row],[Hora Inicio]])*24)</f>
        <v>0.62861111119855195</v>
      </c>
      <c r="S28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283" s="54" t="str">
        <f>IF(AND(TAB_HISTORICO_MANUT[[#This Row],[EXPURGO Mãe]]="SIM",TAB_HISTORICO_MANUT[[#This Row],[Tipo]]="MÃE"),"EXP.MAE",IF(TAB_HISTORICO_MANUT[[#This Row],[EXPURGO Mãe]]="NÃO","NÃO EXP.MAE",T282))</f>
        <v>EXP.MAE</v>
      </c>
      <c r="U28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83" s="56">
        <f>IF(TAB_HISTORICO_MANUT[[#This Row],[EXPURGO Filhas]]="SIM",MAX(TAB_HISTORICO_MANUT[[#This Row],[Hora Final]]-TAB_HISTORICO_MANUT[[#This Row],[Hora Inicio]],0),0)</f>
        <v>0</v>
      </c>
      <c r="W28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8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83" s="46">
        <v>46038.003298611111</v>
      </c>
      <c r="Z283" s="47">
        <v>46038.029490740744</v>
      </c>
      <c r="AA283" s="48" t="s">
        <v>232</v>
      </c>
      <c r="AB283" s="48"/>
      <c r="AC283" s="43" t="s">
        <v>361</v>
      </c>
      <c r="AD283" s="46" t="s">
        <v>145</v>
      </c>
      <c r="AE283" s="46" t="s">
        <v>358</v>
      </c>
      <c r="AF283" s="88" t="s">
        <v>210</v>
      </c>
      <c r="AG283" s="105">
        <f>IF(TAB_HISTORICO_MANUT[[#This Row],[Hora Inicio]]="","",MONTH(TAB_HISTORICO_MANUT[[#This Row],[Hora Inicio]]))</f>
        <v>1</v>
      </c>
      <c r="AH283" s="58"/>
      <c r="AI283" s="43" t="s">
        <v>82</v>
      </c>
      <c r="AJ283" s="43"/>
      <c r="AK283" s="43"/>
      <c r="AL283" s="43"/>
      <c r="AM283" s="114"/>
      <c r="AN283" s="43"/>
      <c r="AO283" s="43"/>
      <c r="AP283" s="43"/>
    </row>
    <row r="284" spans="1:42" ht="50.1" customHeight="1" x14ac:dyDescent="0.25">
      <c r="A284" s="43">
        <f>MONTH(TAB_HISTORICO_MANUT[[#This Row],[Hora Final]])-MONTH(TAB_HISTORICO_MANUT[[#This Row],[Hora Inicio]])</f>
        <v>0</v>
      </c>
      <c r="B284" s="42"/>
      <c r="C284" s="43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Inicio]]=Z283,TAB_HISTORICO_MANUT[[#This Row],[Equipamento]]=AA283,TAB_HISTORICO_MANUT[[#This Row],[Descricao Despacho]]=AD283),0,1)))</f>
        <v>1</v>
      </c>
      <c r="O28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284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8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284" s="50">
        <f>IF($Q284="","",(TAB_HISTORICO_MANUT[[#This Row],[Hora Final]]-TAB_HISTORICO_MANUT[[#This Row],[Hora Inicio]])*24)</f>
        <v>0.61111111094942316</v>
      </c>
      <c r="S28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84" s="54" t="str">
        <f>IF(AND(TAB_HISTORICO_MANUT[[#This Row],[EXPURGO Mãe]]="SIM",TAB_HISTORICO_MANUT[[#This Row],[Tipo]]="MÃE"),"EXP.MAE",IF(TAB_HISTORICO_MANUT[[#This Row],[EXPURGO Mãe]]="NÃO","NÃO EXP.MAE",T283))</f>
        <v>NÃO EXP.MAE</v>
      </c>
      <c r="U28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84" s="56">
        <f>IF(TAB_HISTORICO_MANUT[[#This Row],[EXPURGO Filhas]]="SIM",MAX(TAB_HISTORICO_MANUT[[#This Row],[Hora Final]]-TAB_HISTORICO_MANUT[[#This Row],[Hora Inicio]],0),0)</f>
        <v>0</v>
      </c>
      <c r="W28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8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84" s="46">
        <v>46040.172418981485</v>
      </c>
      <c r="Z284" s="47">
        <v>46040.197881944441</v>
      </c>
      <c r="AA284" s="48" t="s">
        <v>232</v>
      </c>
      <c r="AB284" s="48" t="s">
        <v>367</v>
      </c>
      <c r="AC284" s="43" t="s">
        <v>211</v>
      </c>
      <c r="AD284" s="46" t="s">
        <v>144</v>
      </c>
      <c r="AE284" s="46" t="s">
        <v>213</v>
      </c>
      <c r="AF284" s="88" t="s">
        <v>210</v>
      </c>
      <c r="AG284" s="105">
        <f>IF(TAB_HISTORICO_MANUT[[#This Row],[Hora Inicio]]="","",MONTH(TAB_HISTORICO_MANUT[[#This Row],[Hora Inicio]]))</f>
        <v>1</v>
      </c>
      <c r="AH284" s="58" t="s">
        <v>381</v>
      </c>
      <c r="AI284" s="43" t="s">
        <v>21</v>
      </c>
      <c r="AJ284" s="43" t="s">
        <v>356</v>
      </c>
      <c r="AK284" s="43" t="s">
        <v>291</v>
      </c>
      <c r="AL284" s="43" t="s">
        <v>292</v>
      </c>
      <c r="AM284" s="114" t="s">
        <v>280</v>
      </c>
      <c r="AN284" s="43" t="s">
        <v>229</v>
      </c>
      <c r="AO284" s="43" t="s">
        <v>404</v>
      </c>
      <c r="AP284" s="43" t="s">
        <v>242</v>
      </c>
    </row>
    <row r="285" spans="1:42" ht="50.1" customHeight="1" x14ac:dyDescent="0.25">
      <c r="A285" s="43">
        <f>MONTH(TAB_HISTORICO_MANUT[[#This Row],[Hora Final]])-MONTH(TAB_HISTORICO_MANUT[[#This Row],[Hora Inicio]])</f>
        <v>0</v>
      </c>
      <c r="B285" s="42"/>
      <c r="C285" s="43"/>
      <c r="D285" s="42"/>
      <c r="E285" s="42"/>
      <c r="F285" s="42"/>
      <c r="G285" s="42"/>
      <c r="H285" s="42"/>
      <c r="I285" s="42"/>
      <c r="J285" s="42"/>
      <c r="K285" s="42"/>
      <c r="L285" s="42"/>
      <c r="M285" s="42" t="s">
        <v>98</v>
      </c>
      <c r="N28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Inicio]]=Z284,TAB_HISTORICO_MANUT[[#This Row],[Equipamento]]=AA284,TAB_HISTORICO_MANUT[[#This Row],[Descricao Despacho]]=AD284),0,1)))</f>
        <v>1</v>
      </c>
      <c r="O28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285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8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85" s="50">
        <f>IF($Q285="","",(TAB_HISTORICO_MANUT[[#This Row],[Hora Final]]-TAB_HISTORICO_MANUT[[#This Row],[Hora Inicio]])*24)</f>
        <v>1.375277777784504</v>
      </c>
      <c r="S28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285" s="54" t="str">
        <f>IF(AND(TAB_HISTORICO_MANUT[[#This Row],[EXPURGO Mãe]]="SIM",TAB_HISTORICO_MANUT[[#This Row],[Tipo]]="MÃE"),"EXP.MAE",IF(TAB_HISTORICO_MANUT[[#This Row],[EXPURGO Mãe]]="NÃO","NÃO EXP.MAE",T284))</f>
        <v>EXP.MAE</v>
      </c>
      <c r="U28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85" s="56">
        <f>IF(TAB_HISTORICO_MANUT[[#This Row],[EXPURGO Filhas]]="SIM",MAX(TAB_HISTORICO_MANUT[[#This Row],[Hora Final]]-TAB_HISTORICO_MANUT[[#This Row],[Hora Inicio]],0),0)</f>
        <v>0</v>
      </c>
      <c r="W28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8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85" s="46">
        <v>46040.311944444446</v>
      </c>
      <c r="Z285" s="47">
        <v>46040.369247685187</v>
      </c>
      <c r="AA285" s="48" t="s">
        <v>232</v>
      </c>
      <c r="AB285" s="48" t="s">
        <v>368</v>
      </c>
      <c r="AC285" s="43" t="s">
        <v>204</v>
      </c>
      <c r="AD285" s="46" t="s">
        <v>144</v>
      </c>
      <c r="AE285" s="46" t="s">
        <v>172</v>
      </c>
      <c r="AF285" s="88" t="s">
        <v>210</v>
      </c>
      <c r="AG285" s="105">
        <f>IF(TAB_HISTORICO_MANUT[[#This Row],[Hora Inicio]]="","",MONTH(TAB_HISTORICO_MANUT[[#This Row],[Hora Inicio]]))</f>
        <v>1</v>
      </c>
      <c r="AH285" s="58" t="s">
        <v>991</v>
      </c>
      <c r="AI285" s="43" t="s">
        <v>24</v>
      </c>
      <c r="AJ285" s="43" t="s">
        <v>423</v>
      </c>
      <c r="AK285" s="43" t="s">
        <v>422</v>
      </c>
      <c r="AL285" s="43" t="s">
        <v>279</v>
      </c>
      <c r="AM285" s="114" t="s">
        <v>280</v>
      </c>
      <c r="AN285" s="43" t="s">
        <v>217</v>
      </c>
      <c r="AO285" s="43" t="s">
        <v>405</v>
      </c>
      <c r="AP285" s="43" t="s">
        <v>403</v>
      </c>
    </row>
    <row r="286" spans="1:42" ht="50.1" customHeight="1" x14ac:dyDescent="0.25">
      <c r="A286" s="43">
        <f>MONTH(TAB_HISTORICO_MANUT[[#This Row],[Hora Final]])-MONTH(TAB_HISTORICO_MANUT[[#This Row],[Hora Inicio]])</f>
        <v>0</v>
      </c>
      <c r="B286" s="42"/>
      <c r="C286" s="43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Inicio]]=Z285,TAB_HISTORICO_MANUT[[#This Row],[Equipamento]]=AA285,TAB_HISTORICO_MANUT[[#This Row],[Descricao Despacho]]=AD285),0,1)))</f>
        <v>1</v>
      </c>
      <c r="O28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28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8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86" s="50">
        <f>IF($Q286="","",(TAB_HISTORICO_MANUT[[#This Row],[Hora Final]]-TAB_HISTORICO_MANUT[[#This Row],[Hora Inicio]])*24)</f>
        <v>3.5447222222574055</v>
      </c>
      <c r="S28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86" s="54" t="str">
        <f>IF(AND(TAB_HISTORICO_MANUT[[#This Row],[EXPURGO Mãe]]="SIM",TAB_HISTORICO_MANUT[[#This Row],[Tipo]]="MÃE"),"EXP.MAE",IF(TAB_HISTORICO_MANUT[[#This Row],[EXPURGO Mãe]]="NÃO","NÃO EXP.MAE",T285))</f>
        <v>NÃO EXP.MAE</v>
      </c>
      <c r="U28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86" s="56">
        <f>IF(TAB_HISTORICO_MANUT[[#This Row],[EXPURGO Filhas]]="SIM",MAX(TAB_HISTORICO_MANUT[[#This Row],[Hora Final]]-TAB_HISTORICO_MANUT[[#This Row],[Hora Inicio]],0),0)</f>
        <v>0</v>
      </c>
      <c r="W28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8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86" s="46">
        <v>46045.334687499999</v>
      </c>
      <c r="Z286" s="47">
        <v>46045.48238425926</v>
      </c>
      <c r="AA286" s="48" t="s">
        <v>232</v>
      </c>
      <c r="AB286" s="48" t="s">
        <v>371</v>
      </c>
      <c r="AC286" s="43" t="s">
        <v>204</v>
      </c>
      <c r="AD286" s="46" t="s">
        <v>144</v>
      </c>
      <c r="AE286" s="46" t="s">
        <v>172</v>
      </c>
      <c r="AF286" s="88" t="s">
        <v>210</v>
      </c>
      <c r="AG286" s="105">
        <f>IF(TAB_HISTORICO_MANUT[[#This Row],[Hora Inicio]]="","",MONTH(TAB_HISTORICO_MANUT[[#This Row],[Hora Inicio]]))</f>
        <v>1</v>
      </c>
      <c r="AH286" s="58" t="s">
        <v>388</v>
      </c>
      <c r="AI286" s="43" t="s">
        <v>23</v>
      </c>
      <c r="AJ286" s="43" t="s">
        <v>23</v>
      </c>
      <c r="AK286" s="43" t="s">
        <v>424</v>
      </c>
      <c r="AL286" s="43" t="s">
        <v>334</v>
      </c>
      <c r="AM286" s="114"/>
      <c r="AN286" s="43" t="s">
        <v>217</v>
      </c>
      <c r="AO286" s="43" t="s">
        <v>406</v>
      </c>
      <c r="AP286" s="43" t="s">
        <v>407</v>
      </c>
    </row>
    <row r="287" spans="1:42" ht="50.1" customHeight="1" x14ac:dyDescent="0.25">
      <c r="A287" s="43">
        <f>MONTH(TAB_HISTORICO_MANUT[[#This Row],[Hora Final]])-MONTH(TAB_HISTORICO_MANUT[[#This Row],[Hora Inicio]])</f>
        <v>0</v>
      </c>
      <c r="B287" s="42"/>
      <c r="C287" s="43"/>
      <c r="D287" s="42"/>
      <c r="E287" s="42"/>
      <c r="F287" s="42"/>
      <c r="G287" s="42"/>
      <c r="H287" s="42"/>
      <c r="I287" s="42"/>
      <c r="J287" s="42"/>
      <c r="K287" s="42"/>
      <c r="L287" s="42"/>
      <c r="M287" s="42" t="s">
        <v>99</v>
      </c>
      <c r="N28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Inicio]]=Z286,TAB_HISTORICO_MANUT[[#This Row],[Equipamento]]=AA286,TAB_HISTORICO_MANUT[[#This Row],[Descricao Despacho]]=AD286),0,1)))</f>
        <v>1</v>
      </c>
      <c r="O28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287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8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287" s="50">
        <f>IF($Q287="","",(TAB_HISTORICO_MANUT[[#This Row],[Hora Final]]-TAB_HISTORICO_MANUT[[#This Row],[Hora Inicio]])*24)</f>
        <v>1.0000000001164153</v>
      </c>
      <c r="S28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87" s="54" t="str">
        <f>IF(AND(TAB_HISTORICO_MANUT[[#This Row],[EXPURGO Mãe]]="SIM",TAB_HISTORICO_MANUT[[#This Row],[Tipo]]="MÃE"),"EXP.MAE",IF(TAB_HISTORICO_MANUT[[#This Row],[EXPURGO Mãe]]="NÃO","NÃO EXP.MAE",T286))</f>
        <v>NÃO EXP.MAE</v>
      </c>
      <c r="U28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87" s="56">
        <f>IF(TAB_HISTORICO_MANUT[[#This Row],[EXPURGO Filhas]]="SIM",MAX(TAB_HISTORICO_MANUT[[#This Row],[Hora Final]]-TAB_HISTORICO_MANUT[[#This Row],[Hora Inicio]],0),0)</f>
        <v>0</v>
      </c>
      <c r="W28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8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87" s="46">
        <v>46046.13685185185</v>
      </c>
      <c r="Z287" s="46">
        <v>46046.178518518522</v>
      </c>
      <c r="AA287" s="48" t="s">
        <v>232</v>
      </c>
      <c r="AB287" s="48"/>
      <c r="AC287" s="43" t="s">
        <v>300</v>
      </c>
      <c r="AD287" s="46" t="s">
        <v>146</v>
      </c>
      <c r="AE287" s="46" t="s">
        <v>178</v>
      </c>
      <c r="AF287" s="88" t="s">
        <v>210</v>
      </c>
      <c r="AG287" s="105">
        <f>IF(TAB_HISTORICO_MANUT[[#This Row],[Hora Inicio]]="","",MONTH(TAB_HISTORICO_MANUT[[#This Row],[Hora Inicio]]))</f>
        <v>1</v>
      </c>
      <c r="AH287" s="58" t="s">
        <v>434</v>
      </c>
      <c r="AI287" s="43" t="s">
        <v>340</v>
      </c>
      <c r="AJ287" s="43" t="s">
        <v>432</v>
      </c>
      <c r="AK287" s="43"/>
      <c r="AL287" s="43"/>
      <c r="AM287" s="114"/>
      <c r="AN287" s="43"/>
      <c r="AO287" s="43"/>
      <c r="AP287" s="43"/>
    </row>
    <row r="288" spans="1:42" ht="50.1" customHeight="1" x14ac:dyDescent="0.25">
      <c r="A288" s="43">
        <f>MONTH(TAB_HISTORICO_MANUT[[#This Row],[Hora Final]])-MONTH(TAB_HISTORICO_MANUT[[#This Row],[Hora Inicio]])</f>
        <v>0</v>
      </c>
      <c r="B288" s="42"/>
      <c r="C288" s="43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Inicio]]=Z287,TAB_HISTORICO_MANUT[[#This Row],[Equipamento]]=AA287,TAB_HISTORICO_MANUT[[#This Row],[Descricao Despacho]]=AD287),0,1)))</f>
        <v>0</v>
      </c>
      <c r="O28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288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8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288" s="50">
        <f>IF($Q288="","",(TAB_HISTORICO_MANUT[[#This Row],[Hora Final]]-TAB_HISTORICO_MANUT[[#This Row],[Hora Inicio]])*24)</f>
        <v>2.2658333331928588</v>
      </c>
      <c r="S28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288" s="54" t="str">
        <f>IF(AND(TAB_HISTORICO_MANUT[[#This Row],[EXPURGO Mãe]]="SIM",TAB_HISTORICO_MANUT[[#This Row],[Tipo]]="MÃE"),"EXP.MAE",IF(TAB_HISTORICO_MANUT[[#This Row],[EXPURGO Mãe]]="NÃO","NÃO EXP.MAE",T287))</f>
        <v>EXP.MAE</v>
      </c>
      <c r="U28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88" s="56">
        <f>IF(TAB_HISTORICO_MANUT[[#This Row],[EXPURGO Filhas]]="SIM",MAX(TAB_HISTORICO_MANUT[[#This Row],[Hora Final]]-TAB_HISTORICO_MANUT[[#This Row],[Hora Inicio]],0),0)</f>
        <v>0</v>
      </c>
      <c r="W28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8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88" s="46">
        <v>46046.178518518522</v>
      </c>
      <c r="Z288" s="47">
        <v>46046.272928240738</v>
      </c>
      <c r="AA288" s="48" t="s">
        <v>232</v>
      </c>
      <c r="AB288" s="48"/>
      <c r="AC288" s="43" t="s">
        <v>300</v>
      </c>
      <c r="AD288" s="46" t="s">
        <v>146</v>
      </c>
      <c r="AE288" s="46" t="s">
        <v>178</v>
      </c>
      <c r="AF288" s="88" t="s">
        <v>210</v>
      </c>
      <c r="AG288" s="105">
        <f>IF(TAB_HISTORICO_MANUT[[#This Row],[Hora Inicio]]="","",MONTH(TAB_HISTORICO_MANUT[[#This Row],[Hora Inicio]]))</f>
        <v>1</v>
      </c>
      <c r="AH288" s="58" t="s">
        <v>434</v>
      </c>
      <c r="AI288" s="43" t="s">
        <v>340</v>
      </c>
      <c r="AJ288" s="43" t="s">
        <v>432</v>
      </c>
      <c r="AK288" s="43"/>
      <c r="AL288" s="43"/>
      <c r="AM288" s="114"/>
      <c r="AN288" s="43"/>
      <c r="AO288" s="43"/>
      <c r="AP288" s="43"/>
    </row>
    <row r="289" spans="1:42" ht="50.1" customHeight="1" x14ac:dyDescent="0.25">
      <c r="A289" s="43">
        <f>MONTH(TAB_HISTORICO_MANUT[[#This Row],[Hora Final]])-MONTH(TAB_HISTORICO_MANUT[[#This Row],[Hora Inicio]])</f>
        <v>0</v>
      </c>
      <c r="B289" s="42"/>
      <c r="C289" s="43"/>
      <c r="D289" s="42"/>
      <c r="E289" s="42"/>
      <c r="F289" s="42"/>
      <c r="G289" s="42"/>
      <c r="H289" s="42"/>
      <c r="I289" s="42"/>
      <c r="J289" s="42"/>
      <c r="K289" s="42"/>
      <c r="L289" s="42">
        <v>0</v>
      </c>
      <c r="M289" s="42"/>
      <c r="N28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Inicio]]=Z288,TAB_HISTORICO_MANUT[[#This Row],[Equipamento]]=AA288,TAB_HISTORICO_MANUT[[#This Row],[Descricao Despacho]]=AD288),0,1)))</f>
        <v>0</v>
      </c>
      <c r="O28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289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8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289" s="50">
        <f>IF($Q289="","",(TAB_HISTORICO_MANUT[[#This Row],[Hora Final]]-TAB_HISTORICO_MANUT[[#This Row],[Hora Inicio]])*24)</f>
        <v>0.63194444443797693</v>
      </c>
      <c r="S28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89" s="54" t="str">
        <f>IF(AND(TAB_HISTORICO_MANUT[[#This Row],[EXPURGO Mãe]]="SIM",TAB_HISTORICO_MANUT[[#This Row],[Tipo]]="MÃE"),"EXP.MAE",IF(TAB_HISTORICO_MANUT[[#This Row],[EXPURGO Mãe]]="NÃO","NÃO EXP.MAE",T288))</f>
        <v>NÃO EXP.MAE</v>
      </c>
      <c r="U28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89" s="56">
        <f>IF(TAB_HISTORICO_MANUT[[#This Row],[EXPURGO Filhas]]="SIM",MAX(TAB_HISTORICO_MANUT[[#This Row],[Hora Final]]-TAB_HISTORICO_MANUT[[#This Row],[Hora Inicio]],0),0)</f>
        <v>0</v>
      </c>
      <c r="W28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8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89" s="46">
        <v>46046.418668981481</v>
      </c>
      <c r="Z289" s="47">
        <v>46046.445</v>
      </c>
      <c r="AA289" s="48" t="s">
        <v>232</v>
      </c>
      <c r="AB289" s="48"/>
      <c r="AC289" s="43" t="s">
        <v>301</v>
      </c>
      <c r="AD289" s="46" t="s">
        <v>146</v>
      </c>
      <c r="AE289" s="46" t="s">
        <v>310</v>
      </c>
      <c r="AF289" s="88" t="s">
        <v>210</v>
      </c>
      <c r="AG289" s="105">
        <f>IF(TAB_HISTORICO_MANUT[[#This Row],[Hora Inicio]]="","",MONTH(TAB_HISTORICO_MANUT[[#This Row],[Hora Inicio]]))</f>
        <v>1</v>
      </c>
      <c r="AH289" s="58" t="s">
        <v>434</v>
      </c>
      <c r="AI289" s="43" t="s">
        <v>340</v>
      </c>
      <c r="AJ289" s="43" t="s">
        <v>432</v>
      </c>
      <c r="AK289" s="43"/>
      <c r="AL289" s="43"/>
      <c r="AM289" s="114"/>
      <c r="AN289" s="43"/>
      <c r="AO289" s="43"/>
      <c r="AP289" s="43"/>
    </row>
    <row r="290" spans="1:42" ht="50.1" customHeight="1" x14ac:dyDescent="0.25">
      <c r="A290" s="43">
        <f>MONTH(TAB_HISTORICO_MANUT[[#This Row],[Hora Final]])-MONTH(TAB_HISTORICO_MANUT[[#This Row],[Hora Inicio]])</f>
        <v>0</v>
      </c>
      <c r="B290" s="42"/>
      <c r="C290" s="43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Inicio]]=Z289,TAB_HISTORICO_MANUT[[#This Row],[Equipamento]]=AA289,TAB_HISTORICO_MANUT[[#This Row],[Descricao Despacho]]=AD289),0,1)))</f>
        <v>0</v>
      </c>
      <c r="O29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290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9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290" s="50">
        <f>IF($Q290="","",(TAB_HISTORICO_MANUT[[#This Row],[Hora Final]]-TAB_HISTORICO_MANUT[[#This Row],[Hora Inicio]])*24)</f>
        <v>4.3500000000349246</v>
      </c>
      <c r="S29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290" s="54" t="str">
        <f>IF(AND(TAB_HISTORICO_MANUT[[#This Row],[EXPURGO Mãe]]="SIM",TAB_HISTORICO_MANUT[[#This Row],[Tipo]]="MÃE"),"EXP.MAE",IF(TAB_HISTORICO_MANUT[[#This Row],[EXPURGO Mãe]]="NÃO","NÃO EXP.MAE",T289))</f>
        <v>EXP.MAE</v>
      </c>
      <c r="U29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90" s="56">
        <f>IF(TAB_HISTORICO_MANUT[[#This Row],[EXPURGO Filhas]]="SIM",MAX(TAB_HISTORICO_MANUT[[#This Row],[Hora Final]]-TAB_HISTORICO_MANUT[[#This Row],[Hora Inicio]],0),0)</f>
        <v>0</v>
      </c>
      <c r="W29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9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90" s="46">
        <v>46046.445</v>
      </c>
      <c r="Z290" s="47">
        <v>46046.626250000001</v>
      </c>
      <c r="AA290" s="48" t="s">
        <v>232</v>
      </c>
      <c r="AB290" s="48"/>
      <c r="AC290" s="43" t="s">
        <v>362</v>
      </c>
      <c r="AD290" s="46" t="s">
        <v>146</v>
      </c>
      <c r="AE290" s="46" t="s">
        <v>175</v>
      </c>
      <c r="AF290" s="88" t="s">
        <v>210</v>
      </c>
      <c r="AG290" s="105">
        <f>IF(TAB_HISTORICO_MANUT[[#This Row],[Hora Inicio]]="","",MONTH(TAB_HISTORICO_MANUT[[#This Row],[Hora Inicio]]))</f>
        <v>1</v>
      </c>
      <c r="AH290" s="58" t="s">
        <v>435</v>
      </c>
      <c r="AI290" s="43" t="s">
        <v>340</v>
      </c>
      <c r="AJ290" s="43" t="s">
        <v>432</v>
      </c>
      <c r="AK290" s="43"/>
      <c r="AL290" s="43"/>
      <c r="AM290" s="114"/>
      <c r="AN290" s="43"/>
      <c r="AO290" s="43"/>
      <c r="AP290" s="43"/>
    </row>
    <row r="291" spans="1:42" ht="50.1" customHeight="1" x14ac:dyDescent="0.25">
      <c r="A291" s="43">
        <f>MONTH(TAB_HISTORICO_MANUT[[#This Row],[Hora Final]])-MONTH(TAB_HISTORICO_MANUT[[#This Row],[Hora Inicio]])</f>
        <v>0</v>
      </c>
      <c r="B291" s="42"/>
      <c r="C291" s="43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Inicio]]=Z290,TAB_HISTORICO_MANUT[[#This Row],[Equipamento]]=AA290,TAB_HISTORICO_MANUT[[#This Row],[Descricao Despacho]]=AD290),0,1)))</f>
        <v>0</v>
      </c>
      <c r="O29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291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9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291" s="50">
        <f>IF($Q291="","",(TAB_HISTORICO_MANUT[[#This Row],[Hora Final]]-TAB_HISTORICO_MANUT[[#This Row],[Hora Inicio]])*24)</f>
        <v>2.2344444444752298</v>
      </c>
      <c r="S29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91" s="54" t="str">
        <f>IF(AND(TAB_HISTORICO_MANUT[[#This Row],[EXPURGO Mãe]]="SIM",TAB_HISTORICO_MANUT[[#This Row],[Tipo]]="MÃE"),"EXP.MAE",IF(TAB_HISTORICO_MANUT[[#This Row],[EXPURGO Mãe]]="NÃO","NÃO EXP.MAE",T290))</f>
        <v>NÃO EXP.MAE</v>
      </c>
      <c r="U29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91" s="56">
        <f>IF(TAB_HISTORICO_MANUT[[#This Row],[EXPURGO Filhas]]="SIM",MAX(TAB_HISTORICO_MANUT[[#This Row],[Hora Final]]-TAB_HISTORICO_MANUT[[#This Row],[Hora Inicio]],0),0)</f>
        <v>0</v>
      </c>
      <c r="W29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9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91" s="46">
        <v>46046.626250000001</v>
      </c>
      <c r="Z291" s="47">
        <v>46046.719351851854</v>
      </c>
      <c r="AA291" s="48" t="s">
        <v>232</v>
      </c>
      <c r="AB291" s="48"/>
      <c r="AC291" s="43" t="s">
        <v>302</v>
      </c>
      <c r="AD291" s="46" t="s">
        <v>146</v>
      </c>
      <c r="AE291" s="46" t="s">
        <v>311</v>
      </c>
      <c r="AF291" s="88" t="s">
        <v>210</v>
      </c>
      <c r="AG291" s="105">
        <f>IF(TAB_HISTORICO_MANUT[[#This Row],[Hora Inicio]]="","",MONTH(TAB_HISTORICO_MANUT[[#This Row],[Hora Inicio]]))</f>
        <v>1</v>
      </c>
      <c r="AH291" s="58" t="s">
        <v>434</v>
      </c>
      <c r="AI291" s="43" t="s">
        <v>340</v>
      </c>
      <c r="AJ291" s="43" t="s">
        <v>432</v>
      </c>
      <c r="AK291" s="43"/>
      <c r="AL291" s="43"/>
      <c r="AM291" s="114"/>
      <c r="AN291" s="43"/>
      <c r="AO291" s="43"/>
      <c r="AP291" s="43"/>
    </row>
    <row r="292" spans="1:42" ht="50.1" customHeight="1" x14ac:dyDescent="0.25">
      <c r="A292" s="43">
        <f>MONTH(TAB_HISTORICO_MANUT[[#This Row],[Hora Final]])-MONTH(TAB_HISTORICO_MANUT[[#This Row],[Hora Inicio]])</f>
        <v>0</v>
      </c>
      <c r="B292" s="42"/>
      <c r="C292" s="43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Inicio]]=Z291,TAB_HISTORICO_MANUT[[#This Row],[Equipamento]]=AA291,TAB_HISTORICO_MANUT[[#This Row],[Descricao Despacho]]=AD291),0,1)))</f>
        <v>0</v>
      </c>
      <c r="O29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292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29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292" s="50">
        <f>IF($Q292="","",(TAB_HISTORICO_MANUT[[#This Row],[Hora Final]]-TAB_HISTORICO_MANUT[[#This Row],[Hora Inicio]])*24)</f>
        <v>16.710833333199844</v>
      </c>
      <c r="S29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92" s="54" t="str">
        <f>IF(AND(TAB_HISTORICO_MANUT[[#This Row],[EXPURGO Mãe]]="SIM",TAB_HISTORICO_MANUT[[#This Row],[Tipo]]="MÃE"),"EXP.MAE",IF(TAB_HISTORICO_MANUT[[#This Row],[EXPURGO Mãe]]="NÃO","NÃO EXP.MAE",T291))</f>
        <v>NÃO EXP.MAE</v>
      </c>
      <c r="U29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92" s="56">
        <f>IF(TAB_HISTORICO_MANUT[[#This Row],[EXPURGO Filhas]]="SIM",MAX(TAB_HISTORICO_MANUT[[#This Row],[Hora Final]]-TAB_HISTORICO_MANUT[[#This Row],[Hora Inicio]],0),0)</f>
        <v>0</v>
      </c>
      <c r="W29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9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92" s="46">
        <v>46046.719351851854</v>
      </c>
      <c r="Z292" s="47">
        <v>46047.415636574071</v>
      </c>
      <c r="AA292" s="48" t="s">
        <v>232</v>
      </c>
      <c r="AB292" s="48"/>
      <c r="AC292" s="43" t="s">
        <v>301</v>
      </c>
      <c r="AD292" s="46" t="s">
        <v>146</v>
      </c>
      <c r="AE292" s="46" t="s">
        <v>310</v>
      </c>
      <c r="AF292" s="88" t="s">
        <v>210</v>
      </c>
      <c r="AG292" s="105">
        <f>IF(TAB_HISTORICO_MANUT[[#This Row],[Hora Inicio]]="","",MONTH(TAB_HISTORICO_MANUT[[#This Row],[Hora Inicio]]))</f>
        <v>1</v>
      </c>
      <c r="AH292" s="58" t="s">
        <v>434</v>
      </c>
      <c r="AI292" s="43" t="s">
        <v>340</v>
      </c>
      <c r="AJ292" s="43" t="s">
        <v>432</v>
      </c>
      <c r="AK292" s="43"/>
      <c r="AL292" s="43"/>
      <c r="AM292" s="114"/>
      <c r="AN292" s="43"/>
      <c r="AO292" s="43"/>
      <c r="AP292" s="43"/>
    </row>
    <row r="293" spans="1:42" ht="50.1" customHeight="1" x14ac:dyDescent="0.25">
      <c r="A293" s="43">
        <f>MONTH(TAB_HISTORICO_MANUT[[#This Row],[Hora Final]])-MONTH(TAB_HISTORICO_MANUT[[#This Row],[Hora Inicio]])</f>
        <v>0</v>
      </c>
      <c r="B293" s="42"/>
      <c r="C293" s="43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Inicio]]=Z292,TAB_HISTORICO_MANUT[[#This Row],[Equipamento]]=AA292,TAB_HISTORICO_MANUT[[#This Row],[Descricao Despacho]]=AD292),0,1)))</f>
        <v>1</v>
      </c>
      <c r="O29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293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9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293" s="50">
        <f>IF($Q293="","",(TAB_HISTORICO_MANUT[[#This Row],[Hora Final]]-TAB_HISTORICO_MANUT[[#This Row],[Hora Inicio]])*24)</f>
        <v>2.0555555555038154</v>
      </c>
      <c r="S29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293" s="54" t="str">
        <f>IF(AND(TAB_HISTORICO_MANUT[[#This Row],[EXPURGO Mãe]]="SIM",TAB_HISTORICO_MANUT[[#This Row],[Tipo]]="MÃE"),"EXP.MAE",IF(TAB_HISTORICO_MANUT[[#This Row],[EXPURGO Mãe]]="NÃO","NÃO EXP.MAE",T292))</f>
        <v>EXP.MAE</v>
      </c>
      <c r="U29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93" s="56">
        <f>IF(TAB_HISTORICO_MANUT[[#This Row],[EXPURGO Filhas]]="SIM",MAX(TAB_HISTORICO_MANUT[[#This Row],[Hora Final]]-TAB_HISTORICO_MANUT[[#This Row],[Hora Inicio]],0),0)</f>
        <v>0</v>
      </c>
      <c r="W29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9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93" s="46">
        <v>46047.753078703703</v>
      </c>
      <c r="Z293" s="47">
        <v>46047.838726851849</v>
      </c>
      <c r="AA293" s="48" t="s">
        <v>232</v>
      </c>
      <c r="AB293" s="48" t="s">
        <v>373</v>
      </c>
      <c r="AC293" s="43" t="s">
        <v>212</v>
      </c>
      <c r="AD293" s="46" t="s">
        <v>144</v>
      </c>
      <c r="AE293" s="46" t="s">
        <v>214</v>
      </c>
      <c r="AF293" s="88" t="s">
        <v>210</v>
      </c>
      <c r="AG293" s="105">
        <f>IF(TAB_HISTORICO_MANUT[[#This Row],[Hora Inicio]]="","",MONTH(TAB_HISTORICO_MANUT[[#This Row],[Hora Inicio]]))</f>
        <v>1</v>
      </c>
      <c r="AH293" s="58" t="s">
        <v>393</v>
      </c>
      <c r="AI293" s="43" t="s">
        <v>82</v>
      </c>
      <c r="AJ293" s="43" t="s">
        <v>82</v>
      </c>
      <c r="AK293" s="43" t="s">
        <v>430</v>
      </c>
      <c r="AL293" s="43" t="s">
        <v>282</v>
      </c>
      <c r="AM293" s="114" t="s">
        <v>276</v>
      </c>
      <c r="AN293" s="43" t="s">
        <v>241</v>
      </c>
      <c r="AO293" s="43" t="s">
        <v>312</v>
      </c>
      <c r="AP293" s="43" t="s">
        <v>313</v>
      </c>
    </row>
    <row r="294" spans="1:42" ht="50.1" customHeight="1" x14ac:dyDescent="0.25">
      <c r="A294" s="43">
        <f>MONTH(TAB_HISTORICO_MANUT[[#This Row],[Hora Final]])-MONTH(TAB_HISTORICO_MANUT[[#This Row],[Hora Inicio]])</f>
        <v>0</v>
      </c>
      <c r="B294" s="42"/>
      <c r="C294" s="43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Inicio]]=Z293,TAB_HISTORICO_MANUT[[#This Row],[Equipamento]]=AA293,TAB_HISTORICO_MANUT[[#This Row],[Descricao Despacho]]=AD293),0,1)))</f>
        <v>1</v>
      </c>
      <c r="O29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294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9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294" s="50">
        <f>IF($Q294="","",(TAB_HISTORICO_MANUT[[#This Row],[Hora Final]]-TAB_HISTORICO_MANUT[[#This Row],[Hora Inicio]])*24)</f>
        <v>0.78611111117061228</v>
      </c>
      <c r="S29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294" s="54" t="str">
        <f>IF(AND(TAB_HISTORICO_MANUT[[#This Row],[EXPURGO Mãe]]="SIM",TAB_HISTORICO_MANUT[[#This Row],[Tipo]]="MÃE"),"EXP.MAE",IF(TAB_HISTORICO_MANUT[[#This Row],[EXPURGO Mãe]]="NÃO","NÃO EXP.MAE",T293))</f>
        <v>EXP.MAE</v>
      </c>
      <c r="U29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94" s="56">
        <f>IF(TAB_HISTORICO_MANUT[[#This Row],[EXPURGO Filhas]]="SIM",MAX(TAB_HISTORICO_MANUT[[#This Row],[Hora Final]]-TAB_HISTORICO_MANUT[[#This Row],[Hora Inicio]],0),0)</f>
        <v>0</v>
      </c>
      <c r="W29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9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94" s="46">
        <v>46047.989849537036</v>
      </c>
      <c r="Z294" s="47">
        <v>46048.022604166668</v>
      </c>
      <c r="AA294" s="48" t="s">
        <v>232</v>
      </c>
      <c r="AB294" s="48" t="s">
        <v>373</v>
      </c>
      <c r="AC294" s="43" t="s">
        <v>212</v>
      </c>
      <c r="AD294" s="46" t="s">
        <v>144</v>
      </c>
      <c r="AE294" s="46" t="s">
        <v>214</v>
      </c>
      <c r="AF294" s="88" t="s">
        <v>210</v>
      </c>
      <c r="AG294" s="105">
        <f>IF(TAB_HISTORICO_MANUT[[#This Row],[Hora Inicio]]="","",MONTH(TAB_HISTORICO_MANUT[[#This Row],[Hora Inicio]]))</f>
        <v>1</v>
      </c>
      <c r="AH294" s="58" t="s">
        <v>394</v>
      </c>
      <c r="AI294" s="43" t="s">
        <v>82</v>
      </c>
      <c r="AJ294" s="43" t="s">
        <v>82</v>
      </c>
      <c r="AK294" s="43" t="s">
        <v>290</v>
      </c>
      <c r="AL294" s="43" t="s">
        <v>282</v>
      </c>
      <c r="AM294" s="43" t="s">
        <v>276</v>
      </c>
      <c r="AN294" s="43" t="s">
        <v>241</v>
      </c>
      <c r="AO294" s="43" t="s">
        <v>312</v>
      </c>
      <c r="AP294" s="43" t="s">
        <v>313</v>
      </c>
    </row>
    <row r="295" spans="1:42" ht="50.1" customHeight="1" x14ac:dyDescent="0.25">
      <c r="A295" s="115">
        <f>MONTH(TAB_HISTORICO_MANUT[[#This Row],[Hora Final]])-MONTH(TAB_HISTORICO_MANUT[[#This Row],[Hora Inicio]])</f>
        <v>0</v>
      </c>
      <c r="B295" s="116"/>
      <c r="C295" s="115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Inicio]]=Z294,TAB_HISTORICO_MANUT[[#This Row],[Equipamento]]=AA294,TAB_HISTORICO_MANUT[[#This Row],[Descricao Despacho]]=AD294),0,1)))</f>
        <v>0</v>
      </c>
      <c r="O29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29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9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295" s="107">
        <f>IF($Q295="","",(TAB_HISTORICO_MANUT[[#This Row],[Hora Final]]-TAB_HISTORICO_MANUT[[#This Row],[Hora Inicio]])*24)</f>
        <v>0.14416666666511446</v>
      </c>
      <c r="S29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295" s="109" t="str">
        <f>IF(AND(TAB_HISTORICO_MANUT[[#This Row],[EXPURGO Mãe]]="SIM",TAB_HISTORICO_MANUT[[#This Row],[Tipo]]="MÃE"),"EXP.MAE",IF(TAB_HISTORICO_MANUT[[#This Row],[EXPURGO Mãe]]="NÃO","NÃO EXP.MAE",T294))</f>
        <v>EXP.MAE</v>
      </c>
      <c r="U29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95" s="110">
        <f>IF(TAB_HISTORICO_MANUT[[#This Row],[EXPURGO Filhas]]="SIM",MAX(TAB_HISTORICO_MANUT[[#This Row],[Hora Final]]-TAB_HISTORICO_MANUT[[#This Row],[Hora Inicio]],0),0)</f>
        <v>0</v>
      </c>
      <c r="W29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9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95" s="117">
        <v>46048.022604166668</v>
      </c>
      <c r="Z295" s="118">
        <v>46048.028611111113</v>
      </c>
      <c r="AA295" s="119" t="s">
        <v>232</v>
      </c>
      <c r="AB295" s="119" t="s">
        <v>373</v>
      </c>
      <c r="AC295" s="115" t="s">
        <v>212</v>
      </c>
      <c r="AD295" s="117" t="s">
        <v>144</v>
      </c>
      <c r="AE295" s="117" t="s">
        <v>214</v>
      </c>
      <c r="AF295" s="88" t="s">
        <v>210</v>
      </c>
      <c r="AG295" s="105">
        <f>IF(TAB_HISTORICO_MANUT[[#This Row],[Hora Inicio]]="","",MONTH(TAB_HISTORICO_MANUT[[#This Row],[Hora Inicio]]))</f>
        <v>1</v>
      </c>
      <c r="AH295" s="120" t="s">
        <v>395</v>
      </c>
      <c r="AI295" s="43" t="s">
        <v>82</v>
      </c>
      <c r="AJ295" s="43" t="s">
        <v>82</v>
      </c>
      <c r="AK295" s="43" t="s">
        <v>290</v>
      </c>
      <c r="AL295" s="43" t="s">
        <v>282</v>
      </c>
      <c r="AM295" s="114" t="s">
        <v>276</v>
      </c>
      <c r="AN295" s="115" t="s">
        <v>241</v>
      </c>
      <c r="AO295" s="115" t="s">
        <v>312</v>
      </c>
      <c r="AP295" s="115" t="s">
        <v>313</v>
      </c>
    </row>
    <row r="296" spans="1:42" ht="50.1" customHeight="1" x14ac:dyDescent="0.25">
      <c r="A296" s="43">
        <f>MONTH(TAB_HISTORICO_MANUT[[#This Row],[Hora Final]])-MONTH(TAB_HISTORICO_MANUT[[#This Row],[Hora Inicio]])</f>
        <v>0</v>
      </c>
      <c r="B296" s="42"/>
      <c r="C296" s="43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Inicio]]=Z295,TAB_HISTORICO_MANUT[[#This Row],[Equipamento]]=AA295,TAB_HISTORICO_MANUT[[#This Row],[Descricao Despacho]]=AD295),0,1)))</f>
        <v>1</v>
      </c>
      <c r="O29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29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9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96" s="50">
        <f>IF($Q296="","",(TAB_HISTORICO_MANUT[[#This Row],[Hora Final]]-TAB_HISTORICO_MANUT[[#This Row],[Hora Inicio]])*24)</f>
        <v>2.6094444444752298</v>
      </c>
      <c r="S29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96" s="54" t="str">
        <f>IF(AND(TAB_HISTORICO_MANUT[[#This Row],[EXPURGO Mãe]]="SIM",TAB_HISTORICO_MANUT[[#This Row],[Tipo]]="MÃE"),"EXP.MAE",IF(TAB_HISTORICO_MANUT[[#This Row],[EXPURGO Mãe]]="NÃO","NÃO EXP.MAE",T295))</f>
        <v>NÃO EXP.MAE</v>
      </c>
      <c r="U29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96" s="56">
        <f>IF(TAB_HISTORICO_MANUT[[#This Row],[EXPURGO Filhas]]="SIM",MAX(TAB_HISTORICO_MANUT[[#This Row],[Hora Final]]-TAB_HISTORICO_MANUT[[#This Row],[Hora Inicio]],0),0)</f>
        <v>0</v>
      </c>
      <c r="W29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9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96" s="46">
        <v>46048.928402777776</v>
      </c>
      <c r="Z296" s="47">
        <v>46049.037129629629</v>
      </c>
      <c r="AA296" s="48" t="s">
        <v>232</v>
      </c>
      <c r="AB296" s="48" t="s">
        <v>374</v>
      </c>
      <c r="AC296" s="43" t="s">
        <v>204</v>
      </c>
      <c r="AD296" s="46" t="s">
        <v>144</v>
      </c>
      <c r="AE296" s="46" t="s">
        <v>172</v>
      </c>
      <c r="AF296" s="88" t="s">
        <v>210</v>
      </c>
      <c r="AG296" s="105">
        <f>IF(TAB_HISTORICO_MANUT[[#This Row],[Hora Inicio]]="","",MONTH(TAB_HISTORICO_MANUT[[#This Row],[Hora Inicio]]))</f>
        <v>1</v>
      </c>
      <c r="AH296" s="58" t="s">
        <v>396</v>
      </c>
      <c r="AI296" s="43" t="s">
        <v>23</v>
      </c>
      <c r="AJ296" s="43" t="s">
        <v>277</v>
      </c>
      <c r="AK296" s="43" t="s">
        <v>431</v>
      </c>
      <c r="AL296" s="43" t="s">
        <v>275</v>
      </c>
      <c r="AM296" s="114" t="s">
        <v>276</v>
      </c>
      <c r="AN296" s="43" t="s">
        <v>217</v>
      </c>
      <c r="AO296" s="43" t="s">
        <v>414</v>
      </c>
      <c r="AP296" s="43" t="s">
        <v>415</v>
      </c>
    </row>
    <row r="297" spans="1:42" ht="50.1" customHeight="1" x14ac:dyDescent="0.25">
      <c r="A297" s="43">
        <f>MONTH(TAB_HISTORICO_MANUT[[#This Row],[Hora Final]])-MONTH(TAB_HISTORICO_MANUT[[#This Row],[Hora Inicio]])</f>
        <v>0</v>
      </c>
      <c r="B297" s="42"/>
      <c r="C297" s="43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Inicio]]=Z296,TAB_HISTORICO_MANUT[[#This Row],[Equipamento]]=AA296,TAB_HISTORICO_MANUT[[#This Row],[Descricao Despacho]]=AD296),0,1)))</f>
        <v>1</v>
      </c>
      <c r="O29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297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29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297" s="50">
        <f>IF($Q297="","",(TAB_HISTORICO_MANUT[[#This Row],[Hora Final]]-TAB_HISTORICO_MANUT[[#This Row],[Hora Inicio]])*24)</f>
        <v>0.61388888885267079</v>
      </c>
      <c r="S29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297" s="54" t="str">
        <f>IF(AND(TAB_HISTORICO_MANUT[[#This Row],[EXPURGO Mãe]]="SIM",TAB_HISTORICO_MANUT[[#This Row],[Tipo]]="MÃE"),"EXP.MAE",IF(TAB_HISTORICO_MANUT[[#This Row],[EXPURGO Mãe]]="NÃO","NÃO EXP.MAE",T296))</f>
        <v>EXP.MAE</v>
      </c>
      <c r="U29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97" s="56">
        <f>IF(TAB_HISTORICO_MANUT[[#This Row],[EXPURGO Filhas]]="SIM",MAX(TAB_HISTORICO_MANUT[[#This Row],[Hora Final]]-TAB_HISTORICO_MANUT[[#This Row],[Hora Inicio]],0),0)</f>
        <v>0</v>
      </c>
      <c r="W29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9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97" s="46">
        <v>46050.953217592592</v>
      </c>
      <c r="Z297" s="47">
        <v>46050.978796296295</v>
      </c>
      <c r="AA297" s="48" t="s">
        <v>232</v>
      </c>
      <c r="AB297" s="48"/>
      <c r="AC297" s="43" t="s">
        <v>364</v>
      </c>
      <c r="AD297" s="46" t="s">
        <v>145</v>
      </c>
      <c r="AE297" s="46" t="s">
        <v>360</v>
      </c>
      <c r="AF297" s="88" t="s">
        <v>210</v>
      </c>
      <c r="AG297" s="105">
        <f>IF(TAB_HISTORICO_MANUT[[#This Row],[Hora Inicio]]="","",MONTH(TAB_HISTORICO_MANUT[[#This Row],[Hora Inicio]]))</f>
        <v>1</v>
      </c>
      <c r="AH297" s="58"/>
      <c r="AI297" s="43" t="s">
        <v>82</v>
      </c>
      <c r="AJ297" s="43"/>
      <c r="AK297" s="43"/>
      <c r="AL297" s="43"/>
      <c r="AM297" s="114"/>
      <c r="AN297" s="43"/>
      <c r="AO297" s="43"/>
      <c r="AP297" s="43"/>
    </row>
    <row r="298" spans="1:42" ht="50.1" customHeight="1" x14ac:dyDescent="0.25">
      <c r="A298" s="43">
        <f>MONTH(TAB_HISTORICO_MANUT[[#This Row],[Hora Final]])-MONTH(TAB_HISTORICO_MANUT[[#This Row],[Hora Inicio]])</f>
        <v>0</v>
      </c>
      <c r="B298" s="42"/>
      <c r="C298" s="43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Inicio]]=Z297,TAB_HISTORICO_MANUT[[#This Row],[Equipamento]]=AA297,TAB_HISTORICO_MANUT[[#This Row],[Descricao Despacho]]=AD297),0,1)))</f>
        <v>1</v>
      </c>
      <c r="O29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298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9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98" s="50">
        <f>IF($Q298="","",(TAB_HISTORICO_MANUT[[#This Row],[Hora Final]]-TAB_HISTORICO_MANUT[[#This Row],[Hora Inicio]])*24)</f>
        <v>3.9222222221433185</v>
      </c>
      <c r="S29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98" s="54" t="str">
        <f>IF(AND(TAB_HISTORICO_MANUT[[#This Row],[EXPURGO Mãe]]="SIM",TAB_HISTORICO_MANUT[[#This Row],[Tipo]]="MÃE"),"EXP.MAE",IF(TAB_HISTORICO_MANUT[[#This Row],[EXPURGO Mãe]]="NÃO","NÃO EXP.MAE",T297))</f>
        <v>NÃO EXP.MAE</v>
      </c>
      <c r="U29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98" s="56">
        <f>IF(TAB_HISTORICO_MANUT[[#This Row],[EXPURGO Filhas]]="SIM",MAX(TAB_HISTORICO_MANUT[[#This Row],[Hora Final]]-TAB_HISTORICO_MANUT[[#This Row],[Hora Inicio]],0),0)</f>
        <v>0</v>
      </c>
      <c r="W29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9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98" s="46">
        <v>46052.002557870372</v>
      </c>
      <c r="Z298" s="47">
        <v>46052.165983796294</v>
      </c>
      <c r="AA298" s="48" t="s">
        <v>232</v>
      </c>
      <c r="AB298" s="48" t="s">
        <v>439</v>
      </c>
      <c r="AC298" s="43" t="s">
        <v>204</v>
      </c>
      <c r="AD298" s="46" t="s">
        <v>144</v>
      </c>
      <c r="AE298" s="46" t="s">
        <v>172</v>
      </c>
      <c r="AF298" s="88" t="s">
        <v>210</v>
      </c>
      <c r="AG298" s="105">
        <f>IF(TAB_HISTORICO_MANUT[[#This Row],[Hora Inicio]]="","",MONTH(TAB_HISTORICO_MANUT[[#This Row],[Hora Inicio]]))</f>
        <v>1</v>
      </c>
      <c r="AH298" s="58" t="s">
        <v>443</v>
      </c>
      <c r="AI298" s="43" t="s">
        <v>22</v>
      </c>
      <c r="AJ298" s="43" t="s">
        <v>277</v>
      </c>
      <c r="AK298" s="43" t="s">
        <v>458</v>
      </c>
      <c r="AL298" s="43" t="s">
        <v>275</v>
      </c>
      <c r="AM298" s="114" t="s">
        <v>276</v>
      </c>
      <c r="AN298" s="43" t="s">
        <v>217</v>
      </c>
      <c r="AO298" s="43" t="s">
        <v>414</v>
      </c>
      <c r="AP298" s="43" t="s">
        <v>452</v>
      </c>
    </row>
    <row r="299" spans="1:42" ht="50.1" customHeight="1" x14ac:dyDescent="0.25">
      <c r="A299" s="43">
        <f>MONTH(TAB_HISTORICO_MANUT[[#This Row],[Hora Final]])-MONTH(TAB_HISTORICO_MANUT[[#This Row],[Hora Inicio]])</f>
        <v>0</v>
      </c>
      <c r="B299" s="42"/>
      <c r="C299" s="43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Inicio]]=Z298,TAB_HISTORICO_MANUT[[#This Row],[Equipamento]]=AA298,TAB_HISTORICO_MANUT[[#This Row],[Descricao Despacho]]=AD298),0,1)))</f>
        <v>1</v>
      </c>
      <c r="O29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299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29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299" s="50">
        <f>IF($Q299="","",(TAB_HISTORICO_MANUT[[#This Row],[Hora Final]]-TAB_HISTORICO_MANUT[[#This Row],[Hora Inicio]])*24)</f>
        <v>4.0108333333628252</v>
      </c>
      <c r="S29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299" s="54" t="str">
        <f>IF(AND(TAB_HISTORICO_MANUT[[#This Row],[EXPURGO Mãe]]="SIM",TAB_HISTORICO_MANUT[[#This Row],[Tipo]]="MÃE"),"EXP.MAE",IF(TAB_HISTORICO_MANUT[[#This Row],[EXPURGO Mãe]]="NÃO","NÃO EXP.MAE",T298))</f>
        <v>NÃO EXP.MAE</v>
      </c>
      <c r="U29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299" s="56">
        <f>IF(TAB_HISTORICO_MANUT[[#This Row],[EXPURGO Filhas]]="SIM",MAX(TAB_HISTORICO_MANUT[[#This Row],[Hora Final]]-TAB_HISTORICO_MANUT[[#This Row],[Hora Inicio]],0),0)</f>
        <v>0</v>
      </c>
      <c r="W29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29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299" s="46">
        <v>46053.070462962962</v>
      </c>
      <c r="Z299" s="47">
        <v>46053.237581018519</v>
      </c>
      <c r="AA299" s="48" t="s">
        <v>232</v>
      </c>
      <c r="AB299" s="48" t="s">
        <v>440</v>
      </c>
      <c r="AC299" s="43" t="s">
        <v>204</v>
      </c>
      <c r="AD299" s="46" t="s">
        <v>144</v>
      </c>
      <c r="AE299" s="46" t="s">
        <v>172</v>
      </c>
      <c r="AF299" s="88" t="s">
        <v>210</v>
      </c>
      <c r="AG299" s="105">
        <f>IF(TAB_HISTORICO_MANUT[[#This Row],[Hora Inicio]]="","",MONTH(TAB_HISTORICO_MANUT[[#This Row],[Hora Inicio]]))</f>
        <v>1</v>
      </c>
      <c r="AH299" s="58" t="s">
        <v>449</v>
      </c>
      <c r="AI299" s="43" t="s">
        <v>28</v>
      </c>
      <c r="AJ299" s="43" t="s">
        <v>30</v>
      </c>
      <c r="AK299" s="43" t="s">
        <v>462</v>
      </c>
      <c r="AL299" s="43" t="s">
        <v>463</v>
      </c>
      <c r="AM299" s="114" t="s">
        <v>276</v>
      </c>
      <c r="AN299" s="43" t="s">
        <v>217</v>
      </c>
      <c r="AO299" s="43" t="s">
        <v>316</v>
      </c>
      <c r="AP299" s="43" t="s">
        <v>456</v>
      </c>
    </row>
    <row r="300" spans="1:42" ht="50.1" customHeight="1" x14ac:dyDescent="0.25">
      <c r="A300" s="43">
        <f>MONTH(TAB_HISTORICO_MANUT[[#This Row],[Hora Final]])-MONTH(TAB_HISTORICO_MANUT[[#This Row],[Hora Inicio]])</f>
        <v>0</v>
      </c>
      <c r="B300" s="42"/>
      <c r="C300" s="43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Inicio]]=Z299,TAB_HISTORICO_MANUT[[#This Row],[Equipamento]]=AA299,TAB_HISTORICO_MANUT[[#This Row],[Descricao Despacho]]=AD299),0,1)))</f>
        <v>1</v>
      </c>
      <c r="O30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300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0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00" s="50">
        <f>IF($Q300="","",(TAB_HISTORICO_MANUT[[#This Row],[Hora Final]]-TAB_HISTORICO_MANUT[[#This Row],[Hora Inicio]])*24)</f>
        <v>1.9611111109843478</v>
      </c>
      <c r="S30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00" s="54" t="str">
        <f>IF(AND(TAB_HISTORICO_MANUT[[#This Row],[EXPURGO Mãe]]="SIM",TAB_HISTORICO_MANUT[[#This Row],[Tipo]]="MÃE"),"EXP.MAE",IF(TAB_HISTORICO_MANUT[[#This Row],[EXPURGO Mãe]]="NÃO","NÃO EXP.MAE",T299))</f>
        <v>NÃO EXP.MAE</v>
      </c>
      <c r="U30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00" s="56">
        <f>IF(TAB_HISTORICO_MANUT[[#This Row],[EXPURGO Filhas]]="SIM",MAX(TAB_HISTORICO_MANUT[[#This Row],[Hora Final]]-TAB_HISTORICO_MANUT[[#This Row],[Hora Inicio]],0),0)</f>
        <v>0</v>
      </c>
      <c r="W30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0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00" s="46">
        <v>46053.279085648152</v>
      </c>
      <c r="Z300" s="47">
        <v>46053.360798611109</v>
      </c>
      <c r="AA300" s="48" t="s">
        <v>232</v>
      </c>
      <c r="AB300" s="48" t="s">
        <v>441</v>
      </c>
      <c r="AC300" s="43" t="s">
        <v>204</v>
      </c>
      <c r="AD300" s="46" t="s">
        <v>144</v>
      </c>
      <c r="AE300" s="46" t="s">
        <v>172</v>
      </c>
      <c r="AF300" s="88" t="s">
        <v>210</v>
      </c>
      <c r="AG300" s="105">
        <f>IF(TAB_HISTORICO_MANUT[[#This Row],[Hora Inicio]]="","",MONTH(TAB_HISTORICO_MANUT[[#This Row],[Hora Inicio]]))</f>
        <v>1</v>
      </c>
      <c r="AH300" s="58" t="s">
        <v>450</v>
      </c>
      <c r="AI300" s="43" t="s">
        <v>23</v>
      </c>
      <c r="AJ300" s="43" t="s">
        <v>43</v>
      </c>
      <c r="AK300" s="43" t="s">
        <v>464</v>
      </c>
      <c r="AL300" s="43" t="s">
        <v>279</v>
      </c>
      <c r="AM300" s="114" t="s">
        <v>280</v>
      </c>
      <c r="AN300" s="43" t="s">
        <v>217</v>
      </c>
      <c r="AO300" s="43" t="s">
        <v>453</v>
      </c>
      <c r="AP300" s="43" t="s">
        <v>457</v>
      </c>
    </row>
    <row r="301" spans="1:42" ht="50.1" customHeight="1" x14ac:dyDescent="0.25">
      <c r="A301" s="43">
        <f>MONTH(TAB_HISTORICO_MANUT[[#This Row],[Hora Final]])-MONTH(TAB_HISTORICO_MANUT[[#This Row],[Hora Inicio]])</f>
        <v>0</v>
      </c>
      <c r="B301" s="42"/>
      <c r="C301" s="43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Inicio]]=Z300,TAB_HISTORICO_MANUT[[#This Row],[Equipamento]]=AA300,TAB_HISTORICO_MANUT[[#This Row],[Descricao Despacho]]=AD300),0,1)))</f>
        <v>1</v>
      </c>
      <c r="O30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301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0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01" s="50">
        <f>IF($Q301="","",(TAB_HISTORICO_MANUT[[#This Row],[Hora Final]]-TAB_HISTORICO_MANUT[[#This Row],[Hora Inicio]])*24)</f>
        <v>3.1722222221433185</v>
      </c>
      <c r="S30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01" s="54" t="str">
        <f>IF(AND(TAB_HISTORICO_MANUT[[#This Row],[EXPURGO Mãe]]="SIM",TAB_HISTORICO_MANUT[[#This Row],[Tipo]]="MÃE"),"EXP.MAE",IF(TAB_HISTORICO_MANUT[[#This Row],[EXPURGO Mãe]]="NÃO","NÃO EXP.MAE",T300))</f>
        <v>NÃO EXP.MAE</v>
      </c>
      <c r="U30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01" s="56">
        <f>IF(TAB_HISTORICO_MANUT[[#This Row],[EXPURGO Filhas]]="SIM",MAX(TAB_HISTORICO_MANUT[[#This Row],[Hora Final]]-TAB_HISTORICO_MANUT[[#This Row],[Hora Inicio]],0),0)</f>
        <v>0</v>
      </c>
      <c r="W30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0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01" s="46">
        <v>46055.431319444448</v>
      </c>
      <c r="Z301" s="47">
        <v>46055.56349537037</v>
      </c>
      <c r="AA301" s="48" t="s">
        <v>232</v>
      </c>
      <c r="AB301" s="48" t="s">
        <v>483</v>
      </c>
      <c r="AC301" s="43" t="s">
        <v>204</v>
      </c>
      <c r="AD301" s="46" t="s">
        <v>144</v>
      </c>
      <c r="AE301" s="46" t="s">
        <v>172</v>
      </c>
      <c r="AF301" s="88" t="s">
        <v>210</v>
      </c>
      <c r="AG301" s="105">
        <f>IF(TAB_HISTORICO_MANUT[[#This Row],[Hora Inicio]]="","",MONTH(TAB_HISTORICO_MANUT[[#This Row],[Hora Inicio]]))</f>
        <v>2</v>
      </c>
      <c r="AH301" s="58" t="s">
        <v>487</v>
      </c>
      <c r="AI301" s="43" t="s">
        <v>23</v>
      </c>
      <c r="AJ301" s="43" t="s">
        <v>277</v>
      </c>
      <c r="AK301" s="43" t="s">
        <v>331</v>
      </c>
      <c r="AL301" s="43" t="s">
        <v>275</v>
      </c>
      <c r="AM301" s="114" t="s">
        <v>276</v>
      </c>
      <c r="AN301" s="43" t="s">
        <v>217</v>
      </c>
      <c r="AO301" s="43" t="s">
        <v>414</v>
      </c>
      <c r="AP301" s="43" t="s">
        <v>493</v>
      </c>
    </row>
    <row r="302" spans="1:42" ht="50.1" customHeight="1" x14ac:dyDescent="0.25">
      <c r="A302" s="43">
        <f>MONTH(TAB_HISTORICO_MANUT[[#This Row],[Hora Final]])-MONTH(TAB_HISTORICO_MANUT[[#This Row],[Hora Inicio]])</f>
        <v>0</v>
      </c>
      <c r="B302" s="42"/>
      <c r="C302" s="43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Inicio]]=Z301,TAB_HISTORICO_MANUT[[#This Row],[Equipamento]]=AA301,TAB_HISTORICO_MANUT[[#This Row],[Descricao Despacho]]=AD301),0,1)))</f>
        <v>1</v>
      </c>
      <c r="O30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302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0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02" s="50">
        <f>IF($Q302="","",(TAB_HISTORICO_MANUT[[#This Row],[Hora Final]]-TAB_HISTORICO_MANUT[[#This Row],[Hora Inicio]])*24)</f>
        <v>9.0680555555736646</v>
      </c>
      <c r="S30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02" s="54" t="str">
        <f>IF(AND(TAB_HISTORICO_MANUT[[#This Row],[EXPURGO Mãe]]="SIM",TAB_HISTORICO_MANUT[[#This Row],[Tipo]]="MÃE"),"EXP.MAE",IF(TAB_HISTORICO_MANUT[[#This Row],[EXPURGO Mãe]]="NÃO","NÃO EXP.MAE",T301))</f>
        <v>NÃO EXP.MAE</v>
      </c>
      <c r="U30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02" s="56">
        <f>IF(TAB_HISTORICO_MANUT[[#This Row],[EXPURGO Filhas]]="SIM",MAX(TAB_HISTORICO_MANUT[[#This Row],[Hora Final]]-TAB_HISTORICO_MANUT[[#This Row],[Hora Inicio]],0),0)</f>
        <v>0</v>
      </c>
      <c r="W30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0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02" s="46">
        <v>46055.818287037036</v>
      </c>
      <c r="Z302" s="47">
        <v>46056.196122685185</v>
      </c>
      <c r="AA302" s="48" t="s">
        <v>232</v>
      </c>
      <c r="AB302" s="48" t="s">
        <v>661</v>
      </c>
      <c r="AC302" s="43" t="s">
        <v>204</v>
      </c>
      <c r="AD302" s="46" t="s">
        <v>144</v>
      </c>
      <c r="AE302" s="46" t="s">
        <v>172</v>
      </c>
      <c r="AF302" s="88" t="s">
        <v>210</v>
      </c>
      <c r="AG302" s="105">
        <f>IF(TAB_HISTORICO_MANUT[[#This Row],[Hora Inicio]]="","",MONTH(TAB_HISTORICO_MANUT[[#This Row],[Hora Inicio]]))</f>
        <v>2</v>
      </c>
      <c r="AH302" s="58" t="s">
        <v>666</v>
      </c>
      <c r="AI302" s="43" t="s">
        <v>22</v>
      </c>
      <c r="AJ302" s="43" t="s">
        <v>668</v>
      </c>
      <c r="AK302" s="43" t="s">
        <v>667</v>
      </c>
      <c r="AL302" s="43" t="s">
        <v>275</v>
      </c>
      <c r="AM302" s="43" t="s">
        <v>276</v>
      </c>
      <c r="AN302" s="43" t="s">
        <v>217</v>
      </c>
      <c r="AO302" s="43" t="s">
        <v>257</v>
      </c>
      <c r="AP302" s="43" t="s">
        <v>258</v>
      </c>
    </row>
    <row r="303" spans="1:42" ht="50.1" customHeight="1" x14ac:dyDescent="0.25">
      <c r="A303" s="43">
        <f>MONTH(TAB_HISTORICO_MANUT[[#This Row],[Hora Final]])-MONTH(TAB_HISTORICO_MANUT[[#This Row],[Hora Inicio]])</f>
        <v>0</v>
      </c>
      <c r="B303" s="42"/>
      <c r="C303" s="43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Inicio]]=Z302,TAB_HISTORICO_MANUT[[#This Row],[Equipamento]]=AA302,TAB_HISTORICO_MANUT[[#This Row],[Descricao Despacho]]=AD302),0,1)))</f>
        <v>0</v>
      </c>
      <c r="O30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303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0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03" s="50">
        <f>IF($Q303="","",(TAB_HISTORICO_MANUT[[#This Row],[Hora Final]]-TAB_HISTORICO_MANUT[[#This Row],[Hora Inicio]])*24)</f>
        <v>39.843888888834044</v>
      </c>
      <c r="S30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03" s="54" t="str">
        <f>IF(AND(TAB_HISTORICO_MANUT[[#This Row],[EXPURGO Mãe]]="SIM",TAB_HISTORICO_MANUT[[#This Row],[Tipo]]="MÃE"),"EXP.MAE",IF(TAB_HISTORICO_MANUT[[#This Row],[EXPURGO Mãe]]="NÃO","NÃO EXP.MAE",T302))</f>
        <v>NÃO EXP.MAE</v>
      </c>
      <c r="U30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03" s="56">
        <f>IF(TAB_HISTORICO_MANUT[[#This Row],[EXPURGO Filhas]]="SIM",MAX(TAB_HISTORICO_MANUT[[#This Row],[Hora Final]]-TAB_HISTORICO_MANUT[[#This Row],[Hora Inicio]],0),0)</f>
        <v>0</v>
      </c>
      <c r="W30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0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03" s="46">
        <v>46056.196122685185</v>
      </c>
      <c r="Z303" s="47">
        <v>46057.85628472222</v>
      </c>
      <c r="AA303" s="48" t="s">
        <v>232</v>
      </c>
      <c r="AB303" s="48" t="s">
        <v>661</v>
      </c>
      <c r="AC303" s="43" t="s">
        <v>204</v>
      </c>
      <c r="AD303" s="46" t="s">
        <v>144</v>
      </c>
      <c r="AE303" s="46" t="s">
        <v>172</v>
      </c>
      <c r="AF303" s="88" t="s">
        <v>210</v>
      </c>
      <c r="AG303" s="105">
        <f>IF(TAB_HISTORICO_MANUT[[#This Row],[Hora Inicio]]="","",MONTH(TAB_HISTORICO_MANUT[[#This Row],[Hora Inicio]]))</f>
        <v>2</v>
      </c>
      <c r="AH303" s="58" t="s">
        <v>498</v>
      </c>
      <c r="AI303" s="43" t="s">
        <v>23</v>
      </c>
      <c r="AJ303" s="43" t="s">
        <v>277</v>
      </c>
      <c r="AK303" s="43" t="s">
        <v>497</v>
      </c>
      <c r="AL303" s="43" t="s">
        <v>275</v>
      </c>
      <c r="AM303" s="114" t="s">
        <v>276</v>
      </c>
      <c r="AN303" s="43" t="s">
        <v>215</v>
      </c>
      <c r="AO303" s="43" t="s">
        <v>477</v>
      </c>
      <c r="AP303" s="43" t="s">
        <v>662</v>
      </c>
    </row>
    <row r="304" spans="1:42" ht="50.1" customHeight="1" x14ac:dyDescent="0.25">
      <c r="A304" s="43">
        <f>MONTH(TAB_HISTORICO_MANUT[[#This Row],[Hora Final]])-MONTH(TAB_HISTORICO_MANUT[[#This Row],[Hora Inicio]])</f>
        <v>0</v>
      </c>
      <c r="B304" s="42"/>
      <c r="C304" s="43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Inicio]]=Z303,TAB_HISTORICO_MANUT[[#This Row],[Equipamento]]=AA303,TAB_HISTORICO_MANUT[[#This Row],[Descricao Despacho]]=AD303),0,1)))</f>
        <v>1</v>
      </c>
      <c r="O30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COMBATE INCENDIO</v>
      </c>
      <c r="P304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0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304" s="50">
        <f>IF($Q304="","",(TAB_HISTORICO_MANUT[[#This Row],[Hora Final]]-TAB_HISTORICO_MANUT[[#This Row],[Hora Inicio]])*24)</f>
        <v>0.82888888899469748</v>
      </c>
      <c r="S30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304" s="54" t="str">
        <f>IF(AND(TAB_HISTORICO_MANUT[[#This Row],[EXPURGO Mãe]]="SIM",TAB_HISTORICO_MANUT[[#This Row],[Tipo]]="MÃE"),"EXP.MAE",IF(TAB_HISTORICO_MANUT[[#This Row],[EXPURGO Mãe]]="NÃO","NÃO EXP.MAE",T303))</f>
        <v>EXP.MAE</v>
      </c>
      <c r="U30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04" s="56">
        <f>IF(TAB_HISTORICO_MANUT[[#This Row],[EXPURGO Filhas]]="SIM",MAX(TAB_HISTORICO_MANUT[[#This Row],[Hora Final]]-TAB_HISTORICO_MANUT[[#This Row],[Hora Inicio]],0),0)</f>
        <v>0</v>
      </c>
      <c r="W30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0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04" s="46">
        <v>46058.449907407405</v>
      </c>
      <c r="Z304" s="47">
        <v>46058.484444444446</v>
      </c>
      <c r="AA304" s="48" t="s">
        <v>232</v>
      </c>
      <c r="AB304" s="48" t="s">
        <v>503</v>
      </c>
      <c r="AC304" s="43" t="s">
        <v>212</v>
      </c>
      <c r="AD304" s="46" t="s">
        <v>144</v>
      </c>
      <c r="AE304" s="46" t="s">
        <v>214</v>
      </c>
      <c r="AF304" s="88" t="s">
        <v>210</v>
      </c>
      <c r="AG304" s="105">
        <f>IF(TAB_HISTORICO_MANUT[[#This Row],[Hora Inicio]]="","",MONTH(TAB_HISTORICO_MANUT[[#This Row],[Hora Inicio]]))</f>
        <v>2</v>
      </c>
      <c r="AH304" s="58" t="s">
        <v>511</v>
      </c>
      <c r="AI304" s="43" t="s">
        <v>152</v>
      </c>
      <c r="AJ304" s="43" t="s">
        <v>80</v>
      </c>
      <c r="AK304" s="43" t="s">
        <v>525</v>
      </c>
      <c r="AL304" s="43" t="s">
        <v>526</v>
      </c>
      <c r="AM304" s="43" t="s">
        <v>527</v>
      </c>
      <c r="AN304" s="43" t="s">
        <v>217</v>
      </c>
      <c r="AO304" s="43" t="s">
        <v>663</v>
      </c>
      <c r="AP304" s="43" t="s">
        <v>664</v>
      </c>
    </row>
    <row r="305" spans="1:42" ht="50.1" customHeight="1" x14ac:dyDescent="0.25">
      <c r="A305" s="43">
        <f>MONTH(TAB_HISTORICO_MANUT[[#This Row],[Hora Final]])-MONTH(TAB_HISTORICO_MANUT[[#This Row],[Hora Inicio]])</f>
        <v>0</v>
      </c>
      <c r="B305" s="42"/>
      <c r="C305" s="43"/>
      <c r="D305" s="42"/>
      <c r="E305" s="42"/>
      <c r="F305" s="42"/>
      <c r="G305" s="42"/>
      <c r="H305" s="42"/>
      <c r="I305" s="42"/>
      <c r="J305" s="42"/>
      <c r="K305" s="42"/>
      <c r="L305" s="42"/>
      <c r="M305" s="42" t="s">
        <v>98</v>
      </c>
      <c r="N30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Inicio]]=Z304,TAB_HISTORICO_MANUT[[#This Row],[Equipamento]]=AA304,TAB_HISTORICO_MANUT[[#This Row],[Descricao Despacho]]=AD304),0,1)))</f>
        <v>1</v>
      </c>
      <c r="O30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HIDRAULICO</v>
      </c>
      <c r="P305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0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05" s="50">
        <f>IF($Q305="","",(TAB_HISTORICO_MANUT[[#This Row],[Hora Final]]-TAB_HISTORICO_MANUT[[#This Row],[Hora Inicio]])*24)</f>
        <v>3.061944444430992</v>
      </c>
      <c r="S30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305" s="54" t="str">
        <f>IF(AND(TAB_HISTORICO_MANUT[[#This Row],[EXPURGO Mãe]]="SIM",TAB_HISTORICO_MANUT[[#This Row],[Tipo]]="MÃE"),"EXP.MAE",IF(TAB_HISTORICO_MANUT[[#This Row],[EXPURGO Mãe]]="NÃO","NÃO EXP.MAE",T304))</f>
        <v>EXP.MAE</v>
      </c>
      <c r="U30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05" s="56">
        <f>IF(TAB_HISTORICO_MANUT[[#This Row],[EXPURGO Filhas]]="SIM",MAX(TAB_HISTORICO_MANUT[[#This Row],[Hora Final]]-TAB_HISTORICO_MANUT[[#This Row],[Hora Inicio]],0),0)</f>
        <v>0</v>
      </c>
      <c r="W30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0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05" s="46">
        <v>46058.867337962962</v>
      </c>
      <c r="Z305" s="47">
        <v>46058.99491898148</v>
      </c>
      <c r="AA305" s="48" t="s">
        <v>232</v>
      </c>
      <c r="AB305" s="48" t="s">
        <v>505</v>
      </c>
      <c r="AC305" s="43" t="s">
        <v>204</v>
      </c>
      <c r="AD305" s="46" t="s">
        <v>144</v>
      </c>
      <c r="AE305" s="46" t="s">
        <v>172</v>
      </c>
      <c r="AF305" s="88" t="s">
        <v>210</v>
      </c>
      <c r="AG305" s="105">
        <f>IF(TAB_HISTORICO_MANUT[[#This Row],[Hora Inicio]]="","",MONTH(TAB_HISTORICO_MANUT[[#This Row],[Hora Inicio]]))</f>
        <v>2</v>
      </c>
      <c r="AH305" s="58" t="s">
        <v>513</v>
      </c>
      <c r="AI305" s="43" t="s">
        <v>149</v>
      </c>
      <c r="AJ305" s="43" t="s">
        <v>423</v>
      </c>
      <c r="AK305" s="43" t="s">
        <v>422</v>
      </c>
      <c r="AL305" s="43" t="s">
        <v>279</v>
      </c>
      <c r="AM305" s="43" t="s">
        <v>280</v>
      </c>
      <c r="AN305" s="43" t="s">
        <v>217</v>
      </c>
      <c r="AO305" s="43" t="s">
        <v>230</v>
      </c>
      <c r="AP305" s="43" t="s">
        <v>218</v>
      </c>
    </row>
    <row r="306" spans="1:42" ht="50.1" customHeight="1" x14ac:dyDescent="0.25">
      <c r="A306" s="43">
        <f>MONTH(TAB_HISTORICO_MANUT[[#This Row],[Hora Final]])-MONTH(TAB_HISTORICO_MANUT[[#This Row],[Hora Inicio]])</f>
        <v>0</v>
      </c>
      <c r="B306" s="42"/>
      <c r="C306" s="43"/>
      <c r="D306" s="42"/>
      <c r="E306" s="42"/>
      <c r="F306" s="42"/>
      <c r="G306" s="42"/>
      <c r="H306" s="42"/>
      <c r="I306" s="42"/>
      <c r="J306" s="42"/>
      <c r="K306" s="42"/>
      <c r="L306" s="42"/>
      <c r="M306" s="42" t="s">
        <v>98</v>
      </c>
      <c r="N30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Inicio]]=Z305,TAB_HISTORICO_MANUT[[#This Row],[Equipamento]]=AA305,TAB_HISTORICO_MANUT[[#This Row],[Descricao Despacho]]=AD305),0,1)))</f>
        <v>1</v>
      </c>
      <c r="O30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30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0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06" s="50">
        <f>IF($Q306="","",(TAB_HISTORICO_MANUT[[#This Row],[Hora Final]]-TAB_HISTORICO_MANUT[[#This Row],[Hora Inicio]])*24)</f>
        <v>12.239444444538094</v>
      </c>
      <c r="S30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306" s="54" t="str">
        <f>IF(AND(TAB_HISTORICO_MANUT[[#This Row],[EXPURGO Mãe]]="SIM",TAB_HISTORICO_MANUT[[#This Row],[Tipo]]="MÃE"),"EXP.MAE",IF(TAB_HISTORICO_MANUT[[#This Row],[EXPURGO Mãe]]="NÃO","NÃO EXP.MAE",T305))</f>
        <v>EXP.MAE</v>
      </c>
      <c r="U30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06" s="56">
        <f>IF(TAB_HISTORICO_MANUT[[#This Row],[EXPURGO Filhas]]="SIM",MAX(TAB_HISTORICO_MANUT[[#This Row],[Hora Final]]-TAB_HISTORICO_MANUT[[#This Row],[Hora Inicio]],0),0)</f>
        <v>0</v>
      </c>
      <c r="W30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0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06" s="46">
        <v>46059.48296296296</v>
      </c>
      <c r="Z306" s="47">
        <v>46059.992939814816</v>
      </c>
      <c r="AA306" s="48" t="s">
        <v>232</v>
      </c>
      <c r="AB306" s="48" t="s">
        <v>506</v>
      </c>
      <c r="AC306" s="43" t="s">
        <v>204</v>
      </c>
      <c r="AD306" s="46" t="s">
        <v>144</v>
      </c>
      <c r="AE306" s="46" t="s">
        <v>172</v>
      </c>
      <c r="AF306" s="88" t="s">
        <v>210</v>
      </c>
      <c r="AG306" s="105">
        <f>IF(TAB_HISTORICO_MANUT[[#This Row],[Hora Inicio]]="","",MONTH(TAB_HISTORICO_MANUT[[#This Row],[Hora Inicio]]))</f>
        <v>2</v>
      </c>
      <c r="AH306" s="58" t="s">
        <v>535</v>
      </c>
      <c r="AI306" s="43" t="s">
        <v>235</v>
      </c>
      <c r="AJ306" s="43" t="s">
        <v>532</v>
      </c>
      <c r="AK306" s="43" t="s">
        <v>422</v>
      </c>
      <c r="AL306" s="43" t="s">
        <v>533</v>
      </c>
      <c r="AM306" s="114" t="s">
        <v>534</v>
      </c>
      <c r="AN306" s="43" t="s">
        <v>217</v>
      </c>
      <c r="AO306" s="43" t="s">
        <v>665</v>
      </c>
      <c r="AP306" s="43" t="s">
        <v>218</v>
      </c>
    </row>
    <row r="307" spans="1:42" ht="50.1" customHeight="1" x14ac:dyDescent="0.25">
      <c r="A307" s="43">
        <f>MONTH(TAB_HISTORICO_MANUT[[#This Row],[Hora Final]])-MONTH(TAB_HISTORICO_MANUT[[#This Row],[Hora Inicio]])</f>
        <v>0</v>
      </c>
      <c r="B307" s="42"/>
      <c r="C307" s="43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Inicio]]=Z306,TAB_HISTORICO_MANUT[[#This Row],[Equipamento]]=AA306,TAB_HISTORICO_MANUT[[#This Row],[Descricao Despacho]]=AD306),0,1)))</f>
        <v>1</v>
      </c>
      <c r="O30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307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0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07" s="50">
        <f>IF($Q307="","",(TAB_HISTORICO_MANUT[[#This Row],[Hora Final]]-TAB_HISTORICO_MANUT[[#This Row],[Hora Inicio]])*24)</f>
        <v>20.423888888850342</v>
      </c>
      <c r="S30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07" s="54" t="str">
        <f>IF(AND(TAB_HISTORICO_MANUT[[#This Row],[EXPURGO Mãe]]="SIM",TAB_HISTORICO_MANUT[[#This Row],[Tipo]]="MÃE"),"EXP.MAE",IF(TAB_HISTORICO_MANUT[[#This Row],[EXPURGO Mãe]]="NÃO","NÃO EXP.MAE",T306))</f>
        <v>NÃO EXP.MAE</v>
      </c>
      <c r="U30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07" s="56">
        <f>IF(TAB_HISTORICO_MANUT[[#This Row],[EXPURGO Filhas]]="SIM",MAX(TAB_HISTORICO_MANUT[[#This Row],[Hora Final]]-TAB_HISTORICO_MANUT[[#This Row],[Hora Inicio]],0),0)</f>
        <v>0</v>
      </c>
      <c r="W30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0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07" s="46">
        <v>46063.353298611109</v>
      </c>
      <c r="Z307" s="47">
        <v>46064.204293981478</v>
      </c>
      <c r="AA307" s="48" t="s">
        <v>232</v>
      </c>
      <c r="AB307" s="48" t="s">
        <v>509</v>
      </c>
      <c r="AC307" s="43" t="s">
        <v>204</v>
      </c>
      <c r="AD307" s="46" t="s">
        <v>144</v>
      </c>
      <c r="AE307" s="46" t="s">
        <v>172</v>
      </c>
      <c r="AF307" s="88" t="s">
        <v>210</v>
      </c>
      <c r="AG307" s="105">
        <f>IF(TAB_HISTORICO_MANUT[[#This Row],[Hora Inicio]]="","",MONTH(TAB_HISTORICO_MANUT[[#This Row],[Hora Inicio]]))</f>
        <v>2</v>
      </c>
      <c r="AH307" s="58" t="s">
        <v>521</v>
      </c>
      <c r="AI307" s="43" t="s">
        <v>24</v>
      </c>
      <c r="AJ307" s="43" t="s">
        <v>536</v>
      </c>
      <c r="AK307" s="43" t="s">
        <v>536</v>
      </c>
      <c r="AL307" s="43" t="s">
        <v>275</v>
      </c>
      <c r="AM307" s="43" t="s">
        <v>276</v>
      </c>
      <c r="AN307" s="43" t="s">
        <v>217</v>
      </c>
      <c r="AO307" s="43" t="s">
        <v>657</v>
      </c>
      <c r="AP307" s="43" t="s">
        <v>420</v>
      </c>
    </row>
    <row r="308" spans="1:42" ht="50.1" customHeight="1" x14ac:dyDescent="0.25">
      <c r="A308" s="43">
        <f>MONTH(TAB_HISTORICO_MANUT[[#This Row],[Hora Final]])-MONTH(TAB_HISTORICO_MANUT[[#This Row],[Hora Inicio]])</f>
        <v>0</v>
      </c>
      <c r="B308" s="42"/>
      <c r="C308" s="43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Inicio]]=Z307,TAB_HISTORICO_MANUT[[#This Row],[Equipamento]]=AA307,TAB_HISTORICO_MANUT[[#This Row],[Descricao Despacho]]=AD307),0,1)))</f>
        <v/>
      </c>
      <c r="O30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08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0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08" s="50" t="str">
        <f>IF($Q308="","",(TAB_HISTORICO_MANUT[[#This Row],[Hora Final]]-TAB_HISTORICO_MANUT[[#This Row],[Hora Inicio]])*24)</f>
        <v/>
      </c>
      <c r="S30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08" s="54" t="str">
        <f>IF(AND(TAB_HISTORICO_MANUT[[#This Row],[EXPURGO Mãe]]="SIM",TAB_HISTORICO_MANUT[[#This Row],[Tipo]]="MÃE"),"EXP.MAE",IF(TAB_HISTORICO_MANUT[[#This Row],[EXPURGO Mãe]]="NÃO","NÃO EXP.MAE",T307))</f>
        <v>NÃO EXP.MAE</v>
      </c>
      <c r="U30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08" s="56">
        <f>IF(TAB_HISTORICO_MANUT[[#This Row],[EXPURGO Filhas]]="SIM",MAX(TAB_HISTORICO_MANUT[[#This Row],[Hora Final]]-TAB_HISTORICO_MANUT[[#This Row],[Hora Inicio]],0),0)</f>
        <v>0.10487000000284752</v>
      </c>
      <c r="W30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0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08" s="46">
        <v>46063.944439999999</v>
      </c>
      <c r="Z308" s="47">
        <v>46064.049310000002</v>
      </c>
      <c r="AA308" s="48" t="s">
        <v>232</v>
      </c>
      <c r="AB308" s="48" t="s">
        <v>509</v>
      </c>
      <c r="AC308" s="43" t="s">
        <v>204</v>
      </c>
      <c r="AD308" s="46" t="s">
        <v>144</v>
      </c>
      <c r="AE308" s="46" t="s">
        <v>765</v>
      </c>
      <c r="AF308" s="88" t="s">
        <v>767</v>
      </c>
      <c r="AG308" s="105">
        <f>IF(TAB_HISTORICO_MANUT[[#This Row],[Hora Inicio]]="","",MONTH(TAB_HISTORICO_MANUT[[#This Row],[Hora Inicio]]))</f>
        <v>2</v>
      </c>
      <c r="AH308" s="58" t="s">
        <v>521</v>
      </c>
      <c r="AI308" s="43" t="s">
        <v>24</v>
      </c>
      <c r="AJ308" s="43" t="s">
        <v>536</v>
      </c>
      <c r="AK308" s="43" t="s">
        <v>536</v>
      </c>
      <c r="AL308" s="43" t="s">
        <v>275</v>
      </c>
      <c r="AM308" s="114" t="s">
        <v>276</v>
      </c>
      <c r="AN308" s="43" t="s">
        <v>217</v>
      </c>
      <c r="AO308" s="43" t="s">
        <v>657</v>
      </c>
      <c r="AP308" s="43" t="s">
        <v>420</v>
      </c>
    </row>
    <row r="309" spans="1:42" ht="50.1" customHeight="1" x14ac:dyDescent="0.25">
      <c r="A309" s="43">
        <f>MONTH(TAB_HISTORICO_MANUT[[#This Row],[Hora Final]])-MONTH(TAB_HISTORICO_MANUT[[#This Row],[Hora Inicio]])</f>
        <v>0</v>
      </c>
      <c r="B309" s="42"/>
      <c r="C309" s="43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Inicio]]=Z308,TAB_HISTORICO_MANUT[[#This Row],[Equipamento]]=AA308,TAB_HISTORICO_MANUT[[#This Row],[Descricao Despacho]]=AD308),0,1)))</f>
        <v>1</v>
      </c>
      <c r="O30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309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0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09" s="50">
        <f>IF($Q309="","",(TAB_HISTORICO_MANUT[[#This Row],[Hora Final]]-TAB_HISTORICO_MANUT[[#This Row],[Hora Inicio]])*24)</f>
        <v>83.771388888882939</v>
      </c>
      <c r="S30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09" s="54" t="str">
        <f>IF(AND(TAB_HISTORICO_MANUT[[#This Row],[EXPURGO Mãe]]="SIM",TAB_HISTORICO_MANUT[[#This Row],[Tipo]]="MÃE"),"EXP.MAE",IF(TAB_HISTORICO_MANUT[[#This Row],[EXPURGO Mãe]]="NÃO","NÃO EXP.MAE",T308))</f>
        <v>NÃO EXP.MAE</v>
      </c>
      <c r="U30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09" s="56">
        <f>IF(TAB_HISTORICO_MANUT[[#This Row],[EXPURGO Filhas]]="SIM",MAX(TAB_HISTORICO_MANUT[[#This Row],[Hora Final]]-TAB_HISTORICO_MANUT[[#This Row],[Hora Inicio]],0),0)</f>
        <v>0</v>
      </c>
      <c r="W30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0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09" s="46">
        <v>46064.461643518516</v>
      </c>
      <c r="Z309" s="47">
        <v>46067.952118055553</v>
      </c>
      <c r="AA309" s="48" t="s">
        <v>232</v>
      </c>
      <c r="AB309" s="48">
        <v>202600784594</v>
      </c>
      <c r="AC309" s="43" t="s">
        <v>204</v>
      </c>
      <c r="AD309" s="46" t="s">
        <v>144</v>
      </c>
      <c r="AE309" s="46" t="s">
        <v>172</v>
      </c>
      <c r="AF309" s="88" t="s">
        <v>210</v>
      </c>
      <c r="AG309" s="105">
        <f>IF(TAB_HISTORICO_MANUT[[#This Row],[Hora Inicio]]="","",MONTH(TAB_HISTORICO_MANUT[[#This Row],[Hora Inicio]]))</f>
        <v>2</v>
      </c>
      <c r="AH309" s="58" t="s">
        <v>551</v>
      </c>
      <c r="AI309" s="43" t="s">
        <v>24</v>
      </c>
      <c r="AJ309" s="43" t="s">
        <v>558</v>
      </c>
      <c r="AK309" s="43" t="s">
        <v>529</v>
      </c>
      <c r="AL309" s="43" t="s">
        <v>275</v>
      </c>
      <c r="AM309" s="114" t="s">
        <v>276</v>
      </c>
      <c r="AN309" s="43" t="s">
        <v>217</v>
      </c>
      <c r="AO309" s="43" t="s">
        <v>586</v>
      </c>
      <c r="AP309" s="43" t="s">
        <v>469</v>
      </c>
    </row>
    <row r="310" spans="1:42" ht="50.1" customHeight="1" x14ac:dyDescent="0.25">
      <c r="A310" s="115">
        <f>MONTH(TAB_HISTORICO_MANUT[[#This Row],[Hora Final]])-MONTH(TAB_HISTORICO_MANUT[[#This Row],[Hora Inicio]])</f>
        <v>0</v>
      </c>
      <c r="B310" s="116"/>
      <c r="C310" s="115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 t="s">
        <v>99</v>
      </c>
      <c r="N310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Inicio]]=Z309,TAB_HISTORICO_MANUT[[#This Row],[Equipamento]]=AA309,TAB_HISTORICO_MANUT[[#This Row],[Descricao Despacho]]=AD309),0,1)))</f>
        <v/>
      </c>
      <c r="O31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10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1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10" s="107" t="str">
        <f>IF($Q310="","",(TAB_HISTORICO_MANUT[[#This Row],[Hora Final]]-TAB_HISTORICO_MANUT[[#This Row],[Hora Inicio]])*24)</f>
        <v/>
      </c>
      <c r="S31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10" s="109" t="str">
        <f>IF(AND(TAB_HISTORICO_MANUT[[#This Row],[EXPURGO Mãe]]="SIM",TAB_HISTORICO_MANUT[[#This Row],[Tipo]]="MÃE"),"EXP.MAE",IF(TAB_HISTORICO_MANUT[[#This Row],[EXPURGO Mãe]]="NÃO","NÃO EXP.MAE",T309))</f>
        <v>NÃO EXP.MAE</v>
      </c>
      <c r="U31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10" s="110">
        <f>IF(TAB_HISTORICO_MANUT[[#This Row],[EXPURGO Filhas]]="SIM",MAX(TAB_HISTORICO_MANUT[[#This Row],[Hora Final]]-TAB_HISTORICO_MANUT[[#This Row],[Hora Inicio]],0),0)</f>
        <v>0</v>
      </c>
      <c r="W31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1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10" s="117">
        <v>46064.548609999998</v>
      </c>
      <c r="Z310" s="118">
        <v>46064.590277777781</v>
      </c>
      <c r="AA310" s="119" t="s">
        <v>232</v>
      </c>
      <c r="AB310" s="119">
        <v>202600784594</v>
      </c>
      <c r="AC310" s="115" t="s">
        <v>204</v>
      </c>
      <c r="AD310" s="117" t="s">
        <v>144</v>
      </c>
      <c r="AE310" s="117" t="s">
        <v>233</v>
      </c>
      <c r="AF310" s="88" t="s">
        <v>767</v>
      </c>
      <c r="AG310" s="105">
        <f>IF(TAB_HISTORICO_MANUT[[#This Row],[Hora Inicio]]="","",MONTH(TAB_HISTORICO_MANUT[[#This Row],[Hora Inicio]]))</f>
        <v>2</v>
      </c>
      <c r="AH310" s="120" t="s">
        <v>551</v>
      </c>
      <c r="AI310" s="115" t="s">
        <v>24</v>
      </c>
      <c r="AJ310" s="115" t="s">
        <v>558</v>
      </c>
      <c r="AK310" s="115" t="s">
        <v>529</v>
      </c>
      <c r="AL310" s="115" t="s">
        <v>275</v>
      </c>
      <c r="AM310" s="121" t="s">
        <v>276</v>
      </c>
      <c r="AN310" s="115" t="s">
        <v>217</v>
      </c>
      <c r="AO310" s="115" t="s">
        <v>586</v>
      </c>
      <c r="AP310" s="115" t="s">
        <v>469</v>
      </c>
    </row>
    <row r="311" spans="1:42" ht="50.1" customHeight="1" x14ac:dyDescent="0.25">
      <c r="A311" s="43">
        <f>MONTH(TAB_HISTORICO_MANUT[[#This Row],[Hora Final]])-MONTH(TAB_HISTORICO_MANUT[[#This Row],[Hora Inicio]])</f>
        <v>0</v>
      </c>
      <c r="B311" s="42"/>
      <c r="C311" s="43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Inicio]]=Z310,TAB_HISTORICO_MANUT[[#This Row],[Equipamento]]=AA310,TAB_HISTORICO_MANUT[[#This Row],[Descricao Despacho]]=AD310),0,1)))</f>
        <v/>
      </c>
      <c r="O31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11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1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11" s="50" t="str">
        <f>IF($Q311="","",(TAB_HISTORICO_MANUT[[#This Row],[Hora Final]]-TAB_HISTORICO_MANUT[[#This Row],[Hora Inicio]])*24)</f>
        <v/>
      </c>
      <c r="S31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11" s="54" t="str">
        <f>IF(AND(TAB_HISTORICO_MANUT[[#This Row],[EXPURGO Mãe]]="SIM",TAB_HISTORICO_MANUT[[#This Row],[Tipo]]="MÃE"),"EXP.MAE",IF(TAB_HISTORICO_MANUT[[#This Row],[EXPURGO Mãe]]="NÃO","NÃO EXP.MAE",T310))</f>
        <v>NÃO EXP.MAE</v>
      </c>
      <c r="U31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11" s="56">
        <f>IF(TAB_HISTORICO_MANUT[[#This Row],[EXPURGO Filhas]]="SIM",MAX(TAB_HISTORICO_MANUT[[#This Row],[Hora Final]]-TAB_HISTORICO_MANUT[[#This Row],[Hora Inicio]],0),0)</f>
        <v>9.7222222218988463E-2</v>
      </c>
      <c r="W31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1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11" s="46">
        <v>46064.590277777781</v>
      </c>
      <c r="Z311" s="47">
        <v>46064.6875</v>
      </c>
      <c r="AA311" s="48" t="s">
        <v>232</v>
      </c>
      <c r="AB311" s="48">
        <v>202600784594</v>
      </c>
      <c r="AC311" s="43" t="s">
        <v>204</v>
      </c>
      <c r="AD311" s="46" t="s">
        <v>144</v>
      </c>
      <c r="AE311" s="46" t="s">
        <v>233</v>
      </c>
      <c r="AF311" s="88" t="s">
        <v>767</v>
      </c>
      <c r="AG311" s="105">
        <f>IF(TAB_HISTORICO_MANUT[[#This Row],[Hora Inicio]]="","",MONTH(TAB_HISTORICO_MANUT[[#This Row],[Hora Inicio]]))</f>
        <v>2</v>
      </c>
      <c r="AH311" s="58" t="s">
        <v>551</v>
      </c>
      <c r="AI311" s="43" t="s">
        <v>24</v>
      </c>
      <c r="AJ311" s="43" t="s">
        <v>558</v>
      </c>
      <c r="AK311" s="43" t="s">
        <v>529</v>
      </c>
      <c r="AL311" s="43" t="s">
        <v>275</v>
      </c>
      <c r="AM311" s="114" t="s">
        <v>276</v>
      </c>
      <c r="AN311" s="43" t="s">
        <v>217</v>
      </c>
      <c r="AO311" s="43" t="s">
        <v>586</v>
      </c>
      <c r="AP311" s="43" t="s">
        <v>469</v>
      </c>
    </row>
    <row r="312" spans="1:42" ht="50.1" customHeight="1" x14ac:dyDescent="0.25">
      <c r="A312" s="43">
        <f>MONTH(TAB_HISTORICO_MANUT[[#This Row],[Hora Final]])-MONTH(TAB_HISTORICO_MANUT[[#This Row],[Hora Inicio]])</f>
        <v>0</v>
      </c>
      <c r="B312" s="42"/>
      <c r="C312" s="43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Inicio]]=Z311,TAB_HISTORICO_MANUT[[#This Row],[Equipamento]]=AA311,TAB_HISTORICO_MANUT[[#This Row],[Descricao Despacho]]=AD311),0,1)))</f>
        <v/>
      </c>
      <c r="O31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12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1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12" s="50" t="str">
        <f>IF($Q312="","",(TAB_HISTORICO_MANUT[[#This Row],[Hora Final]]-TAB_HISTORICO_MANUT[[#This Row],[Hora Inicio]])*24)</f>
        <v/>
      </c>
      <c r="S31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12" s="54" t="str">
        <f>IF(AND(TAB_HISTORICO_MANUT[[#This Row],[EXPURGO Mãe]]="SIM",TAB_HISTORICO_MANUT[[#This Row],[Tipo]]="MÃE"),"EXP.MAE",IF(TAB_HISTORICO_MANUT[[#This Row],[EXPURGO Mãe]]="NÃO","NÃO EXP.MAE",T311))</f>
        <v>NÃO EXP.MAE</v>
      </c>
      <c r="U31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12" s="56">
        <f>IF(TAB_HISTORICO_MANUT[[#This Row],[EXPURGO Filhas]]="SIM",MAX(TAB_HISTORICO_MANUT[[#This Row],[Hora Final]]-TAB_HISTORICO_MANUT[[#This Row],[Hora Inicio]],0),0)</f>
        <v>4.3750000004365575E-2</v>
      </c>
      <c r="W31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1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12" s="46">
        <v>46064.797919999997</v>
      </c>
      <c r="Z312" s="47">
        <v>46064.841670000002</v>
      </c>
      <c r="AA312" s="48" t="s">
        <v>232</v>
      </c>
      <c r="AB312" s="48">
        <v>202600784594</v>
      </c>
      <c r="AC312" s="43" t="s">
        <v>204</v>
      </c>
      <c r="AD312" s="46" t="s">
        <v>144</v>
      </c>
      <c r="AE312" s="46" t="s">
        <v>780</v>
      </c>
      <c r="AF312" s="88" t="s">
        <v>767</v>
      </c>
      <c r="AG312" s="105">
        <f>IF(TAB_HISTORICO_MANUT[[#This Row],[Hora Inicio]]="","",MONTH(TAB_HISTORICO_MANUT[[#This Row],[Hora Inicio]]))</f>
        <v>2</v>
      </c>
      <c r="AH312" s="58" t="s">
        <v>551</v>
      </c>
      <c r="AI312" s="43" t="s">
        <v>24</v>
      </c>
      <c r="AJ312" s="43" t="s">
        <v>558</v>
      </c>
      <c r="AK312" s="43" t="s">
        <v>529</v>
      </c>
      <c r="AL312" s="43" t="s">
        <v>275</v>
      </c>
      <c r="AM312" s="114" t="s">
        <v>276</v>
      </c>
      <c r="AN312" s="43" t="s">
        <v>217</v>
      </c>
      <c r="AO312" s="43" t="s">
        <v>586</v>
      </c>
      <c r="AP312" s="43" t="s">
        <v>469</v>
      </c>
    </row>
    <row r="313" spans="1:42" ht="50.1" customHeight="1" x14ac:dyDescent="0.25">
      <c r="A313" s="43">
        <f>MONTH(TAB_HISTORICO_MANUT[[#This Row],[Hora Final]])-MONTH(TAB_HISTORICO_MANUT[[#This Row],[Hora Inicio]])</f>
        <v>0</v>
      </c>
      <c r="B313" s="42"/>
      <c r="C313" s="43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Inicio]]=Z312,TAB_HISTORICO_MANUT[[#This Row],[Equipamento]]=AA312,TAB_HISTORICO_MANUT[[#This Row],[Descricao Despacho]]=AD312),0,1)))</f>
        <v/>
      </c>
      <c r="O31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13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1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13" s="50" t="str">
        <f>IF($Q313="","",(TAB_HISTORICO_MANUT[[#This Row],[Hora Final]]-TAB_HISTORICO_MANUT[[#This Row],[Hora Inicio]])*24)</f>
        <v/>
      </c>
      <c r="S31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13" s="54" t="str">
        <f>IF(AND(TAB_HISTORICO_MANUT[[#This Row],[EXPURGO Mãe]]="SIM",TAB_HISTORICO_MANUT[[#This Row],[Tipo]]="MÃE"),"EXP.MAE",IF(TAB_HISTORICO_MANUT[[#This Row],[EXPURGO Mãe]]="NÃO","NÃO EXP.MAE",T312))</f>
        <v>NÃO EXP.MAE</v>
      </c>
      <c r="U31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13" s="56">
        <f>IF(TAB_HISTORICO_MANUT[[#This Row],[EXPURGO Filhas]]="SIM",MAX(TAB_HISTORICO_MANUT[[#This Row],[Hora Final]]-TAB_HISTORICO_MANUT[[#This Row],[Hora Inicio]],0),0)</f>
        <v>3.4720000003289897E-2</v>
      </c>
      <c r="W31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1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13" s="46">
        <v>46065.791669999999</v>
      </c>
      <c r="Z313" s="47">
        <v>46065.826390000002</v>
      </c>
      <c r="AA313" s="48" t="s">
        <v>232</v>
      </c>
      <c r="AB313" s="48">
        <v>202600784594</v>
      </c>
      <c r="AC313" s="43" t="s">
        <v>204</v>
      </c>
      <c r="AD313" s="46" t="s">
        <v>144</v>
      </c>
      <c r="AE313" s="46" t="s">
        <v>231</v>
      </c>
      <c r="AF313" s="88" t="s">
        <v>767</v>
      </c>
      <c r="AG313" s="105">
        <f>IF(TAB_HISTORICO_MANUT[[#This Row],[Hora Inicio]]="","",MONTH(TAB_HISTORICO_MANUT[[#This Row],[Hora Inicio]]))</f>
        <v>2</v>
      </c>
      <c r="AH313" s="58" t="s">
        <v>551</v>
      </c>
      <c r="AI313" s="43" t="s">
        <v>24</v>
      </c>
      <c r="AJ313" s="43" t="s">
        <v>558</v>
      </c>
      <c r="AK313" s="43" t="s">
        <v>529</v>
      </c>
      <c r="AL313" s="43" t="s">
        <v>275</v>
      </c>
      <c r="AM313" s="114" t="s">
        <v>276</v>
      </c>
      <c r="AN313" s="43" t="s">
        <v>217</v>
      </c>
      <c r="AO313" s="43" t="s">
        <v>586</v>
      </c>
      <c r="AP313" s="43" t="s">
        <v>469</v>
      </c>
    </row>
    <row r="314" spans="1:42" ht="50.1" customHeight="1" x14ac:dyDescent="0.25">
      <c r="A314" s="43">
        <f>MONTH(TAB_HISTORICO_MANUT[[#This Row],[Hora Final]])-MONTH(TAB_HISTORICO_MANUT[[#This Row],[Hora Inicio]])</f>
        <v>0</v>
      </c>
      <c r="B314" s="42"/>
      <c r="C314" s="43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Inicio]]=Z313,TAB_HISTORICO_MANUT[[#This Row],[Equipamento]]=AA313,TAB_HISTORICO_MANUT[[#This Row],[Descricao Despacho]]=AD313),0,1)))</f>
        <v/>
      </c>
      <c r="O31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14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1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14" s="50" t="str">
        <f>IF($Q314="","",(TAB_HISTORICO_MANUT[[#This Row],[Hora Final]]-TAB_HISTORICO_MANUT[[#This Row],[Hora Inicio]])*24)</f>
        <v/>
      </c>
      <c r="S31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14" s="54" t="str">
        <f>IF(AND(TAB_HISTORICO_MANUT[[#This Row],[EXPURGO Mãe]]="SIM",TAB_HISTORICO_MANUT[[#This Row],[Tipo]]="MÃE"),"EXP.MAE",IF(TAB_HISTORICO_MANUT[[#This Row],[EXPURGO Mãe]]="NÃO","NÃO EXP.MAE",T313))</f>
        <v>NÃO EXP.MAE</v>
      </c>
      <c r="U31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14" s="56">
        <f>IF(TAB_HISTORICO_MANUT[[#This Row],[EXPURGO Filhas]]="SIM",MAX(TAB_HISTORICO_MANUT[[#This Row],[Hora Final]]-TAB_HISTORICO_MANUT[[#This Row],[Hora Inicio]],0),0)</f>
        <v>0.16666666666424135</v>
      </c>
      <c r="W31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1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14" s="46">
        <v>46066.458333333336</v>
      </c>
      <c r="Z314" s="47">
        <v>46066.625</v>
      </c>
      <c r="AA314" s="48" t="s">
        <v>232</v>
      </c>
      <c r="AB314" s="48">
        <v>202600784594</v>
      </c>
      <c r="AC314" s="43" t="s">
        <v>204</v>
      </c>
      <c r="AD314" s="46" t="s">
        <v>144</v>
      </c>
      <c r="AE314" s="46" t="s">
        <v>768</v>
      </c>
      <c r="AF314" s="88" t="s">
        <v>767</v>
      </c>
      <c r="AG314" s="105">
        <f>IF(TAB_HISTORICO_MANUT[[#This Row],[Hora Inicio]]="","",MONTH(TAB_HISTORICO_MANUT[[#This Row],[Hora Inicio]]))</f>
        <v>2</v>
      </c>
      <c r="AH314" s="58" t="s">
        <v>551</v>
      </c>
      <c r="AI314" s="43" t="s">
        <v>24</v>
      </c>
      <c r="AJ314" s="43" t="s">
        <v>558</v>
      </c>
      <c r="AK314" s="43" t="s">
        <v>529</v>
      </c>
      <c r="AL314" s="43" t="s">
        <v>275</v>
      </c>
      <c r="AM314" s="114" t="s">
        <v>276</v>
      </c>
      <c r="AN314" s="43" t="s">
        <v>217</v>
      </c>
      <c r="AO314" s="43" t="s">
        <v>586</v>
      </c>
      <c r="AP314" s="43" t="s">
        <v>469</v>
      </c>
    </row>
    <row r="315" spans="1:42" ht="50.1" customHeight="1" x14ac:dyDescent="0.25">
      <c r="A315" s="43">
        <f>MONTH(TAB_HISTORICO_MANUT[[#This Row],[Hora Final]])-MONTH(TAB_HISTORICO_MANUT[[#This Row],[Hora Inicio]])</f>
        <v>0</v>
      </c>
      <c r="B315" s="42"/>
      <c r="C315" s="43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Inicio]]=Z314,TAB_HISTORICO_MANUT[[#This Row],[Equipamento]]=AA314,TAB_HISTORICO_MANUT[[#This Row],[Descricao Despacho]]=AD314),0,1)))</f>
        <v/>
      </c>
      <c r="O31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15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1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15" s="50" t="str">
        <f>IF($Q315="","",(TAB_HISTORICO_MANUT[[#This Row],[Hora Final]]-TAB_HISTORICO_MANUT[[#This Row],[Hora Inicio]])*24)</f>
        <v/>
      </c>
      <c r="S31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15" s="54" t="str">
        <f>IF(AND(TAB_HISTORICO_MANUT[[#This Row],[EXPURGO Mãe]]="SIM",TAB_HISTORICO_MANUT[[#This Row],[Tipo]]="MÃE"),"EXP.MAE",IF(TAB_HISTORICO_MANUT[[#This Row],[EXPURGO Mãe]]="NÃO","NÃO EXP.MAE",T314))</f>
        <v>NÃO EXP.MAE</v>
      </c>
      <c r="U31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15" s="56">
        <f>IF(TAB_HISTORICO_MANUT[[#This Row],[EXPURGO Filhas]]="SIM",MAX(TAB_HISTORICO_MANUT[[#This Row],[Hora Final]]-TAB_HISTORICO_MANUT[[#This Row],[Hora Inicio]],0),0)</f>
        <v>4.514000000199303E-2</v>
      </c>
      <c r="W31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1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15" s="46">
        <v>46066.819439999999</v>
      </c>
      <c r="Z315" s="47">
        <v>46066.864580000001</v>
      </c>
      <c r="AA315" s="48" t="s">
        <v>232</v>
      </c>
      <c r="AB315" s="48">
        <v>202600784594</v>
      </c>
      <c r="AC315" s="43" t="s">
        <v>204</v>
      </c>
      <c r="AD315" s="46" t="s">
        <v>144</v>
      </c>
      <c r="AE315" s="46" t="s">
        <v>231</v>
      </c>
      <c r="AF315" s="88" t="s">
        <v>767</v>
      </c>
      <c r="AG315" s="105">
        <f>IF(TAB_HISTORICO_MANUT[[#This Row],[Hora Inicio]]="","",MONTH(TAB_HISTORICO_MANUT[[#This Row],[Hora Inicio]]))</f>
        <v>2</v>
      </c>
      <c r="AH315" s="58" t="s">
        <v>551</v>
      </c>
      <c r="AI315" s="43" t="s">
        <v>24</v>
      </c>
      <c r="AJ315" s="43" t="s">
        <v>558</v>
      </c>
      <c r="AK315" s="43" t="s">
        <v>529</v>
      </c>
      <c r="AL315" s="43" t="s">
        <v>275</v>
      </c>
      <c r="AM315" s="114" t="s">
        <v>276</v>
      </c>
      <c r="AN315" s="43" t="s">
        <v>217</v>
      </c>
      <c r="AO315" s="43" t="s">
        <v>586</v>
      </c>
      <c r="AP315" s="43" t="s">
        <v>469</v>
      </c>
    </row>
    <row r="316" spans="1:42" ht="50.1" customHeight="1" x14ac:dyDescent="0.25">
      <c r="A316" s="43">
        <f>MONTH(TAB_HISTORICO_MANUT[[#This Row],[Hora Final]])-MONTH(TAB_HISTORICO_MANUT[[#This Row],[Hora Inicio]])</f>
        <v>0</v>
      </c>
      <c r="B316" s="42"/>
      <c r="C316" s="43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Inicio]]=Z315,TAB_HISTORICO_MANUT[[#This Row],[Equipamento]]=AA315,TAB_HISTORICO_MANUT[[#This Row],[Descricao Despacho]]=AD315),0,1)))</f>
        <v/>
      </c>
      <c r="O31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16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1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16" s="50" t="str">
        <f>IF($Q316="","",(TAB_HISTORICO_MANUT[[#This Row],[Hora Final]]-TAB_HISTORICO_MANUT[[#This Row],[Hora Inicio]])*24)</f>
        <v/>
      </c>
      <c r="S31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16" s="54" t="str">
        <f>IF(AND(TAB_HISTORICO_MANUT[[#This Row],[EXPURGO Mãe]]="SIM",TAB_HISTORICO_MANUT[[#This Row],[Tipo]]="MÃE"),"EXP.MAE",IF(TAB_HISTORICO_MANUT[[#This Row],[EXPURGO Mãe]]="NÃO","NÃO EXP.MAE",T315))</f>
        <v>NÃO EXP.MAE</v>
      </c>
      <c r="U31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16" s="56">
        <f>IF(TAB_HISTORICO_MANUT[[#This Row],[EXPURGO Filhas]]="SIM",MAX(TAB_HISTORICO_MANUT[[#This Row],[Hora Final]]-TAB_HISTORICO_MANUT[[#This Row],[Hora Inicio]],0),0)</f>
        <v>4.3750000004365575E-2</v>
      </c>
      <c r="W31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1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16" s="46">
        <v>46066.907639999998</v>
      </c>
      <c r="Z316" s="47">
        <v>46066.951390000002</v>
      </c>
      <c r="AA316" s="48" t="s">
        <v>232</v>
      </c>
      <c r="AB316" s="48">
        <v>202600784594</v>
      </c>
      <c r="AC316" s="43" t="s">
        <v>204</v>
      </c>
      <c r="AD316" s="46" t="s">
        <v>144</v>
      </c>
      <c r="AE316" s="46" t="s">
        <v>231</v>
      </c>
      <c r="AF316" s="88" t="s">
        <v>767</v>
      </c>
      <c r="AG316" s="105">
        <f>IF(TAB_HISTORICO_MANUT[[#This Row],[Hora Inicio]]="","",MONTH(TAB_HISTORICO_MANUT[[#This Row],[Hora Inicio]]))</f>
        <v>2</v>
      </c>
      <c r="AH316" s="58" t="s">
        <v>551</v>
      </c>
      <c r="AI316" s="43" t="s">
        <v>24</v>
      </c>
      <c r="AJ316" s="43" t="s">
        <v>558</v>
      </c>
      <c r="AK316" s="43" t="s">
        <v>529</v>
      </c>
      <c r="AL316" s="43" t="s">
        <v>275</v>
      </c>
      <c r="AM316" s="114" t="s">
        <v>276</v>
      </c>
      <c r="AN316" s="43" t="s">
        <v>217</v>
      </c>
      <c r="AO316" s="43" t="s">
        <v>586</v>
      </c>
      <c r="AP316" s="43" t="s">
        <v>469</v>
      </c>
    </row>
    <row r="317" spans="1:42" ht="50.1" customHeight="1" x14ac:dyDescent="0.25">
      <c r="A317" s="43">
        <f>MONTH(TAB_HISTORICO_MANUT[[#This Row],[Hora Final]])-MONTH(TAB_HISTORICO_MANUT[[#This Row],[Hora Inicio]])</f>
        <v>0</v>
      </c>
      <c r="B317" s="42"/>
      <c r="C317" s="43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Inicio]]=Z316,TAB_HISTORICO_MANUT[[#This Row],[Equipamento]]=AA316,TAB_HISTORICO_MANUT[[#This Row],[Descricao Despacho]]=AD316),0,1)))</f>
        <v/>
      </c>
      <c r="O31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17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1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17" s="50" t="str">
        <f>IF($Q317="","",(TAB_HISTORICO_MANUT[[#This Row],[Hora Final]]-TAB_HISTORICO_MANUT[[#This Row],[Hora Inicio]])*24)</f>
        <v/>
      </c>
      <c r="S31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17" s="54" t="str">
        <f>IF(AND(TAB_HISTORICO_MANUT[[#This Row],[EXPURGO Mãe]]="SIM",TAB_HISTORICO_MANUT[[#This Row],[Tipo]]="MÃE"),"EXP.MAE",IF(TAB_HISTORICO_MANUT[[#This Row],[EXPURGO Mãe]]="NÃO","NÃO EXP.MAE",T316))</f>
        <v>NÃO EXP.MAE</v>
      </c>
      <c r="U31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17" s="56">
        <f>IF(TAB_HISTORICO_MANUT[[#This Row],[EXPURGO Filhas]]="SIM",MAX(TAB_HISTORICO_MANUT[[#This Row],[Hora Final]]-TAB_HISTORICO_MANUT[[#This Row],[Hora Inicio]],0),0)</f>
        <v>5.8329999999841675E-2</v>
      </c>
      <c r="W31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1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17" s="46">
        <v>46066.97292</v>
      </c>
      <c r="Z317" s="47">
        <v>46067.03125</v>
      </c>
      <c r="AA317" s="48" t="s">
        <v>232</v>
      </c>
      <c r="AB317" s="48">
        <v>202600784594</v>
      </c>
      <c r="AC317" s="43" t="s">
        <v>204</v>
      </c>
      <c r="AD317" s="46" t="s">
        <v>144</v>
      </c>
      <c r="AE317" s="46" t="s">
        <v>765</v>
      </c>
      <c r="AF317" s="88" t="s">
        <v>767</v>
      </c>
      <c r="AG317" s="105">
        <f>IF(TAB_HISTORICO_MANUT[[#This Row],[Hora Inicio]]="","",MONTH(TAB_HISTORICO_MANUT[[#This Row],[Hora Inicio]]))</f>
        <v>2</v>
      </c>
      <c r="AH317" s="58" t="s">
        <v>551</v>
      </c>
      <c r="AI317" s="43" t="s">
        <v>24</v>
      </c>
      <c r="AJ317" s="43" t="s">
        <v>558</v>
      </c>
      <c r="AK317" s="43" t="s">
        <v>529</v>
      </c>
      <c r="AL317" s="43" t="s">
        <v>275</v>
      </c>
      <c r="AM317" s="114" t="s">
        <v>276</v>
      </c>
      <c r="AN317" s="43" t="s">
        <v>217</v>
      </c>
      <c r="AO317" s="43" t="s">
        <v>586</v>
      </c>
      <c r="AP317" s="43" t="s">
        <v>469</v>
      </c>
    </row>
    <row r="318" spans="1:42" ht="50.1" customHeight="1" x14ac:dyDescent="0.25">
      <c r="A318" s="43">
        <f>MONTH(TAB_HISTORICO_MANUT[[#This Row],[Hora Final]])-MONTH(TAB_HISTORICO_MANUT[[#This Row],[Hora Inicio]])</f>
        <v>0</v>
      </c>
      <c r="B318" s="42"/>
      <c r="C318" s="43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Inicio]]=Z317,TAB_HISTORICO_MANUT[[#This Row],[Equipamento]]=AA317,TAB_HISTORICO_MANUT[[#This Row],[Descricao Despacho]]=AD317),0,1)))</f>
        <v/>
      </c>
      <c r="O31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18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1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18" s="50" t="str">
        <f>IF($Q318="","",(TAB_HISTORICO_MANUT[[#This Row],[Hora Final]]-TAB_HISTORICO_MANUT[[#This Row],[Hora Inicio]])*24)</f>
        <v/>
      </c>
      <c r="S31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18" s="54" t="str">
        <f>IF(AND(TAB_HISTORICO_MANUT[[#This Row],[EXPURGO Mãe]]="SIM",TAB_HISTORICO_MANUT[[#This Row],[Tipo]]="MÃE"),"EXP.MAE",IF(TAB_HISTORICO_MANUT[[#This Row],[EXPURGO Mãe]]="NÃO","NÃO EXP.MAE",T317))</f>
        <v>NÃO EXP.MAE</v>
      </c>
      <c r="U31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18" s="56">
        <f>IF(TAB_HISTORICO_MANUT[[#This Row],[EXPURGO Filhas]]="SIM",MAX(TAB_HISTORICO_MANUT[[#This Row],[Hora Final]]-TAB_HISTORICO_MANUT[[#This Row],[Hora Inicio]],0),0)</f>
        <v>5.2083333328482695E-2</v>
      </c>
      <c r="W31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1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18" s="46">
        <v>46067.489583333336</v>
      </c>
      <c r="Z318" s="47">
        <v>46067.541666666664</v>
      </c>
      <c r="AA318" s="48" t="s">
        <v>232</v>
      </c>
      <c r="AB318" s="48">
        <v>202600784594</v>
      </c>
      <c r="AC318" s="43" t="s">
        <v>204</v>
      </c>
      <c r="AD318" s="46" t="s">
        <v>144</v>
      </c>
      <c r="AE318" s="46" t="s">
        <v>765</v>
      </c>
      <c r="AF318" s="88" t="s">
        <v>767</v>
      </c>
      <c r="AG318" s="105">
        <f>IF(TAB_HISTORICO_MANUT[[#This Row],[Hora Inicio]]="","",MONTH(TAB_HISTORICO_MANUT[[#This Row],[Hora Inicio]]))</f>
        <v>2</v>
      </c>
      <c r="AH318" s="58" t="s">
        <v>551</v>
      </c>
      <c r="AI318" s="43" t="s">
        <v>24</v>
      </c>
      <c r="AJ318" s="43" t="s">
        <v>558</v>
      </c>
      <c r="AK318" s="43" t="s">
        <v>529</v>
      </c>
      <c r="AL318" s="43" t="s">
        <v>275</v>
      </c>
      <c r="AM318" s="43" t="s">
        <v>276</v>
      </c>
      <c r="AN318" s="43" t="s">
        <v>217</v>
      </c>
      <c r="AO318" s="43" t="s">
        <v>586</v>
      </c>
      <c r="AP318" s="43" t="s">
        <v>469</v>
      </c>
    </row>
    <row r="319" spans="1:42" ht="50.1" customHeight="1" x14ac:dyDescent="0.25">
      <c r="A319" s="43">
        <f>MONTH(TAB_HISTORICO_MANUT[[#This Row],[Hora Final]])-MONTH(TAB_HISTORICO_MANUT[[#This Row],[Hora Inicio]])</f>
        <v>0</v>
      </c>
      <c r="B319" s="42"/>
      <c r="C319" s="43"/>
      <c r="D319" s="42"/>
      <c r="E319" s="42"/>
      <c r="F319" s="42"/>
      <c r="G319" s="42"/>
      <c r="H319" s="42"/>
      <c r="I319" s="42"/>
      <c r="J319" s="42"/>
      <c r="K319" s="42"/>
      <c r="L319" s="42"/>
      <c r="M319" s="42" t="s">
        <v>98</v>
      </c>
      <c r="N31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Inicio]]=Z318,TAB_HISTORICO_MANUT[[#This Row],[Equipamento]]=AA318,TAB_HISTORICO_MANUT[[#This Row],[Descricao Despacho]]=AD318),0,1)))</f>
        <v>1</v>
      </c>
      <c r="O31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HIDRAULICO</v>
      </c>
      <c r="P319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1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19" s="50">
        <f>IF($Q319="","",(TAB_HISTORICO_MANUT[[#This Row],[Hora Final]]-TAB_HISTORICO_MANUT[[#This Row],[Hora Inicio]])*24)</f>
        <v>2.2638888889923692</v>
      </c>
      <c r="S31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319" s="54" t="str">
        <f>IF(AND(TAB_HISTORICO_MANUT[[#This Row],[EXPURGO Mãe]]="SIM",TAB_HISTORICO_MANUT[[#This Row],[Tipo]]="MÃE"),"EXP.MAE",IF(TAB_HISTORICO_MANUT[[#This Row],[EXPURGO Mãe]]="NÃO","NÃO EXP.MAE",T318))</f>
        <v>EXP.MAE</v>
      </c>
      <c r="U31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19" s="56">
        <f>IF(TAB_HISTORICO_MANUT[[#This Row],[EXPURGO Filhas]]="SIM",MAX(TAB_HISTORICO_MANUT[[#This Row],[Hora Final]]-TAB_HISTORICO_MANUT[[#This Row],[Hora Inicio]],0),0)</f>
        <v>0</v>
      </c>
      <c r="W31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1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19" s="46">
        <v>46068.461828703701</v>
      </c>
      <c r="Z319" s="47">
        <v>46068.556157407409</v>
      </c>
      <c r="AA319" s="48" t="s">
        <v>232</v>
      </c>
      <c r="AB319" s="48" t="s">
        <v>563</v>
      </c>
      <c r="AC319" s="43" t="s">
        <v>204</v>
      </c>
      <c r="AD319" s="46" t="s">
        <v>144</v>
      </c>
      <c r="AE319" s="46" t="s">
        <v>172</v>
      </c>
      <c r="AF319" s="88" t="s">
        <v>210</v>
      </c>
      <c r="AG319" s="105">
        <f>IF(TAB_HISTORICO_MANUT[[#This Row],[Hora Inicio]]="","",MONTH(TAB_HISTORICO_MANUT[[#This Row],[Hora Inicio]]))</f>
        <v>2</v>
      </c>
      <c r="AH319" s="58" t="s">
        <v>589</v>
      </c>
      <c r="AI319" s="43" t="s">
        <v>149</v>
      </c>
      <c r="AJ319" s="43" t="s">
        <v>609</v>
      </c>
      <c r="AK319" s="43" t="s">
        <v>610</v>
      </c>
      <c r="AL319" s="43" t="s">
        <v>275</v>
      </c>
      <c r="AM319" s="43" t="s">
        <v>276</v>
      </c>
      <c r="AN319" s="43" t="s">
        <v>217</v>
      </c>
      <c r="AO319" s="43" t="s">
        <v>419</v>
      </c>
      <c r="AP319" s="43" t="s">
        <v>575</v>
      </c>
    </row>
    <row r="320" spans="1:42" ht="50.1" customHeight="1" x14ac:dyDescent="0.25">
      <c r="A320" s="43">
        <f>MONTH(TAB_HISTORICO_MANUT[[#This Row],[Hora Final]])-MONTH(TAB_HISTORICO_MANUT[[#This Row],[Hora Inicio]])</f>
        <v>0</v>
      </c>
      <c r="B320" s="42"/>
      <c r="C320" s="43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Inicio]]=Z319,TAB_HISTORICO_MANUT[[#This Row],[Equipamento]]=AA319,TAB_HISTORICO_MANUT[[#This Row],[Descricao Despacho]]=AD319),0,1)))</f>
        <v>1</v>
      </c>
      <c r="O32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320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2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20" s="50">
        <f>IF($Q320="","",(TAB_HISTORICO_MANUT[[#This Row],[Hora Final]]-TAB_HISTORICO_MANUT[[#This Row],[Hora Inicio]])*24)</f>
        <v>2.2038888887618668</v>
      </c>
      <c r="S32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20" s="54" t="str">
        <f>IF(AND(TAB_HISTORICO_MANUT[[#This Row],[EXPURGO Mãe]]="SIM",TAB_HISTORICO_MANUT[[#This Row],[Tipo]]="MÃE"),"EXP.MAE",IF(TAB_HISTORICO_MANUT[[#This Row],[EXPURGO Mãe]]="NÃO","NÃO EXP.MAE",T319))</f>
        <v>NÃO EXP.MAE</v>
      </c>
      <c r="U32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20" s="56">
        <f>IF(TAB_HISTORICO_MANUT[[#This Row],[EXPURGO Filhas]]="SIM",MAX(TAB_HISTORICO_MANUT[[#This Row],[Hora Final]]-TAB_HISTORICO_MANUT[[#This Row],[Hora Inicio]],0),0)</f>
        <v>0</v>
      </c>
      <c r="W32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2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20" s="46">
        <v>46069.101388888892</v>
      </c>
      <c r="Z320" s="47">
        <v>46069.19321759259</v>
      </c>
      <c r="AA320" s="48" t="s">
        <v>232</v>
      </c>
      <c r="AB320" s="48" t="s">
        <v>564</v>
      </c>
      <c r="AC320" s="43" t="s">
        <v>204</v>
      </c>
      <c r="AD320" s="46" t="s">
        <v>144</v>
      </c>
      <c r="AE320" s="46" t="s">
        <v>172</v>
      </c>
      <c r="AF320" s="88" t="s">
        <v>210</v>
      </c>
      <c r="AG320" s="105">
        <f>IF(TAB_HISTORICO_MANUT[[#This Row],[Hora Inicio]]="","",MONTH(TAB_HISTORICO_MANUT[[#This Row],[Hora Inicio]]))</f>
        <v>2</v>
      </c>
      <c r="AH320" s="58" t="s">
        <v>592</v>
      </c>
      <c r="AI320" s="43" t="s">
        <v>24</v>
      </c>
      <c r="AJ320" s="43" t="s">
        <v>423</v>
      </c>
      <c r="AK320" s="43" t="s">
        <v>422</v>
      </c>
      <c r="AL320" s="43" t="s">
        <v>279</v>
      </c>
      <c r="AM320" s="43" t="s">
        <v>280</v>
      </c>
      <c r="AN320" s="43" t="s">
        <v>217</v>
      </c>
      <c r="AO320" s="43" t="s">
        <v>419</v>
      </c>
      <c r="AP320" s="43" t="s">
        <v>578</v>
      </c>
    </row>
    <row r="321" spans="1:42" ht="50.1" customHeight="1" x14ac:dyDescent="0.25">
      <c r="A321" s="43">
        <f>MONTH(TAB_HISTORICO_MANUT[[#This Row],[Hora Final]])-MONTH(TAB_HISTORICO_MANUT[[#This Row],[Hora Inicio]])</f>
        <v>0</v>
      </c>
      <c r="B321" s="42"/>
      <c r="C321" s="43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Inicio]]=Z320,TAB_HISTORICO_MANUT[[#This Row],[Equipamento]]=AA320,TAB_HISTORICO_MANUT[[#This Row],[Descricao Despacho]]=AD320),0,1)))</f>
        <v/>
      </c>
      <c r="O32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21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2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21" s="50" t="str">
        <f>IF($Q321="","",(TAB_HISTORICO_MANUT[[#This Row],[Hora Final]]-TAB_HISTORICO_MANUT[[#This Row],[Hora Inicio]])*24)</f>
        <v/>
      </c>
      <c r="S32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21" s="54" t="str">
        <f>IF(AND(TAB_HISTORICO_MANUT[[#This Row],[EXPURGO Mãe]]="SIM",TAB_HISTORICO_MANUT[[#This Row],[Tipo]]="MÃE"),"EXP.MAE",IF(TAB_HISTORICO_MANUT[[#This Row],[EXPURGO Mãe]]="NÃO","NÃO EXP.MAE",T320))</f>
        <v>NÃO EXP.MAE</v>
      </c>
      <c r="U32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21" s="56">
        <f>IF(TAB_HISTORICO_MANUT[[#This Row],[EXPURGO Filhas]]="SIM",MAX(TAB_HISTORICO_MANUT[[#This Row],[Hora Final]]-TAB_HISTORICO_MANUT[[#This Row],[Hora Inicio]],0),0)</f>
        <v>7.3611111118225381E-2</v>
      </c>
      <c r="W32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2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21" s="46">
        <v>46069.119444444441</v>
      </c>
      <c r="Z321" s="47">
        <v>46069.193055555559</v>
      </c>
      <c r="AA321" s="48" t="s">
        <v>232</v>
      </c>
      <c r="AB321" s="48" t="s">
        <v>564</v>
      </c>
      <c r="AC321" s="43" t="s">
        <v>204</v>
      </c>
      <c r="AD321" s="46" t="s">
        <v>144</v>
      </c>
      <c r="AE321" s="46" t="s">
        <v>231</v>
      </c>
      <c r="AF321" s="88" t="s">
        <v>767</v>
      </c>
      <c r="AG321" s="105">
        <f>IF(TAB_HISTORICO_MANUT[[#This Row],[Hora Inicio]]="","",MONTH(TAB_HISTORICO_MANUT[[#This Row],[Hora Inicio]]))</f>
        <v>2</v>
      </c>
      <c r="AH321" s="58" t="s">
        <v>592</v>
      </c>
      <c r="AI321" s="43" t="s">
        <v>24</v>
      </c>
      <c r="AJ321" s="43" t="s">
        <v>423</v>
      </c>
      <c r="AK321" s="43" t="s">
        <v>422</v>
      </c>
      <c r="AL321" s="43" t="s">
        <v>279</v>
      </c>
      <c r="AM321" s="114" t="s">
        <v>280</v>
      </c>
      <c r="AN321" s="43" t="s">
        <v>217</v>
      </c>
      <c r="AO321" s="43" t="s">
        <v>419</v>
      </c>
      <c r="AP321" s="43" t="s">
        <v>578</v>
      </c>
    </row>
    <row r="322" spans="1:42" ht="50.1" customHeight="1" x14ac:dyDescent="0.25">
      <c r="A322" s="43">
        <f>MONTH(TAB_HISTORICO_MANUT[[#This Row],[Hora Final]])-MONTH(TAB_HISTORICO_MANUT[[#This Row],[Hora Inicio]])</f>
        <v>0</v>
      </c>
      <c r="B322" s="42"/>
      <c r="C322" s="43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Inicio]]=Z321,TAB_HISTORICO_MANUT[[#This Row],[Equipamento]]=AA321,TAB_HISTORICO_MANUT[[#This Row],[Descricao Despacho]]=AD321),0,1)))</f>
        <v>1</v>
      </c>
      <c r="O32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322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2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22" s="50">
        <f>IF($Q322="","",(TAB_HISTORICO_MANUT[[#This Row],[Hora Final]]-TAB_HISTORICO_MANUT[[#This Row],[Hora Inicio]])*24)</f>
        <v>4.2311111111193895</v>
      </c>
      <c r="S32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22" s="54" t="str">
        <f>IF(AND(TAB_HISTORICO_MANUT[[#This Row],[EXPURGO Mãe]]="SIM",TAB_HISTORICO_MANUT[[#This Row],[Tipo]]="MÃE"),"EXP.MAE",IF(TAB_HISTORICO_MANUT[[#This Row],[EXPURGO Mãe]]="NÃO","NÃO EXP.MAE",T321))</f>
        <v>NÃO EXP.MAE</v>
      </c>
      <c r="U32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22" s="56">
        <f>IF(TAB_HISTORICO_MANUT[[#This Row],[EXPURGO Filhas]]="SIM",MAX(TAB_HISTORICO_MANUT[[#This Row],[Hora Final]]-TAB_HISTORICO_MANUT[[#This Row],[Hora Inicio]],0),0)</f>
        <v>0</v>
      </c>
      <c r="W32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2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22" s="46">
        <v>46069.699502314812</v>
      </c>
      <c r="Z322" s="47">
        <v>46069.875798611109</v>
      </c>
      <c r="AA322" s="48" t="s">
        <v>232</v>
      </c>
      <c r="AB322" s="48" t="s">
        <v>566</v>
      </c>
      <c r="AC322" s="43" t="s">
        <v>204</v>
      </c>
      <c r="AD322" s="46" t="s">
        <v>144</v>
      </c>
      <c r="AE322" s="46" t="s">
        <v>172</v>
      </c>
      <c r="AF322" s="88" t="s">
        <v>210</v>
      </c>
      <c r="AG322" s="105">
        <f>IF(TAB_HISTORICO_MANUT[[#This Row],[Hora Inicio]]="","",MONTH(TAB_HISTORICO_MANUT[[#This Row],[Hora Inicio]]))</f>
        <v>2</v>
      </c>
      <c r="AH322" s="58" t="s">
        <v>596</v>
      </c>
      <c r="AI322" s="43" t="s">
        <v>24</v>
      </c>
      <c r="AJ322" s="43" t="s">
        <v>558</v>
      </c>
      <c r="AK322" s="43" t="s">
        <v>611</v>
      </c>
      <c r="AL322" s="43" t="s">
        <v>297</v>
      </c>
      <c r="AM322" s="114" t="s">
        <v>276</v>
      </c>
      <c r="AN322" s="43" t="s">
        <v>217</v>
      </c>
      <c r="AO322" s="43" t="s">
        <v>582</v>
      </c>
      <c r="AP322" s="43" t="s">
        <v>583</v>
      </c>
    </row>
    <row r="323" spans="1:42" ht="50.1" customHeight="1" x14ac:dyDescent="0.25">
      <c r="A323" s="43">
        <f>MONTH(TAB_HISTORICO_MANUT[[#This Row],[Hora Final]])-MONTH(TAB_HISTORICO_MANUT[[#This Row],[Hora Inicio]])</f>
        <v>0</v>
      </c>
      <c r="B323" s="42"/>
      <c r="C323" s="43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Inicio]]=Z322,TAB_HISTORICO_MANUT[[#This Row],[Equipamento]]=AA322,TAB_HISTORICO_MANUT[[#This Row],[Descricao Despacho]]=AD322),0,1)))</f>
        <v>1</v>
      </c>
      <c r="O32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323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32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323" s="50">
        <f>IF($Q323="","",(TAB_HISTORICO_MANUT[[#This Row],[Hora Final]]-TAB_HISTORICO_MANUT[[#This Row],[Hora Inicio]])*24)</f>
        <v>4.217499999969732</v>
      </c>
      <c r="S32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323" s="54" t="str">
        <f>IF(AND(TAB_HISTORICO_MANUT[[#This Row],[EXPURGO Mãe]]="SIM",TAB_HISTORICO_MANUT[[#This Row],[Tipo]]="MÃE"),"EXP.MAE",IF(TAB_HISTORICO_MANUT[[#This Row],[EXPURGO Mãe]]="NÃO","NÃO EXP.MAE",T322))</f>
        <v>EXP.MAE</v>
      </c>
      <c r="U32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23" s="56">
        <f>IF(TAB_HISTORICO_MANUT[[#This Row],[EXPURGO Filhas]]="SIM",MAX(TAB_HISTORICO_MANUT[[#This Row],[Hora Final]]-TAB_HISTORICO_MANUT[[#This Row],[Hora Inicio]],0),0)</f>
        <v>0</v>
      </c>
      <c r="W32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2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23" s="46">
        <v>46072.467407407406</v>
      </c>
      <c r="Z323" s="47">
        <v>46072.643136574072</v>
      </c>
      <c r="AA323" s="48" t="s">
        <v>232</v>
      </c>
      <c r="AB323" s="48"/>
      <c r="AC323" s="43" t="s">
        <v>364</v>
      </c>
      <c r="AD323" s="46" t="s">
        <v>145</v>
      </c>
      <c r="AE323" s="46" t="s">
        <v>360</v>
      </c>
      <c r="AF323" s="88" t="s">
        <v>210</v>
      </c>
      <c r="AG323" s="105">
        <f>IF(TAB_HISTORICO_MANUT[[#This Row],[Hora Inicio]]="","",MONTH(TAB_HISTORICO_MANUT[[#This Row],[Hora Inicio]]))</f>
        <v>2</v>
      </c>
      <c r="AH323" s="58" t="s">
        <v>601</v>
      </c>
      <c r="AI323" s="43" t="s">
        <v>82</v>
      </c>
      <c r="AJ323" s="43" t="s">
        <v>82</v>
      </c>
      <c r="AK323" s="43" t="s">
        <v>82</v>
      </c>
      <c r="AL323" s="43" t="s">
        <v>82</v>
      </c>
      <c r="AM323" s="114" t="s">
        <v>82</v>
      </c>
      <c r="AN323" s="43"/>
      <c r="AO323" s="43"/>
      <c r="AP323" s="43"/>
    </row>
    <row r="324" spans="1:42" ht="50.1" customHeight="1" x14ac:dyDescent="0.25">
      <c r="A324" s="43">
        <f>MONTH(TAB_HISTORICO_MANUT[[#This Row],[Hora Final]])-MONTH(TAB_HISTORICO_MANUT[[#This Row],[Hora Inicio]])</f>
        <v>0</v>
      </c>
      <c r="B324" s="42"/>
      <c r="C324" s="43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Inicio]]=Z323,TAB_HISTORICO_MANUT[[#This Row],[Equipamento]]=AA323,TAB_HISTORICO_MANUT[[#This Row],[Descricao Despacho]]=AD323),0,1)))</f>
        <v>1</v>
      </c>
      <c r="O32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324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2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24" s="50">
        <f>IF($Q324="","",(TAB_HISTORICO_MANUT[[#This Row],[Hora Final]]-TAB_HISTORICO_MANUT[[#This Row],[Hora Inicio]])*24)</f>
        <v>0.8241666667163372</v>
      </c>
      <c r="S32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24" s="54" t="str">
        <f>IF(AND(TAB_HISTORICO_MANUT[[#This Row],[EXPURGO Mãe]]="SIM",TAB_HISTORICO_MANUT[[#This Row],[Tipo]]="MÃE"),"EXP.MAE",IF(TAB_HISTORICO_MANUT[[#This Row],[EXPURGO Mãe]]="NÃO","NÃO EXP.MAE",T323))</f>
        <v>NÃO EXP.MAE</v>
      </c>
      <c r="U32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24" s="56">
        <f>IF(TAB_HISTORICO_MANUT[[#This Row],[EXPURGO Filhas]]="SIM",MAX(TAB_HISTORICO_MANUT[[#This Row],[Hora Final]]-TAB_HISTORICO_MANUT[[#This Row],[Hora Inicio]],0),0)</f>
        <v>0</v>
      </c>
      <c r="W32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2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24" s="46">
        <v>46072.680405092593</v>
      </c>
      <c r="Z324" s="47">
        <v>46072.714745370373</v>
      </c>
      <c r="AA324" s="48" t="s">
        <v>232</v>
      </c>
      <c r="AB324" s="48" t="s">
        <v>570</v>
      </c>
      <c r="AC324" s="43" t="s">
        <v>204</v>
      </c>
      <c r="AD324" s="46" t="s">
        <v>144</v>
      </c>
      <c r="AE324" s="46" t="s">
        <v>172</v>
      </c>
      <c r="AF324" s="88" t="s">
        <v>210</v>
      </c>
      <c r="AG324" s="105">
        <f>IF(TAB_HISTORICO_MANUT[[#This Row],[Hora Inicio]]="","",MONTH(TAB_HISTORICO_MANUT[[#This Row],[Hora Inicio]]))</f>
        <v>2</v>
      </c>
      <c r="AH324" s="58" t="s">
        <v>602</v>
      </c>
      <c r="AI324" s="43" t="s">
        <v>28</v>
      </c>
      <c r="AJ324" s="43" t="s">
        <v>614</v>
      </c>
      <c r="AK324" s="43" t="s">
        <v>474</v>
      </c>
      <c r="AL324" s="43" t="s">
        <v>286</v>
      </c>
      <c r="AM324" s="114" t="s">
        <v>615</v>
      </c>
      <c r="AN324" s="43" t="s">
        <v>217</v>
      </c>
      <c r="AO324" s="43" t="s">
        <v>349</v>
      </c>
      <c r="AP324" s="43" t="s">
        <v>319</v>
      </c>
    </row>
    <row r="325" spans="1:42" ht="50.1" customHeight="1" x14ac:dyDescent="0.25">
      <c r="A325" s="43">
        <f>MONTH(TAB_HISTORICO_MANUT[[#This Row],[Hora Final]])-MONTH(TAB_HISTORICO_MANUT[[#This Row],[Hora Inicio]])</f>
        <v>0</v>
      </c>
      <c r="B325" s="42"/>
      <c r="C325" s="43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Inicio]]=Z324,TAB_HISTORICO_MANUT[[#This Row],[Equipamento]]=AA324,TAB_HISTORICO_MANUT[[#This Row],[Descricao Despacho]]=AD324),0,1)))</f>
        <v>1</v>
      </c>
      <c r="O32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325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2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25" s="50">
        <f>IF($Q325="","",(TAB_HISTORICO_MANUT[[#This Row],[Hora Final]]-TAB_HISTORICO_MANUT[[#This Row],[Hora Inicio]])*24)</f>
        <v>41.49916666658828</v>
      </c>
      <c r="S32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25" s="54" t="str">
        <f>IF(AND(TAB_HISTORICO_MANUT[[#This Row],[EXPURGO Mãe]]="SIM",TAB_HISTORICO_MANUT[[#This Row],[Tipo]]="MÃE"),"EXP.MAE",IF(TAB_HISTORICO_MANUT[[#This Row],[EXPURGO Mãe]]="NÃO","NÃO EXP.MAE",T324))</f>
        <v>NÃO EXP.MAE</v>
      </c>
      <c r="U32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25" s="56">
        <f>IF(TAB_HISTORICO_MANUT[[#This Row],[EXPURGO Filhas]]="SIM",MAX(TAB_HISTORICO_MANUT[[#This Row],[Hora Final]]-TAB_HISTORICO_MANUT[[#This Row],[Hora Inicio]],0),0)</f>
        <v>0</v>
      </c>
      <c r="W32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2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25" s="46">
        <v>46074.450925925928</v>
      </c>
      <c r="Z325" s="47">
        <v>46076.18005787037</v>
      </c>
      <c r="AA325" s="48" t="s">
        <v>232</v>
      </c>
      <c r="AB325" s="48">
        <v>202600965367</v>
      </c>
      <c r="AC325" s="43" t="s">
        <v>204</v>
      </c>
      <c r="AD325" s="46" t="s">
        <v>144</v>
      </c>
      <c r="AE325" s="46" t="s">
        <v>172</v>
      </c>
      <c r="AF325" s="88" t="s">
        <v>210</v>
      </c>
      <c r="AG325" s="105">
        <f>IF(TAB_HISTORICO_MANUT[[#This Row],[Hora Inicio]]="","",MONTH(TAB_HISTORICO_MANUT[[#This Row],[Hora Inicio]]))</f>
        <v>2</v>
      </c>
      <c r="AH325" s="58" t="s">
        <v>606</v>
      </c>
      <c r="AI325" s="43" t="s">
        <v>24</v>
      </c>
      <c r="AJ325" s="43" t="s">
        <v>616</v>
      </c>
      <c r="AK325" s="43" t="s">
        <v>616</v>
      </c>
      <c r="AL325" s="43" t="s">
        <v>275</v>
      </c>
      <c r="AM325" s="114" t="s">
        <v>276</v>
      </c>
      <c r="AN325" s="43"/>
      <c r="AO325" s="43"/>
      <c r="AP325" s="43"/>
    </row>
    <row r="326" spans="1:42" ht="50.1" customHeight="1" x14ac:dyDescent="0.25">
      <c r="A326" s="43">
        <f>MONTH(TAB_HISTORICO_MANUT[[#This Row],[Hora Final]])-MONTH(TAB_HISTORICO_MANUT[[#This Row],[Hora Inicio]])</f>
        <v>0</v>
      </c>
      <c r="B326" s="42"/>
      <c r="C326" s="43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Inicio]]=Z325,TAB_HISTORICO_MANUT[[#This Row],[Equipamento]]=AA325,TAB_HISTORICO_MANUT[[#This Row],[Descricao Despacho]]=AD325),0,1)))</f>
        <v/>
      </c>
      <c r="O32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26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2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26" s="50" t="str">
        <f>IF($Q326="","",(TAB_HISTORICO_MANUT[[#This Row],[Hora Final]]-TAB_HISTORICO_MANUT[[#This Row],[Hora Inicio]])*24)</f>
        <v/>
      </c>
      <c r="S32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26" s="54" t="str">
        <f>IF(AND(TAB_HISTORICO_MANUT[[#This Row],[EXPURGO Mãe]]="SIM",TAB_HISTORICO_MANUT[[#This Row],[Tipo]]="MÃE"),"EXP.MAE",IF(TAB_HISTORICO_MANUT[[#This Row],[EXPURGO Mãe]]="NÃO","NÃO EXP.MAE",T325))</f>
        <v>NÃO EXP.MAE</v>
      </c>
      <c r="U32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26" s="56">
        <f>IF(TAB_HISTORICO_MANUT[[#This Row],[EXPURGO Filhas]]="SIM",MAX(TAB_HISTORICO_MANUT[[#This Row],[Hora Final]]-TAB_HISTORICO_MANUT[[#This Row],[Hora Inicio]],0),0)</f>
        <v>4.1666666664241347E-2</v>
      </c>
      <c r="W32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2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26" s="46">
        <v>46074.458333333336</v>
      </c>
      <c r="Z326" s="47">
        <v>46074.5</v>
      </c>
      <c r="AA326" s="48" t="s">
        <v>232</v>
      </c>
      <c r="AB326" s="48">
        <v>202600965367</v>
      </c>
      <c r="AC326" s="43" t="s">
        <v>204</v>
      </c>
      <c r="AD326" s="46" t="s">
        <v>144</v>
      </c>
      <c r="AE326" s="46" t="s">
        <v>766</v>
      </c>
      <c r="AF326" s="88" t="s">
        <v>767</v>
      </c>
      <c r="AG326" s="105">
        <f>IF(TAB_HISTORICO_MANUT[[#This Row],[Hora Inicio]]="","",MONTH(TAB_HISTORICO_MANUT[[#This Row],[Hora Inicio]]))</f>
        <v>2</v>
      </c>
      <c r="AH326" s="58" t="s">
        <v>606</v>
      </c>
      <c r="AI326" s="43" t="s">
        <v>24</v>
      </c>
      <c r="AJ326" s="43" t="s">
        <v>616</v>
      </c>
      <c r="AK326" s="43" t="s">
        <v>616</v>
      </c>
      <c r="AL326" s="43" t="s">
        <v>275</v>
      </c>
      <c r="AM326" s="114" t="s">
        <v>276</v>
      </c>
      <c r="AN326" s="43"/>
      <c r="AO326" s="43"/>
      <c r="AP326" s="43"/>
    </row>
    <row r="327" spans="1:42" ht="50.1" customHeight="1" x14ac:dyDescent="0.25">
      <c r="A327" s="43">
        <f>MONTH(TAB_HISTORICO_MANUT[[#This Row],[Hora Final]])-MONTH(TAB_HISTORICO_MANUT[[#This Row],[Hora Inicio]])</f>
        <v>0</v>
      </c>
      <c r="B327" s="42"/>
      <c r="C327" s="43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Inicio]]=Z326,TAB_HISTORICO_MANUT[[#This Row],[Equipamento]]=AA326,TAB_HISTORICO_MANUT[[#This Row],[Descricao Despacho]]=AD326),0,1)))</f>
        <v/>
      </c>
      <c r="O32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27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2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27" s="50" t="str">
        <f>IF($Q327="","",(TAB_HISTORICO_MANUT[[#This Row],[Hora Final]]-TAB_HISTORICO_MANUT[[#This Row],[Hora Inicio]])*24)</f>
        <v/>
      </c>
      <c r="S32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27" s="54" t="str">
        <f>IF(AND(TAB_HISTORICO_MANUT[[#This Row],[EXPURGO Mãe]]="SIM",TAB_HISTORICO_MANUT[[#This Row],[Tipo]]="MÃE"),"EXP.MAE",IF(TAB_HISTORICO_MANUT[[#This Row],[EXPURGO Mãe]]="NÃO","NÃO EXP.MAE",T326))</f>
        <v>NÃO EXP.MAE</v>
      </c>
      <c r="U32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27" s="56">
        <f>IF(TAB_HISTORICO_MANUT[[#This Row],[EXPURGO Filhas]]="SIM",MAX(TAB_HISTORICO_MANUT[[#This Row],[Hora Final]]-TAB_HISTORICO_MANUT[[#This Row],[Hora Inicio]],0),0)</f>
        <v>0.5</v>
      </c>
      <c r="W32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2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27" s="46">
        <v>46074.75</v>
      </c>
      <c r="Z327" s="47">
        <v>46075.25</v>
      </c>
      <c r="AA327" s="48" t="s">
        <v>232</v>
      </c>
      <c r="AB327" s="48">
        <v>202600965367</v>
      </c>
      <c r="AC327" s="43" t="s">
        <v>204</v>
      </c>
      <c r="AD327" s="46" t="s">
        <v>144</v>
      </c>
      <c r="AE327" s="46" t="s">
        <v>766</v>
      </c>
      <c r="AF327" s="88" t="s">
        <v>767</v>
      </c>
      <c r="AG327" s="105">
        <f>IF(TAB_HISTORICO_MANUT[[#This Row],[Hora Inicio]]="","",MONTH(TAB_HISTORICO_MANUT[[#This Row],[Hora Inicio]]))</f>
        <v>2</v>
      </c>
      <c r="AH327" s="58" t="s">
        <v>606</v>
      </c>
      <c r="AI327" s="43" t="s">
        <v>24</v>
      </c>
      <c r="AJ327" s="43" t="s">
        <v>616</v>
      </c>
      <c r="AK327" s="43" t="s">
        <v>616</v>
      </c>
      <c r="AL327" s="43" t="s">
        <v>275</v>
      </c>
      <c r="AM327" s="114" t="s">
        <v>276</v>
      </c>
      <c r="AN327" s="43"/>
      <c r="AO327" s="43"/>
      <c r="AP327" s="43"/>
    </row>
    <row r="328" spans="1:42" ht="50.1" customHeight="1" x14ac:dyDescent="0.25">
      <c r="A328" s="43">
        <f>MONTH(TAB_HISTORICO_MANUT[[#This Row],[Hora Final]])-MONTH(TAB_HISTORICO_MANUT[[#This Row],[Hora Inicio]])</f>
        <v>0</v>
      </c>
      <c r="B328" s="42"/>
      <c r="C328" s="43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Inicio]]=Z327,TAB_HISTORICO_MANUT[[#This Row],[Equipamento]]=AA327,TAB_HISTORICO_MANUT[[#This Row],[Descricao Despacho]]=AD327),0,1)))</f>
        <v/>
      </c>
      <c r="O32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28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2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28" s="50" t="str">
        <f>IF($Q328="","",(TAB_HISTORICO_MANUT[[#This Row],[Hora Final]]-TAB_HISTORICO_MANUT[[#This Row],[Hora Inicio]])*24)</f>
        <v/>
      </c>
      <c r="S32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28" s="54" t="str">
        <f>IF(AND(TAB_HISTORICO_MANUT[[#This Row],[EXPURGO Mãe]]="SIM",TAB_HISTORICO_MANUT[[#This Row],[Tipo]]="MÃE"),"EXP.MAE",IF(TAB_HISTORICO_MANUT[[#This Row],[EXPURGO Mãe]]="NÃO","NÃO EXP.MAE",T327))</f>
        <v>NÃO EXP.MAE</v>
      </c>
      <c r="U32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28" s="56">
        <f>IF(TAB_HISTORICO_MANUT[[#This Row],[EXPURGO Filhas]]="SIM",MAX(TAB_HISTORICO_MANUT[[#This Row],[Hora Final]]-TAB_HISTORICO_MANUT[[#This Row],[Hora Inicio]],0),0)</f>
        <v>0.16319444444525288</v>
      </c>
      <c r="W32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2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28" s="46">
        <v>46075.25</v>
      </c>
      <c r="Z328" s="47">
        <v>46075.413194444445</v>
      </c>
      <c r="AA328" s="48" t="s">
        <v>232</v>
      </c>
      <c r="AB328" s="48">
        <v>202600965367</v>
      </c>
      <c r="AC328" s="43" t="s">
        <v>204</v>
      </c>
      <c r="AD328" s="46" t="s">
        <v>144</v>
      </c>
      <c r="AE328" s="46" t="s">
        <v>766</v>
      </c>
      <c r="AF328" s="88" t="s">
        <v>767</v>
      </c>
      <c r="AG328" s="105">
        <f>IF(TAB_HISTORICO_MANUT[[#This Row],[Hora Inicio]]="","",MONTH(TAB_HISTORICO_MANUT[[#This Row],[Hora Inicio]]))</f>
        <v>2</v>
      </c>
      <c r="AH328" s="58" t="s">
        <v>606</v>
      </c>
      <c r="AI328" s="43" t="s">
        <v>24</v>
      </c>
      <c r="AJ328" s="43" t="s">
        <v>616</v>
      </c>
      <c r="AK328" s="43" t="s">
        <v>616</v>
      </c>
      <c r="AL328" s="43" t="s">
        <v>275</v>
      </c>
      <c r="AM328" s="114" t="s">
        <v>276</v>
      </c>
      <c r="AN328" s="43"/>
      <c r="AO328" s="43"/>
      <c r="AP328" s="43"/>
    </row>
    <row r="329" spans="1:42" ht="50.1" customHeight="1" x14ac:dyDescent="0.25">
      <c r="A329" s="43">
        <f>MONTH(TAB_HISTORICO_MANUT[[#This Row],[Hora Final]])-MONTH(TAB_HISTORICO_MANUT[[#This Row],[Hora Inicio]])</f>
        <v>0</v>
      </c>
      <c r="B329" s="42"/>
      <c r="C329" s="43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Inicio]]=Z328,TAB_HISTORICO_MANUT[[#This Row],[Equipamento]]=AA328,TAB_HISTORICO_MANUT[[#This Row],[Descricao Despacho]]=AD328),0,1)))</f>
        <v/>
      </c>
      <c r="O32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29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2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29" s="50" t="str">
        <f>IF($Q329="","",(TAB_HISTORICO_MANUT[[#This Row],[Hora Final]]-TAB_HISTORICO_MANUT[[#This Row],[Hora Inicio]])*24)</f>
        <v/>
      </c>
      <c r="S32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29" s="54" t="str">
        <f>IF(AND(TAB_HISTORICO_MANUT[[#This Row],[EXPURGO Mãe]]="SIM",TAB_HISTORICO_MANUT[[#This Row],[Tipo]]="MÃE"),"EXP.MAE",IF(TAB_HISTORICO_MANUT[[#This Row],[EXPURGO Mãe]]="NÃO","NÃO EXP.MAE",T328))</f>
        <v>NÃO EXP.MAE</v>
      </c>
      <c r="U32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29" s="56">
        <f>IF(TAB_HISTORICO_MANUT[[#This Row],[EXPURGO Filhas]]="SIM",MAX(TAB_HISTORICO_MANUT[[#This Row],[Hora Final]]-TAB_HISTORICO_MANUT[[#This Row],[Hora Inicio]],0),0)</f>
        <v>5.9027777781011537E-2</v>
      </c>
      <c r="W32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2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29" s="46">
        <v>46075.53125</v>
      </c>
      <c r="Z329" s="47">
        <v>46075.590277777781</v>
      </c>
      <c r="AA329" s="48" t="s">
        <v>232</v>
      </c>
      <c r="AB329" s="48">
        <v>202600965367</v>
      </c>
      <c r="AC329" s="43" t="s">
        <v>204</v>
      </c>
      <c r="AD329" s="46" t="s">
        <v>144</v>
      </c>
      <c r="AE329" s="46" t="s">
        <v>765</v>
      </c>
      <c r="AF329" s="88" t="s">
        <v>767</v>
      </c>
      <c r="AG329" s="105">
        <f>IF(TAB_HISTORICO_MANUT[[#This Row],[Hora Inicio]]="","",MONTH(TAB_HISTORICO_MANUT[[#This Row],[Hora Inicio]]))</f>
        <v>2</v>
      </c>
      <c r="AH329" s="58" t="s">
        <v>606</v>
      </c>
      <c r="AI329" s="43" t="s">
        <v>24</v>
      </c>
      <c r="AJ329" s="43" t="s">
        <v>616</v>
      </c>
      <c r="AK329" s="43" t="s">
        <v>616</v>
      </c>
      <c r="AL329" s="43" t="s">
        <v>275</v>
      </c>
      <c r="AM329" s="114" t="s">
        <v>276</v>
      </c>
      <c r="AN329" s="43"/>
      <c r="AO329" s="43"/>
      <c r="AP329" s="43"/>
    </row>
    <row r="330" spans="1:42" ht="50.1" customHeight="1" x14ac:dyDescent="0.25">
      <c r="A330" s="43">
        <f>MONTH(TAB_HISTORICO_MANUT[[#This Row],[Hora Final]])-MONTH(TAB_HISTORICO_MANUT[[#This Row],[Hora Inicio]])</f>
        <v>0</v>
      </c>
      <c r="B330" s="42"/>
      <c r="C330" s="43"/>
      <c r="D330" s="42"/>
      <c r="E330" s="42"/>
      <c r="F330" s="42"/>
      <c r="G330" s="42"/>
      <c r="H330" s="42"/>
      <c r="I330" s="42"/>
      <c r="J330" s="42"/>
      <c r="K330" s="42"/>
      <c r="L330" s="42"/>
      <c r="M330" s="42" t="s">
        <v>99</v>
      </c>
      <c r="N330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Inicio]]=Z329,TAB_HISTORICO_MANUT[[#This Row],[Equipamento]]=AA329,TAB_HISTORICO_MANUT[[#This Row],[Descricao Despacho]]=AD329),0,1)))</f>
        <v/>
      </c>
      <c r="O33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30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3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30" s="50" t="str">
        <f>IF($Q330="","",(TAB_HISTORICO_MANUT[[#This Row],[Hora Final]]-TAB_HISTORICO_MANUT[[#This Row],[Hora Inicio]])*24)</f>
        <v/>
      </c>
      <c r="S33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30" s="54" t="str">
        <f>IF(AND(TAB_HISTORICO_MANUT[[#This Row],[EXPURGO Mãe]]="SIM",TAB_HISTORICO_MANUT[[#This Row],[Tipo]]="MÃE"),"EXP.MAE",IF(TAB_HISTORICO_MANUT[[#This Row],[EXPURGO Mãe]]="NÃO","NÃO EXP.MAE",T329))</f>
        <v>NÃO EXP.MAE</v>
      </c>
      <c r="U33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30" s="56">
        <f>IF(TAB_HISTORICO_MANUT[[#This Row],[EXPURGO Filhas]]="SIM",MAX(TAB_HISTORICO_MANUT[[#This Row],[Hora Final]]-TAB_HISTORICO_MANUT[[#This Row],[Hora Inicio]],0),0)</f>
        <v>0</v>
      </c>
      <c r="W33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3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30" s="46">
        <v>46075.600694444445</v>
      </c>
      <c r="Z330" s="47">
        <v>46075.642361111109</v>
      </c>
      <c r="AA330" s="48" t="s">
        <v>232</v>
      </c>
      <c r="AB330" s="48">
        <v>202600965367</v>
      </c>
      <c r="AC330" s="43" t="s">
        <v>204</v>
      </c>
      <c r="AD330" s="46" t="s">
        <v>144</v>
      </c>
      <c r="AE330" s="46" t="s">
        <v>233</v>
      </c>
      <c r="AF330" s="88" t="s">
        <v>767</v>
      </c>
      <c r="AG330" s="105">
        <f>IF(TAB_HISTORICO_MANUT[[#This Row],[Hora Inicio]]="","",MONTH(TAB_HISTORICO_MANUT[[#This Row],[Hora Inicio]]))</f>
        <v>2</v>
      </c>
      <c r="AH330" s="58" t="s">
        <v>606</v>
      </c>
      <c r="AI330" s="43" t="s">
        <v>24</v>
      </c>
      <c r="AJ330" s="43" t="s">
        <v>616</v>
      </c>
      <c r="AK330" s="43" t="s">
        <v>616</v>
      </c>
      <c r="AL330" s="43" t="s">
        <v>275</v>
      </c>
      <c r="AM330" s="114" t="s">
        <v>276</v>
      </c>
      <c r="AN330" s="43"/>
      <c r="AO330" s="43"/>
      <c r="AP330" s="43"/>
    </row>
    <row r="331" spans="1:42" ht="50.1" customHeight="1" x14ac:dyDescent="0.25">
      <c r="A331" s="43">
        <f>MONTH(TAB_HISTORICO_MANUT[[#This Row],[Hora Final]])-MONTH(TAB_HISTORICO_MANUT[[#This Row],[Hora Inicio]])</f>
        <v>0</v>
      </c>
      <c r="B331" s="42"/>
      <c r="C331" s="43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Inicio]]=Z330,TAB_HISTORICO_MANUT[[#This Row],[Equipamento]]=AA330,TAB_HISTORICO_MANUT[[#This Row],[Descricao Despacho]]=AD330),0,1)))</f>
        <v/>
      </c>
      <c r="O33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31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3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31" s="50" t="str">
        <f>IF($Q331="","",(TAB_HISTORICO_MANUT[[#This Row],[Hora Final]]-TAB_HISTORICO_MANUT[[#This Row],[Hora Inicio]])*24)</f>
        <v/>
      </c>
      <c r="S33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31" s="54" t="str">
        <f>IF(AND(TAB_HISTORICO_MANUT[[#This Row],[EXPURGO Mãe]]="SIM",TAB_HISTORICO_MANUT[[#This Row],[Tipo]]="MÃE"),"EXP.MAE",IF(TAB_HISTORICO_MANUT[[#This Row],[EXPURGO Mãe]]="NÃO","NÃO EXP.MAE",T330))</f>
        <v>NÃO EXP.MAE</v>
      </c>
      <c r="U33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31" s="56">
        <f>IF(TAB_HISTORICO_MANUT[[#This Row],[EXPURGO Filhas]]="SIM",MAX(TAB_HISTORICO_MANUT[[#This Row],[Hora Final]]-TAB_HISTORICO_MANUT[[#This Row],[Hora Inicio]],0),0)</f>
        <v>3.1944444446708076E-2</v>
      </c>
      <c r="W33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3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31" s="46">
        <v>46075.642361111109</v>
      </c>
      <c r="Z331" s="47">
        <v>46075.674305555556</v>
      </c>
      <c r="AA331" s="48" t="s">
        <v>232</v>
      </c>
      <c r="AB331" s="48">
        <v>202600965367</v>
      </c>
      <c r="AC331" s="43" t="s">
        <v>204</v>
      </c>
      <c r="AD331" s="46" t="s">
        <v>144</v>
      </c>
      <c r="AE331" s="46" t="s">
        <v>233</v>
      </c>
      <c r="AF331" s="88" t="s">
        <v>767</v>
      </c>
      <c r="AG331" s="105">
        <f>IF(TAB_HISTORICO_MANUT[[#This Row],[Hora Inicio]]="","",MONTH(TAB_HISTORICO_MANUT[[#This Row],[Hora Inicio]]))</f>
        <v>2</v>
      </c>
      <c r="AH331" s="58" t="s">
        <v>606</v>
      </c>
      <c r="AI331" s="43" t="s">
        <v>24</v>
      </c>
      <c r="AJ331" s="43" t="s">
        <v>616</v>
      </c>
      <c r="AK331" s="43" t="s">
        <v>616</v>
      </c>
      <c r="AL331" s="43" t="s">
        <v>275</v>
      </c>
      <c r="AM331" s="114" t="s">
        <v>276</v>
      </c>
      <c r="AN331" s="43"/>
      <c r="AO331" s="43"/>
      <c r="AP331" s="43"/>
    </row>
    <row r="332" spans="1:42" ht="50.1" customHeight="1" x14ac:dyDescent="0.25">
      <c r="A332" s="43">
        <f>MONTH(TAB_HISTORICO_MANUT[[#This Row],[Hora Final]])-MONTH(TAB_HISTORICO_MANUT[[#This Row],[Hora Inicio]])</f>
        <v>0</v>
      </c>
      <c r="B332" s="42"/>
      <c r="C332" s="43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Inicio]]=Z331,TAB_HISTORICO_MANUT[[#This Row],[Equipamento]]=AA331,TAB_HISTORICO_MANUT[[#This Row],[Descricao Despacho]]=AD331),0,1)))</f>
        <v>1</v>
      </c>
      <c r="O33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ALERTA DE FADIGA</v>
      </c>
      <c r="P332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33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332" s="50">
        <f>IF($Q332="","",(TAB_HISTORICO_MANUT[[#This Row],[Hora Final]]-TAB_HISTORICO_MANUT[[#This Row],[Hora Inicio]])*24)</f>
        <v>0.22666666674194857</v>
      </c>
      <c r="S33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332" s="54" t="str">
        <f>IF(AND(TAB_HISTORICO_MANUT[[#This Row],[EXPURGO Mãe]]="SIM",TAB_HISTORICO_MANUT[[#This Row],[Tipo]]="MÃE"),"EXP.MAE",IF(TAB_HISTORICO_MANUT[[#This Row],[EXPURGO Mãe]]="NÃO","NÃO EXP.MAE",T331))</f>
        <v>EXP.MAE</v>
      </c>
      <c r="U33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32" s="56">
        <f>IF(TAB_HISTORICO_MANUT[[#This Row],[EXPURGO Filhas]]="SIM",MAX(TAB_HISTORICO_MANUT[[#This Row],[Hora Final]]-TAB_HISTORICO_MANUT[[#This Row],[Hora Inicio]],0),0)</f>
        <v>0</v>
      </c>
      <c r="W33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3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32" s="46">
        <v>46079.71875</v>
      </c>
      <c r="Z332" s="47">
        <v>46079.728194444448</v>
      </c>
      <c r="AA332" s="48" t="s">
        <v>232</v>
      </c>
      <c r="AB332" s="48"/>
      <c r="AC332" s="43" t="s">
        <v>364</v>
      </c>
      <c r="AD332" s="46" t="s">
        <v>145</v>
      </c>
      <c r="AE332" s="46" t="s">
        <v>360</v>
      </c>
      <c r="AF332" s="88" t="s">
        <v>210</v>
      </c>
      <c r="AG332" s="105">
        <f>IF(TAB_HISTORICO_MANUT[[#This Row],[Hora Inicio]]="","",MONTH(TAB_HISTORICO_MANUT[[#This Row],[Hora Inicio]]))</f>
        <v>2</v>
      </c>
      <c r="AH332" s="58" t="s">
        <v>386</v>
      </c>
      <c r="AI332" s="43" t="s">
        <v>87</v>
      </c>
      <c r="AJ332" s="43" t="s">
        <v>386</v>
      </c>
      <c r="AK332" s="43" t="s">
        <v>422</v>
      </c>
      <c r="AL332" s="43" t="s">
        <v>282</v>
      </c>
      <c r="AM332" s="114" t="s">
        <v>283</v>
      </c>
      <c r="AN332" s="43"/>
      <c r="AO332" s="43"/>
      <c r="AP332" s="43"/>
    </row>
    <row r="333" spans="1:42" ht="50.1" customHeight="1" x14ac:dyDescent="0.25">
      <c r="A333" s="43">
        <f>MONTH(TAB_HISTORICO_MANUT[[#This Row],[Hora Final]])-MONTH(TAB_HISTORICO_MANUT[[#This Row],[Hora Inicio]])</f>
        <v>0</v>
      </c>
      <c r="B333" s="42"/>
      <c r="C333" s="43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Inicio]]=Z332,TAB_HISTORICO_MANUT[[#This Row],[Equipamento]]=AA332,TAB_HISTORICO_MANUT[[#This Row],[Descricao Despacho]]=AD332),0,1)))</f>
        <v>1</v>
      </c>
      <c r="O33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333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33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333" s="50">
        <f>IF($Q333="","",(TAB_HISTORICO_MANUT[[#This Row],[Hora Final]]-TAB_HISTORICO_MANUT[[#This Row],[Hora Inicio]])*24)</f>
        <v>0.96999999991385266</v>
      </c>
      <c r="S33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33" s="54" t="str">
        <f>IF(AND(TAB_HISTORICO_MANUT[[#This Row],[EXPURGO Mãe]]="SIM",TAB_HISTORICO_MANUT[[#This Row],[Tipo]]="MÃE"),"EXP.MAE",IF(TAB_HISTORICO_MANUT[[#This Row],[EXPURGO Mãe]]="NÃO","NÃO EXP.MAE",T332))</f>
        <v>NÃO EXP.MAE</v>
      </c>
      <c r="U33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33" s="56">
        <f>IF(TAB_HISTORICO_MANUT[[#This Row],[EXPURGO Filhas]]="SIM",MAX(TAB_HISTORICO_MANUT[[#This Row],[Hora Final]]-TAB_HISTORICO_MANUT[[#This Row],[Hora Inicio]],0),0)</f>
        <v>0</v>
      </c>
      <c r="W33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3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33" s="46">
        <v>46080.454571759263</v>
      </c>
      <c r="Z333" s="47">
        <v>46080.494988425926</v>
      </c>
      <c r="AA333" s="48" t="s">
        <v>232</v>
      </c>
      <c r="AB333" s="48"/>
      <c r="AC333" s="43" t="s">
        <v>560</v>
      </c>
      <c r="AD333" s="46" t="s">
        <v>145</v>
      </c>
      <c r="AE333" s="46" t="s">
        <v>572</v>
      </c>
      <c r="AF333" s="88" t="s">
        <v>210</v>
      </c>
      <c r="AG333" s="105">
        <f>IF(TAB_HISTORICO_MANUT[[#This Row],[Hora Inicio]]="","",MONTH(TAB_HISTORICO_MANUT[[#This Row],[Hora Inicio]]))</f>
        <v>2</v>
      </c>
      <c r="AH333" s="58" t="s">
        <v>603</v>
      </c>
      <c r="AI333" s="43" t="s">
        <v>25</v>
      </c>
      <c r="AJ333" s="43" t="s">
        <v>25</v>
      </c>
      <c r="AK333" s="43" t="s">
        <v>25</v>
      </c>
      <c r="AL333" s="43" t="s">
        <v>25</v>
      </c>
      <c r="AM333" s="114" t="s">
        <v>25</v>
      </c>
      <c r="AN333" s="43"/>
      <c r="AO333" s="43"/>
      <c r="AP333" s="43"/>
    </row>
    <row r="334" spans="1:42" ht="50.1" customHeight="1" x14ac:dyDescent="0.25">
      <c r="A334" s="43">
        <f>MONTH(TAB_HISTORICO_MANUT[[#This Row],[Hora Final]])-MONTH(TAB_HISTORICO_MANUT[[#This Row],[Hora Inicio]])</f>
        <v>0</v>
      </c>
      <c r="B334" s="42"/>
      <c r="C334" s="43"/>
      <c r="D334" s="42"/>
      <c r="E334" s="42"/>
      <c r="F334" s="42"/>
      <c r="G334" s="42"/>
      <c r="H334" s="42"/>
      <c r="I334" s="42"/>
      <c r="J334" s="42"/>
      <c r="K334" s="42"/>
      <c r="L334" s="42">
        <v>0</v>
      </c>
      <c r="M334" s="42" t="s">
        <v>98</v>
      </c>
      <c r="N33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Inicio]]=Z333,TAB_HISTORICO_MANUT[[#This Row],[Equipamento]]=AA333,TAB_HISTORICO_MANUT[[#This Row],[Descricao Despacho]]=AD333),0,1)))</f>
        <v>0</v>
      </c>
      <c r="O33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334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3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34" s="50">
        <f>IF($Q334="","",(TAB_HISTORICO_MANUT[[#This Row],[Hora Final]]-TAB_HISTORICO_MANUT[[#This Row],[Hora Inicio]])*24)</f>
        <v>0.73361111112171784</v>
      </c>
      <c r="S33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334" s="54" t="str">
        <f>IF(AND(TAB_HISTORICO_MANUT[[#This Row],[EXPURGO Mãe]]="SIM",TAB_HISTORICO_MANUT[[#This Row],[Tipo]]="MÃE"),"EXP.MAE",IF(TAB_HISTORICO_MANUT[[#This Row],[EXPURGO Mãe]]="NÃO","NÃO EXP.MAE",T333))</f>
        <v>EXP.MAE</v>
      </c>
      <c r="U33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34" s="56">
        <f>IF(TAB_HISTORICO_MANUT[[#This Row],[EXPURGO Filhas]]="SIM",MAX(TAB_HISTORICO_MANUT[[#This Row],[Hora Final]]-TAB_HISTORICO_MANUT[[#This Row],[Hora Inicio]],0),0)</f>
        <v>0</v>
      </c>
      <c r="W33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3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34" s="46">
        <v>46082.108900462961</v>
      </c>
      <c r="Z334" s="47">
        <v>46082.139467592591</v>
      </c>
      <c r="AA334" s="48" t="s">
        <v>232</v>
      </c>
      <c r="AB334" s="48" t="s">
        <v>651</v>
      </c>
      <c r="AC334" s="43" t="s">
        <v>204</v>
      </c>
      <c r="AD334" s="46" t="s">
        <v>144</v>
      </c>
      <c r="AE334" s="46" t="s">
        <v>172</v>
      </c>
      <c r="AF334" s="88" t="s">
        <v>210</v>
      </c>
      <c r="AG334" s="105">
        <f>IF(TAB_HISTORICO_MANUT[[#This Row],[Hora Inicio]]="","",MONTH(TAB_HISTORICO_MANUT[[#This Row],[Hora Inicio]]))</f>
        <v>3</v>
      </c>
      <c r="AH334" s="58" t="s">
        <v>653</v>
      </c>
      <c r="AI334" s="43" t="s">
        <v>24</v>
      </c>
      <c r="AJ334" s="43" t="s">
        <v>423</v>
      </c>
      <c r="AK334" s="43" t="s">
        <v>422</v>
      </c>
      <c r="AL334" s="43" t="s">
        <v>279</v>
      </c>
      <c r="AM334" s="114" t="s">
        <v>280</v>
      </c>
      <c r="AN334" s="43" t="s">
        <v>217</v>
      </c>
      <c r="AO334" s="43" t="s">
        <v>657</v>
      </c>
      <c r="AP334" s="43" t="s">
        <v>420</v>
      </c>
    </row>
    <row r="335" spans="1:42" ht="50.1" customHeight="1" x14ac:dyDescent="0.25">
      <c r="A335" s="43">
        <f>MONTH(TAB_HISTORICO_MANUT[[#This Row],[Hora Final]])-MONTH(TAB_HISTORICO_MANUT[[#This Row],[Hora Inicio]])</f>
        <v>0</v>
      </c>
      <c r="B335" s="42"/>
      <c r="C335" s="43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Inicio]]=Z334,TAB_HISTORICO_MANUT[[#This Row],[Equipamento]]=AA334,TAB_HISTORICO_MANUT[[#This Row],[Descricao Despacho]]=AD334),0,1)))</f>
        <v>1</v>
      </c>
      <c r="O33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335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3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35" s="50">
        <f>IF($Q335="","",(TAB_HISTORICO_MANUT[[#This Row],[Hora Final]]-TAB_HISTORICO_MANUT[[#This Row],[Hora Inicio]])*24)</f>
        <v>1.5452777778846212</v>
      </c>
      <c r="S33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35" s="54" t="str">
        <f>IF(AND(TAB_HISTORICO_MANUT[[#This Row],[EXPURGO Mãe]]="SIM",TAB_HISTORICO_MANUT[[#This Row],[Tipo]]="MÃE"),"EXP.MAE",IF(TAB_HISTORICO_MANUT[[#This Row],[EXPURGO Mãe]]="NÃO","NÃO EXP.MAE",T334))</f>
        <v>NÃO EXP.MAE</v>
      </c>
      <c r="U33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35" s="56">
        <f>IF(TAB_HISTORICO_MANUT[[#This Row],[EXPURGO Filhas]]="SIM",MAX(TAB_HISTORICO_MANUT[[#This Row],[Hora Final]]-TAB_HISTORICO_MANUT[[#This Row],[Hora Inicio]],0),0)</f>
        <v>0</v>
      </c>
      <c r="W33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3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35" s="46">
        <v>46084.630937499998</v>
      </c>
      <c r="Z335" s="47">
        <v>46084.695324074077</v>
      </c>
      <c r="AA335" s="48" t="s">
        <v>232</v>
      </c>
      <c r="AB335" s="48" t="s">
        <v>672</v>
      </c>
      <c r="AC335" s="43" t="s">
        <v>204</v>
      </c>
      <c r="AD335" s="46" t="s">
        <v>144</v>
      </c>
      <c r="AE335" s="46" t="s">
        <v>172</v>
      </c>
      <c r="AF335" s="88" t="s">
        <v>210</v>
      </c>
      <c r="AG335" s="105">
        <f>IF(TAB_HISTORICO_MANUT[[#This Row],[Hora Inicio]]="","",MONTH(TAB_HISTORICO_MANUT[[#This Row],[Hora Inicio]]))</f>
        <v>3</v>
      </c>
      <c r="AH335" s="58" t="s">
        <v>670</v>
      </c>
      <c r="AI335" s="43" t="s">
        <v>22</v>
      </c>
      <c r="AJ335" s="43" t="s">
        <v>30</v>
      </c>
      <c r="AK335" s="43" t="s">
        <v>673</v>
      </c>
      <c r="AL335" s="43" t="s">
        <v>460</v>
      </c>
      <c r="AM335" s="114" t="s">
        <v>283</v>
      </c>
      <c r="AN335" s="43" t="s">
        <v>215</v>
      </c>
      <c r="AO335" s="43" t="s">
        <v>222</v>
      </c>
      <c r="AP335" s="43" t="s">
        <v>669</v>
      </c>
    </row>
    <row r="336" spans="1:42" ht="50.1" customHeight="1" x14ac:dyDescent="0.25">
      <c r="A336" s="43">
        <f>MONTH(TAB_HISTORICO_MANUT[[#This Row],[Hora Final]])-MONTH(TAB_HISTORICO_MANUT[[#This Row],[Hora Inicio]])</f>
        <v>0</v>
      </c>
      <c r="B336" s="42"/>
      <c r="C336" s="43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Inicio]]=Z335,TAB_HISTORICO_MANUT[[#This Row],[Equipamento]]=AA335,TAB_HISTORICO_MANUT[[#This Row],[Descricao Despacho]]=AD335),0,1)))</f>
        <v>1</v>
      </c>
      <c r="O33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33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3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36" s="50">
        <f>IF($Q336="","",(TAB_HISTORICO_MANUT[[#This Row],[Hora Final]]-TAB_HISTORICO_MANUT[[#This Row],[Hora Inicio]])*24)</f>
        <v>3.0555555713362992E-3</v>
      </c>
      <c r="S33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36" s="54" t="str">
        <f>IF(AND(TAB_HISTORICO_MANUT[[#This Row],[EXPURGO Mãe]]="SIM",TAB_HISTORICO_MANUT[[#This Row],[Tipo]]="MÃE"),"EXP.MAE",IF(TAB_HISTORICO_MANUT[[#This Row],[EXPURGO Mãe]]="NÃO","NÃO EXP.MAE",T335))</f>
        <v>NÃO EXP.MAE</v>
      </c>
      <c r="U33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36" s="56">
        <f>IF(TAB_HISTORICO_MANUT[[#This Row],[EXPURGO Filhas]]="SIM",MAX(TAB_HISTORICO_MANUT[[#This Row],[Hora Final]]-TAB_HISTORICO_MANUT[[#This Row],[Hora Inicio]],0),0)</f>
        <v>0</v>
      </c>
      <c r="W33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3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36" s="46">
        <v>46086.670381944445</v>
      </c>
      <c r="Z336" s="47">
        <v>46086.67050925926</v>
      </c>
      <c r="AA336" s="48" t="s">
        <v>232</v>
      </c>
      <c r="AB336" s="48" t="s">
        <v>676</v>
      </c>
      <c r="AC336" s="43" t="s">
        <v>204</v>
      </c>
      <c r="AD336" s="46" t="s">
        <v>144</v>
      </c>
      <c r="AE336" s="46" t="s">
        <v>172</v>
      </c>
      <c r="AF336" s="88" t="s">
        <v>210</v>
      </c>
      <c r="AG336" s="105">
        <f>IF(TAB_HISTORICO_MANUT[[#This Row],[Hora Inicio]]="","",MONTH(TAB_HISTORICO_MANUT[[#This Row],[Hora Inicio]]))</f>
        <v>3</v>
      </c>
      <c r="AH336" s="58" t="s">
        <v>688</v>
      </c>
      <c r="AI336" s="43" t="s">
        <v>22</v>
      </c>
      <c r="AJ336" s="43" t="s">
        <v>23</v>
      </c>
      <c r="AK336" s="43" t="s">
        <v>288</v>
      </c>
      <c r="AL336" s="43" t="s">
        <v>275</v>
      </c>
      <c r="AM336" s="114" t="s">
        <v>276</v>
      </c>
      <c r="AN336" s="43" t="s">
        <v>217</v>
      </c>
      <c r="AO336" s="43" t="s">
        <v>682</v>
      </c>
      <c r="AP336" s="43" t="s">
        <v>683</v>
      </c>
    </row>
    <row r="337" spans="1:42" ht="50.1" customHeight="1" x14ac:dyDescent="0.25">
      <c r="A337" s="115">
        <f>MONTH(TAB_HISTORICO_MANUT[[#This Row],[Hora Final]])-MONTH(TAB_HISTORICO_MANUT[[#This Row],[Hora Inicio]])</f>
        <v>0</v>
      </c>
      <c r="B337" s="116"/>
      <c r="C337" s="115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Inicio]]=Z336,TAB_HISTORICO_MANUT[[#This Row],[Equipamento]]=AA336,TAB_HISTORICO_MANUT[[#This Row],[Descricao Despacho]]=AD336),0,1)))</f>
        <v>0</v>
      </c>
      <c r="O33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337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3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37" s="50">
        <f>IF($Q337="","",(TAB_HISTORICO_MANUT[[#This Row],[Hora Final]]-TAB_HISTORICO_MANUT[[#This Row],[Hora Inicio]])*24)</f>
        <v>12.40500000002794</v>
      </c>
      <c r="S33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37" s="54" t="str">
        <f>IF(AND(TAB_HISTORICO_MANUT[[#This Row],[EXPURGO Mãe]]="SIM",TAB_HISTORICO_MANUT[[#This Row],[Tipo]]="MÃE"),"EXP.MAE",IF(TAB_HISTORICO_MANUT[[#This Row],[EXPURGO Mãe]]="NÃO","NÃO EXP.MAE",T336))</f>
        <v>NÃO EXP.MAE</v>
      </c>
      <c r="U33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37" s="56">
        <f>IF(TAB_HISTORICO_MANUT[[#This Row],[EXPURGO Filhas]]="SIM",MAX(TAB_HISTORICO_MANUT[[#This Row],[Hora Final]]-TAB_HISTORICO_MANUT[[#This Row],[Hora Inicio]],0),0)</f>
        <v>0</v>
      </c>
      <c r="W33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3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37" s="117">
        <v>46086.67050925926</v>
      </c>
      <c r="Z337" s="118">
        <v>46087.187384259261</v>
      </c>
      <c r="AA337" s="119" t="s">
        <v>232</v>
      </c>
      <c r="AB337" s="119" t="s">
        <v>676</v>
      </c>
      <c r="AC337" s="115" t="s">
        <v>204</v>
      </c>
      <c r="AD337" s="117" t="s">
        <v>144</v>
      </c>
      <c r="AE337" s="117" t="s">
        <v>172</v>
      </c>
      <c r="AF337" s="88" t="s">
        <v>210</v>
      </c>
      <c r="AG337" s="105">
        <f>IF(TAB_HISTORICO_MANUT[[#This Row],[Hora Inicio]]="","",MONTH(TAB_HISTORICO_MANUT[[#This Row],[Hora Inicio]]))</f>
        <v>3</v>
      </c>
      <c r="AH337" s="120" t="s">
        <v>688</v>
      </c>
      <c r="AI337" s="115" t="s">
        <v>22</v>
      </c>
      <c r="AJ337" s="115" t="s">
        <v>23</v>
      </c>
      <c r="AK337" s="115" t="s">
        <v>288</v>
      </c>
      <c r="AL337" s="115" t="s">
        <v>275</v>
      </c>
      <c r="AM337" s="121" t="s">
        <v>276</v>
      </c>
      <c r="AN337" s="115" t="s">
        <v>217</v>
      </c>
      <c r="AO337" s="115" t="s">
        <v>682</v>
      </c>
      <c r="AP337" s="115" t="s">
        <v>683</v>
      </c>
    </row>
    <row r="338" spans="1:42" ht="50.1" customHeight="1" x14ac:dyDescent="0.25">
      <c r="A338" s="115">
        <f>MONTH(TAB_HISTORICO_MANUT[[#This Row],[Hora Final]])-MONTH(TAB_HISTORICO_MANUT[[#This Row],[Hora Inicio]])</f>
        <v>0</v>
      </c>
      <c r="B338" s="116"/>
      <c r="C338" s="115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 t="s">
        <v>99</v>
      </c>
      <c r="N33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Inicio]]=Z337,TAB_HISTORICO_MANUT[[#This Row],[Equipamento]]=AA337,TAB_HISTORICO_MANUT[[#This Row],[Descricao Despacho]]=AD337),0,1)))</f>
        <v>1</v>
      </c>
      <c r="O33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33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3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38" s="107">
        <f>IF($Q338="","",(TAB_HISTORICO_MANUT[[#This Row],[Hora Final]]-TAB_HISTORICO_MANUT[[#This Row],[Hora Inicio]])*24)</f>
        <v>3.0875000000232831</v>
      </c>
      <c r="S33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38" s="109" t="str">
        <f>IF(AND(TAB_HISTORICO_MANUT[[#This Row],[EXPURGO Mãe]]="SIM",TAB_HISTORICO_MANUT[[#This Row],[Tipo]]="MÃE"),"EXP.MAE",IF(TAB_HISTORICO_MANUT[[#This Row],[EXPURGO Mãe]]="NÃO","NÃO EXP.MAE",T337))</f>
        <v>NÃO EXP.MAE</v>
      </c>
      <c r="U33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38" s="110">
        <f>IF(TAB_HISTORICO_MANUT[[#This Row],[EXPURGO Filhas]]="SIM",MAX(TAB_HISTORICO_MANUT[[#This Row],[Hora Final]]-TAB_HISTORICO_MANUT[[#This Row],[Hora Inicio]],0),0)</f>
        <v>0</v>
      </c>
      <c r="W33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3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38" s="117">
        <v>46087.548090277778</v>
      </c>
      <c r="Z338" s="118">
        <v>46087.676736111112</v>
      </c>
      <c r="AA338" s="119" t="s">
        <v>232</v>
      </c>
      <c r="AB338" s="119" t="s">
        <v>677</v>
      </c>
      <c r="AC338" s="115" t="s">
        <v>204</v>
      </c>
      <c r="AD338" s="117" t="s">
        <v>144</v>
      </c>
      <c r="AE338" s="117" t="s">
        <v>172</v>
      </c>
      <c r="AF338" s="88" t="s">
        <v>210</v>
      </c>
      <c r="AG338" s="105">
        <f>IF(TAB_HISTORICO_MANUT[[#This Row],[Hora Inicio]]="","",MONTH(TAB_HISTORICO_MANUT[[#This Row],[Hora Inicio]]))</f>
        <v>3</v>
      </c>
      <c r="AH338" s="120" t="s">
        <v>689</v>
      </c>
      <c r="AI338" s="115" t="s">
        <v>235</v>
      </c>
      <c r="AJ338" s="115" t="s">
        <v>223</v>
      </c>
      <c r="AK338" s="115" t="s">
        <v>422</v>
      </c>
      <c r="AL338" s="115" t="s">
        <v>695</v>
      </c>
      <c r="AM338" s="121" t="s">
        <v>534</v>
      </c>
      <c r="AN338" s="115" t="s">
        <v>217</v>
      </c>
      <c r="AO338" s="115" t="s">
        <v>684</v>
      </c>
      <c r="AP338" s="115" t="s">
        <v>685</v>
      </c>
    </row>
    <row r="339" spans="1:42" ht="50.1" customHeight="1" x14ac:dyDescent="0.25">
      <c r="A339" s="115">
        <f>MONTH(TAB_HISTORICO_MANUT[[#This Row],[Hora Final]])-MONTH(TAB_HISTORICO_MANUT[[#This Row],[Hora Inicio]])</f>
        <v>0</v>
      </c>
      <c r="B339" s="116"/>
      <c r="C339" s="115"/>
      <c r="D339" s="116"/>
      <c r="E339" s="116"/>
      <c r="F339" s="116"/>
      <c r="G339" s="116"/>
      <c r="H339" s="116"/>
      <c r="I339" s="116"/>
      <c r="J339" s="116"/>
      <c r="K339" s="116" t="s">
        <v>66</v>
      </c>
      <c r="L339" s="116">
        <v>0</v>
      </c>
      <c r="M339" s="116" t="s">
        <v>98</v>
      </c>
      <c r="N33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Inicio]]=Z338,TAB_HISTORICO_MANUT[[#This Row],[Equipamento]]=AA338,TAB_HISTORICO_MANUT[[#This Row],[Descricao Despacho]]=AD338),0,1)))</f>
        <v>0</v>
      </c>
      <c r="O33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33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33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339" s="107">
        <f>IF($Q339="","",(TAB_HISTORICO_MANUT[[#This Row],[Hora Final]]-TAB_HISTORICO_MANUT[[#This Row],[Hora Inicio]])*24)</f>
        <v>7.3013888889108784</v>
      </c>
      <c r="S33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339" s="109" t="str">
        <f>IF(AND(TAB_HISTORICO_MANUT[[#This Row],[EXPURGO Mãe]]="SIM",TAB_HISTORICO_MANUT[[#This Row],[Tipo]]="MÃE"),"EXP.MAE",IF(TAB_HISTORICO_MANUT[[#This Row],[EXPURGO Mãe]]="NÃO","NÃO EXP.MAE",T338))</f>
        <v>EXP.MAE</v>
      </c>
      <c r="U33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39" s="110">
        <f>IF(TAB_HISTORICO_MANUT[[#This Row],[EXPURGO Filhas]]="SIM",MAX(TAB_HISTORICO_MANUT[[#This Row],[Hora Final]]-TAB_HISTORICO_MANUT[[#This Row],[Hora Inicio]],0),0)</f>
        <v>0</v>
      </c>
      <c r="W33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3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39" s="117">
        <v>46088.358287037037</v>
      </c>
      <c r="Z339" s="118">
        <v>46088.662511574075</v>
      </c>
      <c r="AA339" s="119" t="s">
        <v>232</v>
      </c>
      <c r="AB339" s="119"/>
      <c r="AC339" s="115" t="s">
        <v>301</v>
      </c>
      <c r="AD339" s="117" t="s">
        <v>146</v>
      </c>
      <c r="AE339" s="117" t="s">
        <v>310</v>
      </c>
      <c r="AF339" s="88" t="s">
        <v>210</v>
      </c>
      <c r="AG339" s="105">
        <f>IF(TAB_HISTORICO_MANUT[[#This Row],[Hora Inicio]]="","",MONTH(TAB_HISTORICO_MANUT[[#This Row],[Hora Inicio]]))</f>
        <v>3</v>
      </c>
      <c r="AH339" s="120" t="s">
        <v>698</v>
      </c>
      <c r="AI339" s="115" t="s">
        <v>340</v>
      </c>
      <c r="AJ339" s="115" t="s">
        <v>697</v>
      </c>
      <c r="AK339" s="115"/>
      <c r="AL339" s="115"/>
      <c r="AM339" s="121"/>
      <c r="AN339" s="115"/>
      <c r="AO339" s="115"/>
      <c r="AP339" s="115"/>
    </row>
    <row r="340" spans="1:42" ht="50.1" customHeight="1" x14ac:dyDescent="0.25">
      <c r="A340" s="43">
        <f>MONTH(TAB_HISTORICO_MANUT[[#This Row],[Hora Final]])-MONTH(TAB_HISTORICO_MANUT[[#This Row],[Hora Inicio]])</f>
        <v>0</v>
      </c>
      <c r="B340" s="42"/>
      <c r="C340" s="43"/>
      <c r="D340" s="42"/>
      <c r="E340" s="42"/>
      <c r="F340" s="42"/>
      <c r="G340" s="42"/>
      <c r="H340" s="42"/>
      <c r="I340" s="42"/>
      <c r="J340" s="42"/>
      <c r="K340" s="42" t="s">
        <v>66</v>
      </c>
      <c r="L340" s="42">
        <v>0</v>
      </c>
      <c r="M340" s="42"/>
      <c r="N34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Inicio]]=Z339,TAB_HISTORICO_MANUT[[#This Row],[Equipamento]]=AA339,TAB_HISTORICO_MANUT[[#This Row],[Descricao Despacho]]=AD339),0,1)))</f>
        <v>0</v>
      </c>
      <c r="O34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340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34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340" s="50">
        <f>IF($Q340="","",(TAB_HISTORICO_MANUT[[#This Row],[Hora Final]]-TAB_HISTORICO_MANUT[[#This Row],[Hora Inicio]])*24)</f>
        <v>5.7697222221759148</v>
      </c>
      <c r="S34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340" s="54" t="str">
        <f>IF(AND(TAB_HISTORICO_MANUT[[#This Row],[EXPURGO Mãe]]="SIM",TAB_HISTORICO_MANUT[[#This Row],[Tipo]]="MÃE"),"EXP.MAE",IF(TAB_HISTORICO_MANUT[[#This Row],[EXPURGO Mãe]]="NÃO","NÃO EXP.MAE",T339))</f>
        <v>EXP.MAE</v>
      </c>
      <c r="U34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40" s="56">
        <f>IF(TAB_HISTORICO_MANUT[[#This Row],[EXPURGO Filhas]]="SIM",MAX(TAB_HISTORICO_MANUT[[#This Row],[Hora Final]]-TAB_HISTORICO_MANUT[[#This Row],[Hora Inicio]],0),0)</f>
        <v>0</v>
      </c>
      <c r="W34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4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40" s="46">
        <v>46088.662511574075</v>
      </c>
      <c r="Z340" s="47">
        <v>46088.902916666666</v>
      </c>
      <c r="AA340" s="48" t="s">
        <v>232</v>
      </c>
      <c r="AB340" s="48"/>
      <c r="AC340" s="43" t="s">
        <v>362</v>
      </c>
      <c r="AD340" s="46" t="s">
        <v>146</v>
      </c>
      <c r="AE340" s="46" t="s">
        <v>175</v>
      </c>
      <c r="AF340" s="88" t="s">
        <v>210</v>
      </c>
      <c r="AG340" s="105">
        <f>IF(TAB_HISTORICO_MANUT[[#This Row],[Hora Inicio]]="","",MONTH(TAB_HISTORICO_MANUT[[#This Row],[Hora Inicio]]))</f>
        <v>3</v>
      </c>
      <c r="AH340" s="58" t="s">
        <v>698</v>
      </c>
      <c r="AI340" s="43" t="s">
        <v>340</v>
      </c>
      <c r="AJ340" s="43" t="s">
        <v>697</v>
      </c>
      <c r="AK340" s="43"/>
      <c r="AL340" s="43"/>
      <c r="AM340" s="114"/>
      <c r="AN340" s="43"/>
      <c r="AO340" s="43"/>
      <c r="AP340" s="43"/>
    </row>
    <row r="341" spans="1:42" ht="50.1" customHeight="1" x14ac:dyDescent="0.25">
      <c r="A341" s="115">
        <f>MONTH(TAB_HISTORICO_MANUT[[#This Row],[Hora Final]])-MONTH(TAB_HISTORICO_MANUT[[#This Row],[Hora Inicio]])</f>
        <v>0</v>
      </c>
      <c r="B341" s="116"/>
      <c r="C341" s="115"/>
      <c r="D341" s="116"/>
      <c r="E341" s="116"/>
      <c r="F341" s="116"/>
      <c r="G341" s="116"/>
      <c r="H341" s="116"/>
      <c r="I341" s="116"/>
      <c r="J341" s="116"/>
      <c r="K341" s="116" t="s">
        <v>66</v>
      </c>
      <c r="L341" s="116"/>
      <c r="M341" s="116"/>
      <c r="N34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Inicio]]=Z340,TAB_HISTORICO_MANUT[[#This Row],[Equipamento]]=AA340,TAB_HISTORICO_MANUT[[#This Row],[Descricao Despacho]]=AD340),0,1)))</f>
        <v>0</v>
      </c>
      <c r="O34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34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34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341" s="107">
        <f>IF($Q341="","",(TAB_HISTORICO_MANUT[[#This Row],[Hora Final]]-TAB_HISTORICO_MANUT[[#This Row],[Hora Inicio]])*24)</f>
        <v>3.9999999999417923</v>
      </c>
      <c r="S34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41" s="54" t="str">
        <f>IF(AND(TAB_HISTORICO_MANUT[[#This Row],[EXPURGO Mãe]]="SIM",TAB_HISTORICO_MANUT[[#This Row],[Tipo]]="MÃE"),"EXP.MAE",IF(TAB_HISTORICO_MANUT[[#This Row],[EXPURGO Mãe]]="NÃO","NÃO EXP.MAE",T340))</f>
        <v>NÃO EXP.MAE</v>
      </c>
      <c r="U34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41" s="110">
        <f>IF(TAB_HISTORICO_MANUT[[#This Row],[EXPURGO Filhas]]="SIM",MAX(TAB_HISTORICO_MANUT[[#This Row],[Hora Final]]-TAB_HISTORICO_MANUT[[#This Row],[Hora Inicio]],0),0)</f>
        <v>0</v>
      </c>
      <c r="W34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4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41" s="117">
        <v>46088.902916666666</v>
      </c>
      <c r="Z341" s="118">
        <v>46089.06958333333</v>
      </c>
      <c r="AA341" s="119" t="s">
        <v>232</v>
      </c>
      <c r="AB341" s="119"/>
      <c r="AC341" s="43" t="s">
        <v>302</v>
      </c>
      <c r="AD341" s="117" t="s">
        <v>146</v>
      </c>
      <c r="AE341" s="117" t="s">
        <v>311</v>
      </c>
      <c r="AF341" s="88" t="s">
        <v>210</v>
      </c>
      <c r="AG341" s="105">
        <f>IF(TAB_HISTORICO_MANUT[[#This Row],[Hora Inicio]]="","",MONTH(TAB_HISTORICO_MANUT[[#This Row],[Hora Inicio]]))</f>
        <v>3</v>
      </c>
      <c r="AH341" s="120" t="s">
        <v>698</v>
      </c>
      <c r="AI341" s="43" t="s">
        <v>340</v>
      </c>
      <c r="AJ341" s="43" t="s">
        <v>697</v>
      </c>
      <c r="AK341" s="43"/>
      <c r="AL341" s="43"/>
      <c r="AM341" s="114"/>
      <c r="AN341" s="115"/>
      <c r="AO341" s="115"/>
      <c r="AP341" s="115"/>
    </row>
    <row r="342" spans="1:42" ht="50.1" customHeight="1" x14ac:dyDescent="0.25">
      <c r="A342" s="115">
        <f>MONTH(TAB_HISTORICO_MANUT[[#This Row],[Hora Final]])-MONTH(TAB_HISTORICO_MANUT[[#This Row],[Hora Inicio]])</f>
        <v>0</v>
      </c>
      <c r="B342" s="116"/>
      <c r="C342" s="115"/>
      <c r="D342" s="116"/>
      <c r="E342" s="116"/>
      <c r="F342" s="116"/>
      <c r="G342" s="116"/>
      <c r="H342" s="116"/>
      <c r="I342" s="116"/>
      <c r="J342" s="116"/>
      <c r="K342" s="116" t="s">
        <v>66</v>
      </c>
      <c r="L342" s="116">
        <v>0</v>
      </c>
      <c r="M342" s="116" t="s">
        <v>98</v>
      </c>
      <c r="N34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Inicio]]=Z341,TAB_HISTORICO_MANUT[[#This Row],[Equipamento]]=AA341,TAB_HISTORICO_MANUT[[#This Row],[Descricao Despacho]]=AD341),0,1)))</f>
        <v>0</v>
      </c>
      <c r="O34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34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34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342" s="107">
        <f>IF($Q342="","",(TAB_HISTORICO_MANUT[[#This Row],[Hora Final]]-TAB_HISTORICO_MANUT[[#This Row],[Hora Inicio]])*24)</f>
        <v>1.2713888888829388</v>
      </c>
      <c r="S34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342" s="109" t="str">
        <f>IF(AND(TAB_HISTORICO_MANUT[[#This Row],[EXPURGO Mãe]]="SIM",TAB_HISTORICO_MANUT[[#This Row],[Tipo]]="MÃE"),"EXP.MAE",IF(TAB_HISTORICO_MANUT[[#This Row],[EXPURGO Mãe]]="NÃO","NÃO EXP.MAE",T341))</f>
        <v>EXP.MAE</v>
      </c>
      <c r="U34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42" s="110">
        <f>IF(TAB_HISTORICO_MANUT[[#This Row],[EXPURGO Filhas]]="SIM",MAX(TAB_HISTORICO_MANUT[[#This Row],[Hora Final]]-TAB_HISTORICO_MANUT[[#This Row],[Hora Inicio]],0),0)</f>
        <v>0</v>
      </c>
      <c r="W34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4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42" s="46">
        <v>46089.06958333333</v>
      </c>
      <c r="Z342" s="47">
        <v>46089.122557870367</v>
      </c>
      <c r="AA342" s="48" t="s">
        <v>232</v>
      </c>
      <c r="AB342" s="48"/>
      <c r="AC342" s="43" t="s">
        <v>302</v>
      </c>
      <c r="AD342" s="46" t="s">
        <v>146</v>
      </c>
      <c r="AE342" s="46" t="s">
        <v>311</v>
      </c>
      <c r="AF342" s="88" t="s">
        <v>210</v>
      </c>
      <c r="AG342" s="105">
        <f>IF(TAB_HISTORICO_MANUT[[#This Row],[Hora Inicio]]="","",MONTH(TAB_HISTORICO_MANUT[[#This Row],[Hora Inicio]]))</f>
        <v>3</v>
      </c>
      <c r="AH342" s="58" t="s">
        <v>698</v>
      </c>
      <c r="AI342" s="43" t="s">
        <v>340</v>
      </c>
      <c r="AJ342" s="43" t="s">
        <v>697</v>
      </c>
      <c r="AK342" s="43"/>
      <c r="AL342" s="43"/>
      <c r="AM342" s="114"/>
      <c r="AN342" s="115"/>
      <c r="AO342" s="115"/>
      <c r="AP342" s="115"/>
    </row>
    <row r="343" spans="1:42" ht="50.1" customHeight="1" x14ac:dyDescent="0.25">
      <c r="A343" s="43">
        <f>MONTH(TAB_HISTORICO_MANUT[[#This Row],[Hora Final]])-MONTH(TAB_HISTORICO_MANUT[[#This Row],[Hora Inicio]])</f>
        <v>0</v>
      </c>
      <c r="B343" s="42"/>
      <c r="C343" s="43"/>
      <c r="D343" s="42"/>
      <c r="E343" s="42"/>
      <c r="F343" s="42"/>
      <c r="G343" s="42"/>
      <c r="H343" s="42"/>
      <c r="I343" s="42"/>
      <c r="J343" s="42"/>
      <c r="K343" s="42" t="s">
        <v>66</v>
      </c>
      <c r="L343" s="42"/>
      <c r="M343" s="42"/>
      <c r="N34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Inicio]]=Z342,TAB_HISTORICO_MANUT[[#This Row],[Equipamento]]=AA342,TAB_HISTORICO_MANUT[[#This Row],[Descricao Despacho]]=AD342),0,1)))</f>
        <v>0</v>
      </c>
      <c r="O34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34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34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343" s="107">
        <f>IF($Q343="","",(TAB_HISTORICO_MANUT[[#This Row],[Hora Final]]-TAB_HISTORICO_MANUT[[#This Row],[Hora Inicio]])*24)</f>
        <v>21.89194444444729</v>
      </c>
      <c r="S34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43" s="109" t="str">
        <f>IF(AND(TAB_HISTORICO_MANUT[[#This Row],[EXPURGO Mãe]]="SIM",TAB_HISTORICO_MANUT[[#This Row],[Tipo]]="MÃE"),"EXP.MAE",IF(TAB_HISTORICO_MANUT[[#This Row],[EXPURGO Mãe]]="NÃO","NÃO EXP.MAE",T342))</f>
        <v>NÃO EXP.MAE</v>
      </c>
      <c r="U34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43" s="110">
        <f>IF(TAB_HISTORICO_MANUT[[#This Row],[EXPURGO Filhas]]="SIM",MAX(TAB_HISTORICO_MANUT[[#This Row],[Hora Final]]-TAB_HISTORICO_MANUT[[#This Row],[Hora Inicio]],0),0)</f>
        <v>0</v>
      </c>
      <c r="W34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4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43" s="46">
        <v>46089.122557870367</v>
      </c>
      <c r="Z343" s="47">
        <v>46090.034722222219</v>
      </c>
      <c r="AA343" s="48" t="s">
        <v>232</v>
      </c>
      <c r="AB343" s="48"/>
      <c r="AC343" s="43" t="s">
        <v>301</v>
      </c>
      <c r="AD343" s="46" t="s">
        <v>146</v>
      </c>
      <c r="AE343" s="46" t="s">
        <v>310</v>
      </c>
      <c r="AF343" s="88" t="s">
        <v>210</v>
      </c>
      <c r="AG343" s="105">
        <f>IF(TAB_HISTORICO_MANUT[[#This Row],[Hora Inicio]]="","",MONTH(TAB_HISTORICO_MANUT[[#This Row],[Hora Inicio]]))</f>
        <v>3</v>
      </c>
      <c r="AH343" s="58" t="s">
        <v>698</v>
      </c>
      <c r="AI343" s="43" t="s">
        <v>340</v>
      </c>
      <c r="AJ343" s="43" t="s">
        <v>697</v>
      </c>
      <c r="AK343" s="43"/>
      <c r="AL343" s="43"/>
      <c r="AM343" s="114"/>
      <c r="AN343" s="43"/>
      <c r="AO343" s="43"/>
      <c r="AP343" s="43"/>
    </row>
    <row r="344" spans="1:42" ht="50.1" customHeight="1" x14ac:dyDescent="0.25">
      <c r="A344" s="43">
        <f>MONTH(TAB_HISTORICO_MANUT[[#This Row],[Hora Final]])-MONTH(TAB_HISTORICO_MANUT[[#This Row],[Hora Inicio]])</f>
        <v>0</v>
      </c>
      <c r="B344" s="42"/>
      <c r="C344" s="43"/>
      <c r="D344" s="42"/>
      <c r="E344" s="42"/>
      <c r="F344" s="42"/>
      <c r="G344" s="42"/>
      <c r="H344" s="42"/>
      <c r="I344" s="42"/>
      <c r="J344" s="42"/>
      <c r="K344" s="42" t="s">
        <v>66</v>
      </c>
      <c r="L344" s="42"/>
      <c r="M344" s="42"/>
      <c r="N34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Inicio]]=Z343,TAB_HISTORICO_MANUT[[#This Row],[Equipamento]]=AA343,TAB_HISTORICO_MANUT[[#This Row],[Descricao Despacho]]=AD343),0,1)))</f>
        <v>0</v>
      </c>
      <c r="O34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34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34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344" s="107">
        <f>IF($Q344="","",(TAB_HISTORICO_MANUT[[#This Row],[Hora Final]]-TAB_HISTORICO_MANUT[[#This Row],[Hora Inicio]])*24)</f>
        <v>3.5000000000582077</v>
      </c>
      <c r="S34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344" s="109" t="str">
        <f>IF(AND(TAB_HISTORICO_MANUT[[#This Row],[EXPURGO Mãe]]="SIM",TAB_HISTORICO_MANUT[[#This Row],[Tipo]]="MÃE"),"EXP.MAE",IF(TAB_HISTORICO_MANUT[[#This Row],[EXPURGO Mãe]]="NÃO","NÃO EXP.MAE",T343))</f>
        <v>EXP.MAE</v>
      </c>
      <c r="U34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44" s="110">
        <f>IF(TAB_HISTORICO_MANUT[[#This Row],[EXPURGO Filhas]]="SIM",MAX(TAB_HISTORICO_MANUT[[#This Row],[Hora Final]]-TAB_HISTORICO_MANUT[[#This Row],[Hora Inicio]],0),0)</f>
        <v>0</v>
      </c>
      <c r="W34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4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44" s="46">
        <v>46090.034722222219</v>
      </c>
      <c r="Z344" s="47">
        <v>46090.180555555555</v>
      </c>
      <c r="AA344" s="48" t="s">
        <v>232</v>
      </c>
      <c r="AB344" s="48"/>
      <c r="AC344" s="43" t="s">
        <v>301</v>
      </c>
      <c r="AD344" s="46" t="s">
        <v>146</v>
      </c>
      <c r="AE344" s="46" t="s">
        <v>177</v>
      </c>
      <c r="AF344" s="88" t="s">
        <v>210</v>
      </c>
      <c r="AG344" s="105">
        <f>IF(TAB_HISTORICO_MANUT[[#This Row],[Hora Inicio]]="","",MONTH(TAB_HISTORICO_MANUT[[#This Row],[Hora Inicio]]))</f>
        <v>3</v>
      </c>
      <c r="AH344" s="58" t="s">
        <v>698</v>
      </c>
      <c r="AI344" s="43" t="s">
        <v>340</v>
      </c>
      <c r="AJ344" s="43" t="s">
        <v>697</v>
      </c>
      <c r="AK344" s="43"/>
      <c r="AL344" s="43"/>
      <c r="AM344" s="43"/>
      <c r="AN344" s="43"/>
      <c r="AO344" s="43"/>
      <c r="AP344" s="43"/>
    </row>
    <row r="345" spans="1:42" ht="50.1" customHeight="1" x14ac:dyDescent="0.25">
      <c r="A345" s="43">
        <f>MONTH(TAB_HISTORICO_MANUT[[#This Row],[Hora Final]])-MONTH(TAB_HISTORICO_MANUT[[#This Row],[Hora Inicio]])</f>
        <v>0</v>
      </c>
      <c r="B345" s="42"/>
      <c r="C345" s="43"/>
      <c r="D345" s="42"/>
      <c r="E345" s="42"/>
      <c r="F345" s="42"/>
      <c r="G345" s="42"/>
      <c r="H345" s="42"/>
      <c r="I345" s="42"/>
      <c r="J345" s="42"/>
      <c r="K345" s="42" t="s">
        <v>66</v>
      </c>
      <c r="L345" s="42"/>
      <c r="M345" s="42"/>
      <c r="N34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Inicio]]=Z344,TAB_HISTORICO_MANUT[[#This Row],[Equipamento]]=AA344,TAB_HISTORICO_MANUT[[#This Row],[Descricao Despacho]]=AD344),0,1)))</f>
        <v>0</v>
      </c>
      <c r="O34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345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34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345" s="50">
        <f>IF($Q345="","",(TAB_HISTORICO_MANUT[[#This Row],[Hora Final]]-TAB_HISTORICO_MANUT[[#This Row],[Hora Inicio]])*24)</f>
        <v>1.6400000000721775</v>
      </c>
      <c r="S34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45" s="54" t="str">
        <f>IF(AND(TAB_HISTORICO_MANUT[[#This Row],[EXPURGO Mãe]]="SIM",TAB_HISTORICO_MANUT[[#This Row],[Tipo]]="MÃE"),"EXP.MAE",IF(TAB_HISTORICO_MANUT[[#This Row],[EXPURGO Mãe]]="NÃO","NÃO EXP.MAE",T344))</f>
        <v>NÃO EXP.MAE</v>
      </c>
      <c r="U34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45" s="56">
        <f>IF(TAB_HISTORICO_MANUT[[#This Row],[EXPURGO Filhas]]="SIM",MAX(TAB_HISTORICO_MANUT[[#This Row],[Hora Final]]-TAB_HISTORICO_MANUT[[#This Row],[Hora Inicio]],0),0)</f>
        <v>0</v>
      </c>
      <c r="W34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4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45" s="46">
        <v>46090.180555555555</v>
      </c>
      <c r="Z345" s="47">
        <v>46090.248888888891</v>
      </c>
      <c r="AA345" s="48" t="s">
        <v>232</v>
      </c>
      <c r="AB345" s="48"/>
      <c r="AC345" s="43" t="s">
        <v>301</v>
      </c>
      <c r="AD345" s="46" t="s">
        <v>146</v>
      </c>
      <c r="AE345" s="46" t="s">
        <v>310</v>
      </c>
      <c r="AF345" s="88" t="s">
        <v>210</v>
      </c>
      <c r="AG345" s="105">
        <f>IF(TAB_HISTORICO_MANUT[[#This Row],[Hora Inicio]]="","",MONTH(TAB_HISTORICO_MANUT[[#This Row],[Hora Inicio]]))</f>
        <v>3</v>
      </c>
      <c r="AH345" s="58" t="s">
        <v>698</v>
      </c>
      <c r="AI345" s="43" t="s">
        <v>340</v>
      </c>
      <c r="AJ345" s="43" t="s">
        <v>697</v>
      </c>
      <c r="AK345" s="43"/>
      <c r="AL345" s="43"/>
      <c r="AM345" s="114"/>
      <c r="AN345" s="43"/>
      <c r="AO345" s="43"/>
      <c r="AP345" s="43"/>
    </row>
    <row r="346" spans="1:42" ht="50.1" customHeight="1" x14ac:dyDescent="0.25">
      <c r="A346" s="43">
        <f>MONTH(TAB_HISTORICO_MANUT[[#This Row],[Hora Final]])-MONTH(TAB_HISTORICO_MANUT[[#This Row],[Hora Inicio]])</f>
        <v>0</v>
      </c>
      <c r="B346" s="42"/>
      <c r="C346" s="43"/>
      <c r="D346" s="42"/>
      <c r="E346" s="42"/>
      <c r="F346" s="42"/>
      <c r="G346" s="42"/>
      <c r="H346" s="42"/>
      <c r="I346" s="42"/>
      <c r="J346" s="42"/>
      <c r="K346" s="42"/>
      <c r="L346" s="42"/>
      <c r="M346" s="42" t="s">
        <v>98</v>
      </c>
      <c r="N34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Inicio]]=Z345,TAB_HISTORICO_MANUT[[#This Row],[Equipamento]]=AA345,TAB_HISTORICO_MANUT[[#This Row],[Descricao Despacho]]=AD345),0,1)))</f>
        <v>1</v>
      </c>
      <c r="O34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34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4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46" s="50">
        <f>IF($Q346="","",(TAB_HISTORICO_MANUT[[#This Row],[Hora Final]]-TAB_HISTORICO_MANUT[[#This Row],[Hora Inicio]])*24)</f>
        <v>14.19499999989057</v>
      </c>
      <c r="S34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346" s="54" t="str">
        <f>IF(AND(TAB_HISTORICO_MANUT[[#This Row],[EXPURGO Mãe]]="SIM",TAB_HISTORICO_MANUT[[#This Row],[Tipo]]="MÃE"),"EXP.MAE",IF(TAB_HISTORICO_MANUT[[#This Row],[EXPURGO Mãe]]="NÃO","NÃO EXP.MAE",T345))</f>
        <v>EXP.MAE</v>
      </c>
      <c r="U34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46" s="56">
        <f>IF(TAB_HISTORICO_MANUT[[#This Row],[EXPURGO Filhas]]="SIM",MAX(TAB_HISTORICO_MANUT[[#This Row],[Hora Final]]-TAB_HISTORICO_MANUT[[#This Row],[Hora Inicio]],0),0)</f>
        <v>0</v>
      </c>
      <c r="W34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4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46" s="46">
        <v>46090.533217592594</v>
      </c>
      <c r="Z346" s="47">
        <v>46091.124675925923</v>
      </c>
      <c r="AA346" s="48" t="s">
        <v>232</v>
      </c>
      <c r="AB346" s="48" t="s">
        <v>678</v>
      </c>
      <c r="AC346" s="43" t="s">
        <v>204</v>
      </c>
      <c r="AD346" s="46" t="s">
        <v>144</v>
      </c>
      <c r="AE346" s="46" t="s">
        <v>172</v>
      </c>
      <c r="AF346" s="88" t="s">
        <v>210</v>
      </c>
      <c r="AG346" s="105">
        <f>IF(TAB_HISTORICO_MANUT[[#This Row],[Hora Inicio]]="","",MONTH(TAB_HISTORICO_MANUT[[#This Row],[Hora Inicio]]))</f>
        <v>3</v>
      </c>
      <c r="AH346" s="58" t="s">
        <v>690</v>
      </c>
      <c r="AI346" s="43" t="s">
        <v>24</v>
      </c>
      <c r="AJ346" s="43" t="s">
        <v>223</v>
      </c>
      <c r="AK346" s="43" t="s">
        <v>422</v>
      </c>
      <c r="AL346" s="43" t="s">
        <v>279</v>
      </c>
      <c r="AM346" s="114" t="s">
        <v>280</v>
      </c>
      <c r="AN346" s="43" t="s">
        <v>217</v>
      </c>
      <c r="AO346" s="43" t="s">
        <v>419</v>
      </c>
      <c r="AP346" s="43" t="s">
        <v>420</v>
      </c>
    </row>
    <row r="347" spans="1:42" ht="50.1" customHeight="1" x14ac:dyDescent="0.25">
      <c r="A347" s="43">
        <f>MONTH(TAB_HISTORICO_MANUT[[#This Row],[Hora Final]])-MONTH(TAB_HISTORICO_MANUT[[#This Row],[Hora Inicio]])</f>
        <v>0</v>
      </c>
      <c r="B347" s="42"/>
      <c r="C347" s="43"/>
      <c r="D347" s="42"/>
      <c r="E347" s="42"/>
      <c r="F347" s="42"/>
      <c r="G347" s="42"/>
      <c r="H347" s="42"/>
      <c r="I347" s="42"/>
      <c r="J347" s="42"/>
      <c r="K347" s="42"/>
      <c r="L347" s="42"/>
      <c r="M347" s="42" t="s">
        <v>98</v>
      </c>
      <c r="N34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Inicio]]=Z346,TAB_HISTORICO_MANUT[[#This Row],[Equipamento]]=AA346,TAB_HISTORICO_MANUT[[#This Row],[Descricao Despacho]]=AD346),0,1)))</f>
        <v>1</v>
      </c>
      <c r="O34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347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4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47" s="50">
        <f>IF($Q347="","",(TAB_HISTORICO_MANUT[[#This Row],[Hora Final]]-TAB_HISTORICO_MANUT[[#This Row],[Hora Inicio]])*24)</f>
        <v>26.26500000001397</v>
      </c>
      <c r="S34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347" s="54" t="str">
        <f>IF(AND(TAB_HISTORICO_MANUT[[#This Row],[EXPURGO Mãe]]="SIM",TAB_HISTORICO_MANUT[[#This Row],[Tipo]]="MÃE"),"EXP.MAE",IF(TAB_HISTORICO_MANUT[[#This Row],[EXPURGO Mãe]]="NÃO","NÃO EXP.MAE",T346))</f>
        <v>EXP.MAE</v>
      </c>
      <c r="U34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47" s="56">
        <f>IF(TAB_HISTORICO_MANUT[[#This Row],[EXPURGO Filhas]]="SIM",MAX(TAB_HISTORICO_MANUT[[#This Row],[Hora Final]]-TAB_HISTORICO_MANUT[[#This Row],[Hora Inicio]],0),0)</f>
        <v>0</v>
      </c>
      <c r="W34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4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47" s="46">
        <v>46091.667303240742</v>
      </c>
      <c r="Z347" s="47">
        <v>46092.761678240742</v>
      </c>
      <c r="AA347" s="48" t="s">
        <v>232</v>
      </c>
      <c r="AB347" s="48" t="s">
        <v>849</v>
      </c>
      <c r="AC347" s="43" t="s">
        <v>204</v>
      </c>
      <c r="AD347" s="46" t="s">
        <v>144</v>
      </c>
      <c r="AE347" s="46" t="s">
        <v>172</v>
      </c>
      <c r="AF347" s="88" t="s">
        <v>210</v>
      </c>
      <c r="AG347" s="105">
        <f>IF(TAB_HISTORICO_MANUT[[#This Row],[Hora Inicio]]="","",MONTH(TAB_HISTORICO_MANUT[[#This Row],[Hora Inicio]]))</f>
        <v>3</v>
      </c>
      <c r="AH347" s="58" t="s">
        <v>848</v>
      </c>
      <c r="AI347" s="43" t="s">
        <v>235</v>
      </c>
      <c r="AJ347" s="43" t="s">
        <v>717</v>
      </c>
      <c r="AK347" s="43" t="s">
        <v>422</v>
      </c>
      <c r="AL347" s="43" t="s">
        <v>279</v>
      </c>
      <c r="AM347" s="114" t="s">
        <v>280</v>
      </c>
      <c r="AN347" s="43"/>
      <c r="AO347" s="43"/>
      <c r="AP347" s="43"/>
    </row>
    <row r="348" spans="1:42" ht="50.1" customHeight="1" x14ac:dyDescent="0.25">
      <c r="A348" s="43">
        <f>MONTH(TAB_HISTORICO_MANUT[[#This Row],[Hora Final]])-MONTH(TAB_HISTORICO_MANUT[[#This Row],[Hora Inicio]])</f>
        <v>0</v>
      </c>
      <c r="B348" s="42"/>
      <c r="C348" s="43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Inicio]]=Z347,TAB_HISTORICO_MANUT[[#This Row],[Equipamento]]=AA347,TAB_HISTORICO_MANUT[[#This Row],[Descricao Despacho]]=AD347),0,1)))</f>
        <v>1</v>
      </c>
      <c r="O34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348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4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48" s="50">
        <f>IF($Q348="","",(TAB_HISTORICO_MANUT[[#This Row],[Hora Final]]-TAB_HISTORICO_MANUT[[#This Row],[Hora Inicio]])*24)</f>
        <v>2.1380555555806495</v>
      </c>
      <c r="S34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48" s="54" t="str">
        <f>IF(AND(TAB_HISTORICO_MANUT[[#This Row],[EXPURGO Mãe]]="SIM",TAB_HISTORICO_MANUT[[#This Row],[Tipo]]="MÃE"),"EXP.MAE",IF(TAB_HISTORICO_MANUT[[#This Row],[EXPURGO Mãe]]="NÃO","NÃO EXP.MAE",T347))</f>
        <v>NÃO EXP.MAE</v>
      </c>
      <c r="U34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48" s="56">
        <f>IF(TAB_HISTORICO_MANUT[[#This Row],[EXPURGO Filhas]]="SIM",MAX(TAB_HISTORICO_MANUT[[#This Row],[Hora Final]]-TAB_HISTORICO_MANUT[[#This Row],[Hora Inicio]],0),0)</f>
        <v>0</v>
      </c>
      <c r="W34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4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48" s="46">
        <v>46093.336180555554</v>
      </c>
      <c r="Z348" s="47">
        <v>46093.425266203703</v>
      </c>
      <c r="AA348" s="48" t="s">
        <v>232</v>
      </c>
      <c r="AB348" s="48" t="s">
        <v>700</v>
      </c>
      <c r="AC348" s="43" t="s">
        <v>204</v>
      </c>
      <c r="AD348" s="46" t="s">
        <v>144</v>
      </c>
      <c r="AE348" s="46" t="s">
        <v>172</v>
      </c>
      <c r="AF348" s="88" t="s">
        <v>210</v>
      </c>
      <c r="AG348" s="105">
        <f>IF(TAB_HISTORICO_MANUT[[#This Row],[Hora Inicio]]="","",MONTH(TAB_HISTORICO_MANUT[[#This Row],[Hora Inicio]]))</f>
        <v>3</v>
      </c>
      <c r="AH348" s="58" t="s">
        <v>711</v>
      </c>
      <c r="AI348" s="43" t="s">
        <v>235</v>
      </c>
      <c r="AJ348" s="43" t="s">
        <v>717</v>
      </c>
      <c r="AK348" s="43" t="s">
        <v>422</v>
      </c>
      <c r="AL348" s="43" t="s">
        <v>279</v>
      </c>
      <c r="AM348" s="114" t="s">
        <v>280</v>
      </c>
      <c r="AN348" s="43"/>
      <c r="AO348" s="43"/>
      <c r="AP348" s="43"/>
    </row>
    <row r="349" spans="1:42" ht="50.1" customHeight="1" x14ac:dyDescent="0.25">
      <c r="A349" s="43">
        <f>MONTH(TAB_HISTORICO_MANUT[[#This Row],[Hora Final]])-MONTH(TAB_HISTORICO_MANUT[[#This Row],[Hora Inicio]])</f>
        <v>0</v>
      </c>
      <c r="B349" s="42"/>
      <c r="C349" s="43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Inicio]]=Z348,TAB_HISTORICO_MANUT[[#This Row],[Equipamento]]=AA348,TAB_HISTORICO_MANUT[[#This Row],[Descricao Despacho]]=AD348),0,1)))</f>
        <v/>
      </c>
      <c r="O34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49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4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49" s="50" t="str">
        <f>IF($Q349="","",(TAB_HISTORICO_MANUT[[#This Row],[Hora Final]]-TAB_HISTORICO_MANUT[[#This Row],[Hora Inicio]])*24)</f>
        <v/>
      </c>
      <c r="S34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49" s="54" t="str">
        <f>IF(AND(TAB_HISTORICO_MANUT[[#This Row],[EXPURGO Mãe]]="SIM",TAB_HISTORICO_MANUT[[#This Row],[Tipo]]="MÃE"),"EXP.MAE",IF(TAB_HISTORICO_MANUT[[#This Row],[EXPURGO Mãe]]="NÃO","NÃO EXP.MAE",T348))</f>
        <v>NÃO EXP.MAE</v>
      </c>
      <c r="U34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49" s="56">
        <f>IF(TAB_HISTORICO_MANUT[[#This Row],[EXPURGO Filhas]]="SIM",MAX(TAB_HISTORICO_MANUT[[#This Row],[Hora Final]]-TAB_HISTORICO_MANUT[[#This Row],[Hora Inicio]],0),0)</f>
        <v>4.0277777778101154E-2</v>
      </c>
      <c r="W34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4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49" s="46">
        <v>46093.34097222222</v>
      </c>
      <c r="Z349" s="47">
        <v>46093.381249999999</v>
      </c>
      <c r="AA349" s="48" t="s">
        <v>232</v>
      </c>
      <c r="AB349" s="48" t="s">
        <v>700</v>
      </c>
      <c r="AC349" s="43" t="s">
        <v>204</v>
      </c>
      <c r="AD349" s="46" t="s">
        <v>144</v>
      </c>
      <c r="AE349" s="46" t="s">
        <v>766</v>
      </c>
      <c r="AF349" s="88" t="s">
        <v>767</v>
      </c>
      <c r="AG349" s="105">
        <f>IF(TAB_HISTORICO_MANUT[[#This Row],[Hora Inicio]]="","",MONTH(TAB_HISTORICO_MANUT[[#This Row],[Hora Inicio]]))</f>
        <v>3</v>
      </c>
      <c r="AH349" s="58" t="s">
        <v>711</v>
      </c>
      <c r="AI349" s="43" t="s">
        <v>235</v>
      </c>
      <c r="AJ349" s="43" t="s">
        <v>717</v>
      </c>
      <c r="AK349" s="43" t="s">
        <v>422</v>
      </c>
      <c r="AL349" s="43" t="s">
        <v>279</v>
      </c>
      <c r="AM349" s="114" t="s">
        <v>280</v>
      </c>
      <c r="AN349" s="43"/>
      <c r="AO349" s="43"/>
      <c r="AP349" s="43"/>
    </row>
    <row r="350" spans="1:42" ht="50.1" customHeight="1" x14ac:dyDescent="0.25">
      <c r="A350" s="43">
        <f>MONTH(TAB_HISTORICO_MANUT[[#This Row],[Hora Final]])-MONTH(TAB_HISTORICO_MANUT[[#This Row],[Hora Inicio]])</f>
        <v>0</v>
      </c>
      <c r="B350" s="42"/>
      <c r="C350" s="43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Inicio]]=Z349,TAB_HISTORICO_MANUT[[#This Row],[Equipamento]]=AA349,TAB_HISTORICO_MANUT[[#This Row],[Descricao Despacho]]=AD349),0,1)))</f>
        <v/>
      </c>
      <c r="O35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50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5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50" s="50" t="str">
        <f>IF($Q350="","",(TAB_HISTORICO_MANUT[[#This Row],[Hora Final]]-TAB_HISTORICO_MANUT[[#This Row],[Hora Inicio]])*24)</f>
        <v/>
      </c>
      <c r="S35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50" s="54" t="str">
        <f>IF(AND(TAB_HISTORICO_MANUT[[#This Row],[EXPURGO Mãe]]="SIM",TAB_HISTORICO_MANUT[[#This Row],[Tipo]]="MÃE"),"EXP.MAE",IF(TAB_HISTORICO_MANUT[[#This Row],[EXPURGO Mãe]]="NÃO","NÃO EXP.MAE",T349))</f>
        <v>NÃO EXP.MAE</v>
      </c>
      <c r="U35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50" s="56">
        <f>IF(TAB_HISTORICO_MANUT[[#This Row],[EXPURGO Filhas]]="SIM",MAX(TAB_HISTORICO_MANUT[[#This Row],[Hora Final]]-TAB_HISTORICO_MANUT[[#This Row],[Hora Inicio]],0),0)</f>
        <v>2.8472222220443655E-2</v>
      </c>
      <c r="W35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5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50" s="46">
        <v>46093.381249999999</v>
      </c>
      <c r="Z350" s="47">
        <v>46093.409722222219</v>
      </c>
      <c r="AA350" s="48" t="s">
        <v>232</v>
      </c>
      <c r="AB350" s="48" t="s">
        <v>700</v>
      </c>
      <c r="AC350" s="43" t="s">
        <v>204</v>
      </c>
      <c r="AD350" s="46" t="s">
        <v>144</v>
      </c>
      <c r="AE350" s="46" t="s">
        <v>765</v>
      </c>
      <c r="AF350" s="88" t="s">
        <v>767</v>
      </c>
      <c r="AG350" s="105">
        <f>IF(TAB_HISTORICO_MANUT[[#This Row],[Hora Inicio]]="","",MONTH(TAB_HISTORICO_MANUT[[#This Row],[Hora Inicio]]))</f>
        <v>3</v>
      </c>
      <c r="AH350" s="58" t="s">
        <v>711</v>
      </c>
      <c r="AI350" s="43" t="s">
        <v>235</v>
      </c>
      <c r="AJ350" s="43" t="s">
        <v>717</v>
      </c>
      <c r="AK350" s="43" t="s">
        <v>422</v>
      </c>
      <c r="AL350" s="43" t="s">
        <v>279</v>
      </c>
      <c r="AM350" s="114" t="s">
        <v>280</v>
      </c>
      <c r="AN350" s="43" t="s">
        <v>217</v>
      </c>
      <c r="AO350" s="43" t="s">
        <v>705</v>
      </c>
      <c r="AP350" s="43" t="s">
        <v>218</v>
      </c>
    </row>
    <row r="351" spans="1:42" ht="50.1" customHeight="1" x14ac:dyDescent="0.25">
      <c r="A351" s="43">
        <f>MONTH(TAB_HISTORICO_MANUT[[#This Row],[Hora Final]])-MONTH(TAB_HISTORICO_MANUT[[#This Row],[Hora Inicio]])</f>
        <v>0</v>
      </c>
      <c r="B351" s="42"/>
      <c r="C351" s="43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Inicio]]=Z350,TAB_HISTORICO_MANUT[[#This Row],[Equipamento]]=AA350,TAB_HISTORICO_MANUT[[#This Row],[Descricao Despacho]]=AD350),0,1)))</f>
        <v>1</v>
      </c>
      <c r="O35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COMBATE INCENDIO</v>
      </c>
      <c r="P351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5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351" s="50">
        <f>IF($Q351="","",(TAB_HISTORICO_MANUT[[#This Row],[Hora Final]]-TAB_HISTORICO_MANUT[[#This Row],[Hora Inicio]])*24)</f>
        <v>1.1013888889574446</v>
      </c>
      <c r="S35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351" s="54" t="str">
        <f>IF(AND(TAB_HISTORICO_MANUT[[#This Row],[EXPURGO Mãe]]="SIM",TAB_HISTORICO_MANUT[[#This Row],[Tipo]]="MÃE"),"EXP.MAE",IF(TAB_HISTORICO_MANUT[[#This Row],[EXPURGO Mãe]]="NÃO","NÃO EXP.MAE",T350))</f>
        <v>EXP.MAE</v>
      </c>
      <c r="U35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51" s="56">
        <f>IF(TAB_HISTORICO_MANUT[[#This Row],[EXPURGO Filhas]]="SIM",MAX(TAB_HISTORICO_MANUT[[#This Row],[Hora Final]]-TAB_HISTORICO_MANUT[[#This Row],[Hora Inicio]],0),0)</f>
        <v>0</v>
      </c>
      <c r="W35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5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51" s="46">
        <v>46093.425266203703</v>
      </c>
      <c r="Z351" s="47">
        <v>46093.47115740741</v>
      </c>
      <c r="AA351" s="48" t="s">
        <v>232</v>
      </c>
      <c r="AB351" s="48" t="s">
        <v>701</v>
      </c>
      <c r="AC351" s="43" t="s">
        <v>212</v>
      </c>
      <c r="AD351" s="46" t="s">
        <v>144</v>
      </c>
      <c r="AE351" s="46" t="s">
        <v>214</v>
      </c>
      <c r="AF351" s="88" t="s">
        <v>210</v>
      </c>
      <c r="AG351" s="105">
        <f>IF(TAB_HISTORICO_MANUT[[#This Row],[Hora Inicio]]="","",MONTH(TAB_HISTORICO_MANUT[[#This Row],[Hora Inicio]]))</f>
        <v>3</v>
      </c>
      <c r="AH351" s="58" t="s">
        <v>712</v>
      </c>
      <c r="AI351" s="43" t="s">
        <v>152</v>
      </c>
      <c r="AJ351" s="43" t="s">
        <v>80</v>
      </c>
      <c r="AK351" s="43" t="s">
        <v>718</v>
      </c>
      <c r="AL351" s="43" t="s">
        <v>540</v>
      </c>
      <c r="AM351" s="114" t="s">
        <v>541</v>
      </c>
      <c r="AN351" s="43" t="s">
        <v>217</v>
      </c>
      <c r="AO351" s="43" t="s">
        <v>706</v>
      </c>
      <c r="AP351" s="43" t="s">
        <v>350</v>
      </c>
    </row>
    <row r="352" spans="1:42" ht="50.1" customHeight="1" x14ac:dyDescent="0.25">
      <c r="A352" s="43">
        <f>MONTH(TAB_HISTORICO_MANUT[[#This Row],[Hora Final]])-MONTH(TAB_HISTORICO_MANUT[[#This Row],[Hora Inicio]])</f>
        <v>0</v>
      </c>
      <c r="B352" s="42"/>
      <c r="C352" s="43"/>
      <c r="D352" s="42"/>
      <c r="E352" s="42"/>
      <c r="F352" s="42"/>
      <c r="G352" s="42"/>
      <c r="H352" s="42"/>
      <c r="I352" s="42"/>
      <c r="J352" s="42"/>
      <c r="K352" s="42"/>
      <c r="L352" s="42"/>
      <c r="M352" s="42" t="s">
        <v>98</v>
      </c>
      <c r="N35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Inicio]]=Z351,TAB_HISTORICO_MANUT[[#This Row],[Equipamento]]=AA351,TAB_HISTORICO_MANUT[[#This Row],[Descricao Despacho]]=AD351),0,1)))</f>
        <v>1</v>
      </c>
      <c r="O35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352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5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52" s="50">
        <f>IF($Q352="","",(TAB_HISTORICO_MANUT[[#This Row],[Hora Final]]-TAB_HISTORICO_MANUT[[#This Row],[Hora Inicio]])*24)</f>
        <v>4.4797222221968696</v>
      </c>
      <c r="S35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352" s="54" t="str">
        <f>IF(AND(TAB_HISTORICO_MANUT[[#This Row],[EXPURGO Mãe]]="SIM",TAB_HISTORICO_MANUT[[#This Row],[Tipo]]="MÃE"),"EXP.MAE",IF(TAB_HISTORICO_MANUT[[#This Row],[EXPURGO Mãe]]="NÃO","NÃO EXP.MAE",T351))</f>
        <v>EXP.MAE</v>
      </c>
      <c r="U35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52" s="56">
        <f>IF(TAB_HISTORICO_MANUT[[#This Row],[EXPURGO Filhas]]="SIM",MAX(TAB_HISTORICO_MANUT[[#This Row],[Hora Final]]-TAB_HISTORICO_MANUT[[#This Row],[Hora Inicio]],0),0)</f>
        <v>0</v>
      </c>
      <c r="W35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5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52" s="46">
        <v>46094.405717592592</v>
      </c>
      <c r="Z352" s="47">
        <v>46094.592372685183</v>
      </c>
      <c r="AA352" s="48" t="s">
        <v>232</v>
      </c>
      <c r="AB352" s="48" t="s">
        <v>703</v>
      </c>
      <c r="AC352" s="43" t="s">
        <v>204</v>
      </c>
      <c r="AD352" s="46" t="s">
        <v>144</v>
      </c>
      <c r="AE352" s="46" t="s">
        <v>172</v>
      </c>
      <c r="AF352" s="88" t="s">
        <v>210</v>
      </c>
      <c r="AG352" s="105">
        <f>IF(TAB_HISTORICO_MANUT[[#This Row],[Hora Inicio]]="","",MONTH(TAB_HISTORICO_MANUT[[#This Row],[Hora Inicio]]))</f>
        <v>3</v>
      </c>
      <c r="AH352" s="58" t="s">
        <v>714</v>
      </c>
      <c r="AI352" s="43" t="s">
        <v>235</v>
      </c>
      <c r="AJ352" s="43" t="s">
        <v>717</v>
      </c>
      <c r="AK352" s="43" t="s">
        <v>331</v>
      </c>
      <c r="AL352" s="43" t="s">
        <v>275</v>
      </c>
      <c r="AM352" s="114" t="s">
        <v>276</v>
      </c>
      <c r="AN352" s="43" t="s">
        <v>217</v>
      </c>
      <c r="AO352" s="43" t="s">
        <v>684</v>
      </c>
      <c r="AP352" s="43" t="s">
        <v>685</v>
      </c>
    </row>
    <row r="353" spans="1:42" ht="50.1" customHeight="1" x14ac:dyDescent="0.25">
      <c r="A353" s="43">
        <f>MONTH(TAB_HISTORICO_MANUT[[#This Row],[Hora Final]])-MONTH(TAB_HISTORICO_MANUT[[#This Row],[Hora Inicio]])</f>
        <v>0</v>
      </c>
      <c r="B353" s="42"/>
      <c r="C353" s="43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Inicio]]=Z352,TAB_HISTORICO_MANUT[[#This Row],[Equipamento]]=AA352,TAB_HISTORICO_MANUT[[#This Row],[Descricao Despacho]]=AD352),0,1)))</f>
        <v>1</v>
      </c>
      <c r="O35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353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35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353" s="50">
        <f>IF($Q353="","",(TAB_HISTORICO_MANUT[[#This Row],[Hora Final]]-TAB_HISTORICO_MANUT[[#This Row],[Hora Inicio]])*24)</f>
        <v>8.6688888888456859</v>
      </c>
      <c r="S35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53" s="54" t="str">
        <f>IF(AND(TAB_HISTORICO_MANUT[[#This Row],[EXPURGO Mãe]]="SIM",TAB_HISTORICO_MANUT[[#This Row],[Tipo]]="MÃE"),"EXP.MAE",IF(TAB_HISTORICO_MANUT[[#This Row],[EXPURGO Mãe]]="NÃO","NÃO EXP.MAE",T352))</f>
        <v>NÃO EXP.MAE</v>
      </c>
      <c r="U35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53" s="56">
        <f>IF(TAB_HISTORICO_MANUT[[#This Row],[EXPURGO Filhas]]="SIM",MAX(TAB_HISTORICO_MANUT[[#This Row],[Hora Final]]-TAB_HISTORICO_MANUT[[#This Row],[Hora Inicio]],0),0)</f>
        <v>0</v>
      </c>
      <c r="W35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5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53" s="46">
        <v>46094.623611111114</v>
      </c>
      <c r="Z353" s="47">
        <v>46094.984814814816</v>
      </c>
      <c r="AA353" s="48" t="s">
        <v>232</v>
      </c>
      <c r="AB353" s="48"/>
      <c r="AC353" s="43" t="s">
        <v>481</v>
      </c>
      <c r="AD353" s="46" t="s">
        <v>146</v>
      </c>
      <c r="AE353" s="46" t="s">
        <v>480</v>
      </c>
      <c r="AF353" s="88" t="s">
        <v>210</v>
      </c>
      <c r="AG353" s="105">
        <f>IF(TAB_HISTORICO_MANUT[[#This Row],[Hora Inicio]]="","",MONTH(TAB_HISTORICO_MANUT[[#This Row],[Hora Inicio]]))</f>
        <v>3</v>
      </c>
      <c r="AH353" s="58" t="s">
        <v>715</v>
      </c>
      <c r="AI353" s="43" t="s">
        <v>21</v>
      </c>
      <c r="AJ353" s="43" t="s">
        <v>21</v>
      </c>
      <c r="AK353" s="43" t="s">
        <v>21</v>
      </c>
      <c r="AL353" s="43" t="s">
        <v>21</v>
      </c>
      <c r="AM353" s="114" t="s">
        <v>21</v>
      </c>
      <c r="AN353" s="43"/>
      <c r="AO353" s="43"/>
      <c r="AP353" s="43"/>
    </row>
    <row r="354" spans="1:42" ht="50.1" customHeight="1" x14ac:dyDescent="0.25">
      <c r="A354" s="43">
        <f>MONTH(TAB_HISTORICO_MANUT[[#This Row],[Hora Final]])-MONTH(TAB_HISTORICO_MANUT[[#This Row],[Hora Inicio]])</f>
        <v>0</v>
      </c>
      <c r="B354" s="42"/>
      <c r="C354" s="43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Inicio]]=Z353,TAB_HISTORICO_MANUT[[#This Row],[Equipamento]]=AA353,TAB_HISTORICO_MANUT[[#This Row],[Descricao Despacho]]=AD353),0,1)))</f>
        <v>1</v>
      </c>
      <c r="O35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354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5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54" s="50">
        <f>IF($Q354="","",(TAB_HISTORICO_MANUT[[#This Row],[Hora Final]]-TAB_HISTORICO_MANUT[[#This Row],[Hora Inicio]])*24)</f>
        <v>2.5363888889551163</v>
      </c>
      <c r="S35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54" s="54" t="str">
        <f>IF(AND(TAB_HISTORICO_MANUT[[#This Row],[EXPURGO Mãe]]="SIM",TAB_HISTORICO_MANUT[[#This Row],[Tipo]]="MÃE"),"EXP.MAE",IF(TAB_HISTORICO_MANUT[[#This Row],[EXPURGO Mãe]]="NÃO","NÃO EXP.MAE",T353))</f>
        <v>NÃO EXP.MAE</v>
      </c>
      <c r="U35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54" s="56">
        <f>IF(TAB_HISTORICO_MANUT[[#This Row],[EXPURGO Filhas]]="SIM",MAX(TAB_HISTORICO_MANUT[[#This Row],[Hora Final]]-TAB_HISTORICO_MANUT[[#This Row],[Hora Inicio]],0),0)</f>
        <v>0</v>
      </c>
      <c r="W35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5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54" s="46">
        <v>46095.419074074074</v>
      </c>
      <c r="Z354" s="47">
        <v>46095.524756944447</v>
      </c>
      <c r="AA354" s="48" t="s">
        <v>232</v>
      </c>
      <c r="AB354" s="48" t="s">
        <v>704</v>
      </c>
      <c r="AC354" s="43" t="s">
        <v>204</v>
      </c>
      <c r="AD354" s="46" t="s">
        <v>144</v>
      </c>
      <c r="AE354" s="46" t="s">
        <v>172</v>
      </c>
      <c r="AF354" s="88" t="s">
        <v>210</v>
      </c>
      <c r="AG354" s="105">
        <f>IF(TAB_HISTORICO_MANUT[[#This Row],[Hora Inicio]]="","",MONTH(TAB_HISTORICO_MANUT[[#This Row],[Hora Inicio]]))</f>
        <v>3</v>
      </c>
      <c r="AH354" s="58" t="s">
        <v>716</v>
      </c>
      <c r="AI354" s="43" t="s">
        <v>22</v>
      </c>
      <c r="AJ354" s="43" t="s">
        <v>717</v>
      </c>
      <c r="AK354" s="43" t="s">
        <v>720</v>
      </c>
      <c r="AL354" s="43" t="s">
        <v>460</v>
      </c>
      <c r="AM354" s="114" t="s">
        <v>283</v>
      </c>
      <c r="AN354" s="43" t="s">
        <v>217</v>
      </c>
      <c r="AO354" s="43" t="s">
        <v>708</v>
      </c>
      <c r="AP354" s="43" t="s">
        <v>709</v>
      </c>
    </row>
    <row r="355" spans="1:42" ht="50.1" customHeight="1" x14ac:dyDescent="0.25">
      <c r="A355" s="43">
        <f>MONTH(TAB_HISTORICO_MANUT[[#This Row],[Hora Final]])-MONTH(TAB_HISTORICO_MANUT[[#This Row],[Hora Inicio]])</f>
        <v>0</v>
      </c>
      <c r="B355" s="42"/>
      <c r="C355" s="43"/>
      <c r="D355" s="42"/>
      <c r="E355" s="42"/>
      <c r="F355" s="42"/>
      <c r="G355" s="42"/>
      <c r="H355" s="42"/>
      <c r="I355" s="42"/>
      <c r="J355" s="42"/>
      <c r="K355" s="42"/>
      <c r="L355" s="42"/>
      <c r="M355" s="42" t="s">
        <v>98</v>
      </c>
      <c r="N35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Inicio]]=Z354,TAB_HISTORICO_MANUT[[#This Row],[Equipamento]]=AA354,TAB_HISTORICO_MANUT[[#This Row],[Descricao Despacho]]=AD354),0,1)))</f>
        <v>1</v>
      </c>
      <c r="O35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355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5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55" s="50">
        <f>IF($Q355="","",(TAB_HISTORICO_MANUT[[#This Row],[Hora Final]]-TAB_HISTORICO_MANUT[[#This Row],[Hora Inicio]])*24)</f>
        <v>1.1038888888433576</v>
      </c>
      <c r="S35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355" s="54" t="str">
        <f>IF(AND(TAB_HISTORICO_MANUT[[#This Row],[EXPURGO Mãe]]="SIM",TAB_HISTORICO_MANUT[[#This Row],[Tipo]]="MÃE"),"EXP.MAE",IF(TAB_HISTORICO_MANUT[[#This Row],[EXPURGO Mãe]]="NÃO","NÃO EXP.MAE",T354))</f>
        <v>EXP.MAE</v>
      </c>
      <c r="U35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55" s="56">
        <f>IF(TAB_HISTORICO_MANUT[[#This Row],[EXPURGO Filhas]]="SIM",MAX(TAB_HISTORICO_MANUT[[#This Row],[Hora Final]]-TAB_HISTORICO_MANUT[[#This Row],[Hora Inicio]],0),0)</f>
        <v>0</v>
      </c>
      <c r="W35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5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55" s="46">
        <v>46097.63616898148</v>
      </c>
      <c r="Z355" s="47">
        <v>46097.682164351849</v>
      </c>
      <c r="AA355" s="48" t="s">
        <v>232</v>
      </c>
      <c r="AB355" s="48" t="s">
        <v>721</v>
      </c>
      <c r="AC355" s="43" t="s">
        <v>204</v>
      </c>
      <c r="AD355" s="46" t="s">
        <v>144</v>
      </c>
      <c r="AE355" s="46" t="s">
        <v>172</v>
      </c>
      <c r="AF355" s="88" t="s">
        <v>210</v>
      </c>
      <c r="AG355" s="105">
        <f>IF(TAB_HISTORICO_MANUT[[#This Row],[Hora Inicio]]="","",MONTH(TAB_HISTORICO_MANUT[[#This Row],[Hora Inicio]]))</f>
        <v>3</v>
      </c>
      <c r="AH355" s="58" t="s">
        <v>724</v>
      </c>
      <c r="AI355" s="43" t="s">
        <v>24</v>
      </c>
      <c r="AJ355" s="43" t="s">
        <v>423</v>
      </c>
      <c r="AK355" s="43" t="s">
        <v>422</v>
      </c>
      <c r="AL355" s="43" t="s">
        <v>279</v>
      </c>
      <c r="AM355" s="114" t="s">
        <v>280</v>
      </c>
      <c r="AN355" s="43" t="s">
        <v>217</v>
      </c>
      <c r="AO355" s="43" t="s">
        <v>727</v>
      </c>
      <c r="AP355" s="43" t="s">
        <v>728</v>
      </c>
    </row>
    <row r="356" spans="1:42" ht="50.1" customHeight="1" x14ac:dyDescent="0.25">
      <c r="A356" s="115">
        <f>MONTH(TAB_HISTORICO_MANUT[[#This Row],[Hora Final]])-MONTH(TAB_HISTORICO_MANUT[[#This Row],[Hora Inicio]])</f>
        <v>0</v>
      </c>
      <c r="B356" s="116"/>
      <c r="C356" s="115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Inicio]]=Z355,TAB_HISTORICO_MANUT[[#This Row],[Equipamento]]=AA355,TAB_HISTORICO_MANUT[[#This Row],[Descricao Despacho]]=AD355),0,1)))</f>
        <v>1</v>
      </c>
      <c r="O35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35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5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56" s="50">
        <f>IF($Q356="","",(TAB_HISTORICO_MANUT[[#This Row],[Hora Final]]-TAB_HISTORICO_MANUT[[#This Row],[Hora Inicio]])*24)</f>
        <v>5.7875000000931323</v>
      </c>
      <c r="S35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56" s="54" t="str">
        <f>IF(AND(TAB_HISTORICO_MANUT[[#This Row],[EXPURGO Mãe]]="SIM",TAB_HISTORICO_MANUT[[#This Row],[Tipo]]="MÃE"),"EXP.MAE",IF(TAB_HISTORICO_MANUT[[#This Row],[EXPURGO Mãe]]="NÃO","NÃO EXP.MAE",T355))</f>
        <v>NÃO EXP.MAE</v>
      </c>
      <c r="U35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56" s="56">
        <f>IF(TAB_HISTORICO_MANUT[[#This Row],[EXPURGO Filhas]]="SIM",MAX(TAB_HISTORICO_MANUT[[#This Row],[Hora Final]]-TAB_HISTORICO_MANUT[[#This Row],[Hora Inicio]],0),0)</f>
        <v>0</v>
      </c>
      <c r="W35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5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56" s="117">
        <v>46097.748402777775</v>
      </c>
      <c r="Z356" s="118">
        <v>46097.989548611113</v>
      </c>
      <c r="AA356" s="119" t="s">
        <v>232</v>
      </c>
      <c r="AB356" s="119" t="s">
        <v>722</v>
      </c>
      <c r="AC356" s="115" t="s">
        <v>204</v>
      </c>
      <c r="AD356" s="117" t="s">
        <v>144</v>
      </c>
      <c r="AE356" s="117" t="s">
        <v>172</v>
      </c>
      <c r="AF356" s="88" t="s">
        <v>210</v>
      </c>
      <c r="AG356" s="105">
        <f>IF(TAB_HISTORICO_MANUT[[#This Row],[Hora Inicio]]="","",MONTH(TAB_HISTORICO_MANUT[[#This Row],[Hora Inicio]]))</f>
        <v>3</v>
      </c>
      <c r="AH356" s="120" t="s">
        <v>725</v>
      </c>
      <c r="AI356" s="115" t="s">
        <v>24</v>
      </c>
      <c r="AJ356" s="115" t="s">
        <v>730</v>
      </c>
      <c r="AK356" s="115" t="s">
        <v>474</v>
      </c>
      <c r="AL356" s="115" t="s">
        <v>297</v>
      </c>
      <c r="AM356" s="121" t="s">
        <v>283</v>
      </c>
      <c r="AN356" s="115" t="s">
        <v>217</v>
      </c>
      <c r="AO356" s="115" t="s">
        <v>419</v>
      </c>
      <c r="AP356" s="115" t="s">
        <v>577</v>
      </c>
    </row>
    <row r="357" spans="1:42" ht="50.1" customHeight="1" x14ac:dyDescent="0.25">
      <c r="A357" s="115">
        <f>MONTH(TAB_HISTORICO_MANUT[[#This Row],[Hora Final]])-MONTH(TAB_HISTORICO_MANUT[[#This Row],[Hora Inicio]])</f>
        <v>0</v>
      </c>
      <c r="B357" s="116"/>
      <c r="C357" s="115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Inicio]]=Z356,TAB_HISTORICO_MANUT[[#This Row],[Equipamento]]=AA356,TAB_HISTORICO_MANUT[[#This Row],[Descricao Despacho]]=AD356),0,1)))</f>
        <v>1</v>
      </c>
      <c r="O35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35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5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57" s="107">
        <f>IF($Q357="","",(TAB_HISTORICO_MANUT[[#This Row],[Hora Final]]-TAB_HISTORICO_MANUT[[#This Row],[Hora Inicio]])*24)</f>
        <v>1.6983333334210329</v>
      </c>
      <c r="S35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57" s="109" t="str">
        <f>IF(AND(TAB_HISTORICO_MANUT[[#This Row],[EXPURGO Mãe]]="SIM",TAB_HISTORICO_MANUT[[#This Row],[Tipo]]="MÃE"),"EXP.MAE",IF(TAB_HISTORICO_MANUT[[#This Row],[EXPURGO Mãe]]="NÃO","NÃO EXP.MAE",T356))</f>
        <v>NÃO EXP.MAE</v>
      </c>
      <c r="U35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57" s="110">
        <f>IF(TAB_HISTORICO_MANUT[[#This Row],[EXPURGO Filhas]]="SIM",MAX(TAB_HISTORICO_MANUT[[#This Row],[Hora Final]]-TAB_HISTORICO_MANUT[[#This Row],[Hora Inicio]],0),0)</f>
        <v>0</v>
      </c>
      <c r="W35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5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57" s="117">
        <v>46098.791168981479</v>
      </c>
      <c r="Z357" s="118">
        <v>46098.861932870372</v>
      </c>
      <c r="AA357" s="119" t="s">
        <v>232</v>
      </c>
      <c r="AB357" s="119" t="s">
        <v>737</v>
      </c>
      <c r="AC357" s="115" t="s">
        <v>204</v>
      </c>
      <c r="AD357" s="117" t="s">
        <v>144</v>
      </c>
      <c r="AE357" s="117" t="s">
        <v>172</v>
      </c>
      <c r="AF357" s="88" t="s">
        <v>210</v>
      </c>
      <c r="AG357" s="105">
        <f>IF(TAB_HISTORICO_MANUT[[#This Row],[Hora Inicio]]="","",MONTH(TAB_HISTORICO_MANUT[[#This Row],[Hora Inicio]]))</f>
        <v>3</v>
      </c>
      <c r="AH357" s="120" t="s">
        <v>744</v>
      </c>
      <c r="AI357" s="115" t="s">
        <v>235</v>
      </c>
      <c r="AJ357" s="115" t="s">
        <v>223</v>
      </c>
      <c r="AK357" s="115" t="s">
        <v>422</v>
      </c>
      <c r="AL357" s="115" t="s">
        <v>279</v>
      </c>
      <c r="AM357" s="121" t="s">
        <v>280</v>
      </c>
      <c r="AN357" s="115" t="s">
        <v>217</v>
      </c>
      <c r="AO357" s="115" t="s">
        <v>729</v>
      </c>
      <c r="AP357" s="115" t="s">
        <v>403</v>
      </c>
    </row>
    <row r="358" spans="1:42" ht="50.1" customHeight="1" x14ac:dyDescent="0.25">
      <c r="A358" s="43">
        <f>MONTH(TAB_HISTORICO_MANUT[[#This Row],[Hora Final]])-MONTH(TAB_HISTORICO_MANUT[[#This Row],[Hora Inicio]])</f>
        <v>0</v>
      </c>
      <c r="B358" s="42"/>
      <c r="C358" s="43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Inicio]]=Z357,TAB_HISTORICO_MANUT[[#This Row],[Equipamento]]=AA357,TAB_HISTORICO_MANUT[[#This Row],[Descricao Despacho]]=AD357),0,1)))</f>
        <v>1</v>
      </c>
      <c r="O35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35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5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58" s="107">
        <f>IF($Q358="","",(TAB_HISTORICO_MANUT[[#This Row],[Hora Final]]-TAB_HISTORICO_MANUT[[#This Row],[Hora Inicio]])*24)</f>
        <v>0.40888888895278797</v>
      </c>
      <c r="S35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58" s="109" t="str">
        <f>IF(AND(TAB_HISTORICO_MANUT[[#This Row],[EXPURGO Mãe]]="SIM",TAB_HISTORICO_MANUT[[#This Row],[Tipo]]="MÃE"),"EXP.MAE",IF(TAB_HISTORICO_MANUT[[#This Row],[EXPURGO Mãe]]="NÃO","NÃO EXP.MAE",T357))</f>
        <v>NÃO EXP.MAE</v>
      </c>
      <c r="U35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58" s="110">
        <f>IF(TAB_HISTORICO_MANUT[[#This Row],[EXPURGO Filhas]]="SIM",MAX(TAB_HISTORICO_MANUT[[#This Row],[Hora Final]]-TAB_HISTORICO_MANUT[[#This Row],[Hora Inicio]],0),0)</f>
        <v>0</v>
      </c>
      <c r="W35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5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58" s="46">
        <v>46102.197106481479</v>
      </c>
      <c r="Z358" s="47">
        <v>46102.214143518519</v>
      </c>
      <c r="AA358" s="48" t="s">
        <v>232</v>
      </c>
      <c r="AB358" s="48" t="s">
        <v>741</v>
      </c>
      <c r="AC358" s="43" t="s">
        <v>204</v>
      </c>
      <c r="AD358" s="46" t="s">
        <v>144</v>
      </c>
      <c r="AE358" s="46" t="s">
        <v>172</v>
      </c>
      <c r="AF358" s="88" t="s">
        <v>210</v>
      </c>
      <c r="AG358" s="105">
        <f>IF(TAB_HISTORICO_MANUT[[#This Row],[Hora Inicio]]="","",MONTH(TAB_HISTORICO_MANUT[[#This Row],[Hora Inicio]]))</f>
        <v>3</v>
      </c>
      <c r="AH358" s="58" t="s">
        <v>752</v>
      </c>
      <c r="AI358" s="43" t="s">
        <v>24</v>
      </c>
      <c r="AJ358" s="43" t="s">
        <v>423</v>
      </c>
      <c r="AK358" s="43" t="s">
        <v>422</v>
      </c>
      <c r="AL358" s="43" t="s">
        <v>279</v>
      </c>
      <c r="AM358" s="114" t="s">
        <v>280</v>
      </c>
      <c r="AN358" s="43" t="s">
        <v>217</v>
      </c>
      <c r="AO358" s="43" t="s">
        <v>405</v>
      </c>
      <c r="AP358" s="43" t="s">
        <v>403</v>
      </c>
    </row>
    <row r="359" spans="1:42" ht="50.1" customHeight="1" x14ac:dyDescent="0.25">
      <c r="A359" s="43">
        <f>MONTH(TAB_HISTORICO_MANUT[[#This Row],[Hora Final]])-MONTH(TAB_HISTORICO_MANUT[[#This Row],[Hora Inicio]])</f>
        <v>0</v>
      </c>
      <c r="B359" s="42"/>
      <c r="C359" s="43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Inicio]]=Z358,TAB_HISTORICO_MANUT[[#This Row],[Equipamento]]=AA358,TAB_HISTORICO_MANUT[[#This Row],[Descricao Despacho]]=AD358),0,1)))</f>
        <v>1</v>
      </c>
      <c r="O35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35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5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59" s="107">
        <f>IF($Q359="","",(TAB_HISTORICO_MANUT[[#This Row],[Hora Final]]-TAB_HISTORICO_MANUT[[#This Row],[Hora Inicio]])*24)</f>
        <v>0.3627777777146548</v>
      </c>
      <c r="S35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59" s="109" t="str">
        <f>IF(AND(TAB_HISTORICO_MANUT[[#This Row],[EXPURGO Mãe]]="SIM",TAB_HISTORICO_MANUT[[#This Row],[Tipo]]="MÃE"),"EXP.MAE",IF(TAB_HISTORICO_MANUT[[#This Row],[EXPURGO Mãe]]="NÃO","NÃO EXP.MAE",T358))</f>
        <v>NÃO EXP.MAE</v>
      </c>
      <c r="U35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59" s="110">
        <f>IF(TAB_HISTORICO_MANUT[[#This Row],[EXPURGO Filhas]]="SIM",MAX(TAB_HISTORICO_MANUT[[#This Row],[Hora Final]]-TAB_HISTORICO_MANUT[[#This Row],[Hora Inicio]],0),0)</f>
        <v>0</v>
      </c>
      <c r="W35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5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59" s="46">
        <v>46104.676574074074</v>
      </c>
      <c r="Z359" s="47">
        <v>46104.691689814812</v>
      </c>
      <c r="AA359" s="48" t="s">
        <v>232</v>
      </c>
      <c r="AB359" s="48" t="s">
        <v>240</v>
      </c>
      <c r="AC359" s="43" t="s">
        <v>204</v>
      </c>
      <c r="AD359" s="46" t="s">
        <v>144</v>
      </c>
      <c r="AE359" s="46" t="s">
        <v>172</v>
      </c>
      <c r="AF359" s="88" t="s">
        <v>210</v>
      </c>
      <c r="AG359" s="105">
        <f>IF(TAB_HISTORICO_MANUT[[#This Row],[Hora Inicio]]="","",MONTH(TAB_HISTORICO_MANUT[[#This Row],[Hora Inicio]]))</f>
        <v>3</v>
      </c>
      <c r="AH359" s="58" t="s">
        <v>801</v>
      </c>
      <c r="AI359" s="43" t="s">
        <v>22</v>
      </c>
      <c r="AJ359" s="43" t="s">
        <v>284</v>
      </c>
      <c r="AK359" s="43" t="s">
        <v>284</v>
      </c>
      <c r="AL359" s="43" t="s">
        <v>334</v>
      </c>
      <c r="AM359" s="114"/>
      <c r="AN359" s="43" t="s">
        <v>215</v>
      </c>
      <c r="AO359" s="43" t="s">
        <v>224</v>
      </c>
      <c r="AP359" s="43" t="s">
        <v>225</v>
      </c>
    </row>
    <row r="360" spans="1:42" ht="50.1" customHeight="1" x14ac:dyDescent="0.25">
      <c r="A360" s="43">
        <f>MONTH(TAB_HISTORICO_MANUT[[#This Row],[Hora Final]])-MONTH(TAB_HISTORICO_MANUT[[#This Row],[Hora Inicio]])</f>
        <v>0</v>
      </c>
      <c r="B360" s="42"/>
      <c r="C360" s="43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Inicio]]=Z359,TAB_HISTORICO_MANUT[[#This Row],[Equipamento]]=AA359,TAB_HISTORICO_MANUT[[#This Row],[Descricao Despacho]]=AD359),0,1)))</f>
        <v>1</v>
      </c>
      <c r="O36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36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6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60" s="107">
        <f>IF($Q360="","",(TAB_HISTORICO_MANUT[[#This Row],[Hora Final]]-TAB_HISTORICO_MANUT[[#This Row],[Hora Inicio]])*24)</f>
        <v>3.1630555556039326</v>
      </c>
      <c r="S36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60" s="109" t="str">
        <f>IF(AND(TAB_HISTORICO_MANUT[[#This Row],[EXPURGO Mãe]]="SIM",TAB_HISTORICO_MANUT[[#This Row],[Tipo]]="MÃE"),"EXP.MAE",IF(TAB_HISTORICO_MANUT[[#This Row],[EXPURGO Mãe]]="NÃO","NÃO EXP.MAE",T359))</f>
        <v>NÃO EXP.MAE</v>
      </c>
      <c r="U36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60" s="110">
        <f>IF(TAB_HISTORICO_MANUT[[#This Row],[EXPURGO Filhas]]="SIM",MAX(TAB_HISTORICO_MANUT[[#This Row],[Hora Final]]-TAB_HISTORICO_MANUT[[#This Row],[Hora Inicio]],0),0)</f>
        <v>0</v>
      </c>
      <c r="W36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6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60" s="46">
        <v>46104.706238425926</v>
      </c>
      <c r="Z360" s="47">
        <v>46104.83803240741</v>
      </c>
      <c r="AA360" s="48" t="s">
        <v>232</v>
      </c>
      <c r="AB360" s="48" t="s">
        <v>240</v>
      </c>
      <c r="AC360" s="43" t="s">
        <v>204</v>
      </c>
      <c r="AD360" s="46" t="s">
        <v>144</v>
      </c>
      <c r="AE360" s="46" t="s">
        <v>172</v>
      </c>
      <c r="AF360" s="88" t="s">
        <v>210</v>
      </c>
      <c r="AG360" s="105">
        <f>IF(TAB_HISTORICO_MANUT[[#This Row],[Hora Inicio]]="","",MONTH(TAB_HISTORICO_MANUT[[#This Row],[Hora Inicio]]))</f>
        <v>3</v>
      </c>
      <c r="AH360" s="58" t="s">
        <v>802</v>
      </c>
      <c r="AI360" s="43" t="s">
        <v>23</v>
      </c>
      <c r="AJ360" s="43" t="s">
        <v>277</v>
      </c>
      <c r="AK360" s="43" t="s">
        <v>331</v>
      </c>
      <c r="AL360" s="43" t="s">
        <v>333</v>
      </c>
      <c r="AM360" s="114" t="s">
        <v>276</v>
      </c>
      <c r="AN360" s="43" t="s">
        <v>217</v>
      </c>
      <c r="AO360" s="43" t="s">
        <v>405</v>
      </c>
      <c r="AP360" s="43" t="s">
        <v>403</v>
      </c>
    </row>
    <row r="361" spans="1:42" ht="50.1" customHeight="1" x14ac:dyDescent="0.25">
      <c r="A361" s="115">
        <f>MONTH(TAB_HISTORICO_MANUT[[#This Row],[Hora Final]])-MONTH(TAB_HISTORICO_MANUT[[#This Row],[Hora Inicio]])</f>
        <v>0</v>
      </c>
      <c r="B361" s="116"/>
      <c r="C361" s="115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Inicio]]=Z360,TAB_HISTORICO_MANUT[[#This Row],[Equipamento]]=AA360,TAB_HISTORICO_MANUT[[#This Row],[Descricao Despacho]]=AD360),0,1)))</f>
        <v/>
      </c>
      <c r="O36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61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6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61" s="107" t="str">
        <f>IF($Q361="","",(TAB_HISTORICO_MANUT[[#This Row],[Hora Final]]-TAB_HISTORICO_MANUT[[#This Row],[Hora Inicio]])*24)</f>
        <v/>
      </c>
      <c r="S36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61" s="109" t="str">
        <f>IF(AND(TAB_HISTORICO_MANUT[[#This Row],[EXPURGO Mãe]]="SIM",TAB_HISTORICO_MANUT[[#This Row],[Tipo]]="MÃE"),"EXP.MAE",IF(TAB_HISTORICO_MANUT[[#This Row],[EXPURGO Mãe]]="NÃO","NÃO EXP.MAE",T360))</f>
        <v>NÃO EXP.MAE</v>
      </c>
      <c r="U36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61" s="110">
        <f>IF(TAB_HISTORICO_MANUT[[#This Row],[EXPURGO Filhas]]="SIM",MAX(TAB_HISTORICO_MANUT[[#This Row],[Hora Final]]-TAB_HISTORICO_MANUT[[#This Row],[Hora Inicio]],0),0)</f>
        <v>2.0833333328482695E-2</v>
      </c>
      <c r="W36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6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61" s="117">
        <v>46104.708333333336</v>
      </c>
      <c r="Z361" s="118">
        <v>46104.729166666664</v>
      </c>
      <c r="AA361" s="119" t="s">
        <v>232</v>
      </c>
      <c r="AB361" s="119" t="s">
        <v>240</v>
      </c>
      <c r="AC361" s="115" t="s">
        <v>204</v>
      </c>
      <c r="AD361" s="117" t="s">
        <v>144</v>
      </c>
      <c r="AE361" s="117" t="s">
        <v>772</v>
      </c>
      <c r="AF361" s="88" t="s">
        <v>767</v>
      </c>
      <c r="AG361" s="105">
        <f>IF(TAB_HISTORICO_MANUT[[#This Row],[Hora Inicio]]="","",MONTH(TAB_HISTORICO_MANUT[[#This Row],[Hora Inicio]]))</f>
        <v>3</v>
      </c>
      <c r="AH361" s="58" t="s">
        <v>802</v>
      </c>
      <c r="AI361" s="43" t="s">
        <v>23</v>
      </c>
      <c r="AJ361" s="43" t="s">
        <v>277</v>
      </c>
      <c r="AK361" s="115" t="s">
        <v>331</v>
      </c>
      <c r="AL361" s="115" t="s">
        <v>333</v>
      </c>
      <c r="AM361" s="121" t="s">
        <v>276</v>
      </c>
      <c r="AN361" s="115" t="s">
        <v>217</v>
      </c>
      <c r="AO361" s="115" t="s">
        <v>405</v>
      </c>
      <c r="AP361" s="115" t="s">
        <v>403</v>
      </c>
    </row>
    <row r="362" spans="1:42" ht="50.1" customHeight="1" x14ac:dyDescent="0.25">
      <c r="A362" s="115">
        <f>MONTH(TAB_HISTORICO_MANUT[[#This Row],[Hora Final]])-MONTH(TAB_HISTORICO_MANUT[[#This Row],[Hora Inicio]])</f>
        <v>0</v>
      </c>
      <c r="B362" s="116"/>
      <c r="C362" s="115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Inicio]]=Z361,TAB_HISTORICO_MANUT[[#This Row],[Equipamento]]=AA361,TAB_HISTORICO_MANUT[[#This Row],[Descricao Despacho]]=AD361),0,1)))</f>
        <v>1</v>
      </c>
      <c r="O36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36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36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362" s="107">
        <f>IF($Q362="","",(TAB_HISTORICO_MANUT[[#This Row],[Hora Final]]-TAB_HISTORICO_MANUT[[#This Row],[Hora Inicio]])*24)</f>
        <v>1.7941666666301899</v>
      </c>
      <c r="S36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62" s="109" t="str">
        <f>IF(AND(TAB_HISTORICO_MANUT[[#This Row],[EXPURGO Mãe]]="SIM",TAB_HISTORICO_MANUT[[#This Row],[Tipo]]="MÃE"),"EXP.MAE",IF(TAB_HISTORICO_MANUT[[#This Row],[EXPURGO Mãe]]="NÃO","NÃO EXP.MAE",T361))</f>
        <v>NÃO EXP.MAE</v>
      </c>
      <c r="U36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62" s="110">
        <f>IF(TAB_HISTORICO_MANUT[[#This Row],[EXPURGO Filhas]]="SIM",MAX(TAB_HISTORICO_MANUT[[#This Row],[Hora Final]]-TAB_HISTORICO_MANUT[[#This Row],[Hora Inicio]],0),0)</f>
        <v>0</v>
      </c>
      <c r="W36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6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62" s="117">
        <v>46104.83803240741</v>
      </c>
      <c r="Z362" s="118">
        <v>46104.912789351853</v>
      </c>
      <c r="AA362" s="119" t="s">
        <v>232</v>
      </c>
      <c r="AB362" s="119"/>
      <c r="AC362" s="115" t="s">
        <v>301</v>
      </c>
      <c r="AD362" s="117" t="s">
        <v>146</v>
      </c>
      <c r="AE362" s="117" t="s">
        <v>310</v>
      </c>
      <c r="AF362" s="88" t="s">
        <v>210</v>
      </c>
      <c r="AG362" s="105">
        <f>IF(TAB_HISTORICO_MANUT[[#This Row],[Hora Inicio]]="","",MONTH(TAB_HISTORICO_MANUT[[#This Row],[Hora Inicio]]))</f>
        <v>3</v>
      </c>
      <c r="AH362" s="58" t="s">
        <v>818</v>
      </c>
      <c r="AI362" s="43" t="s">
        <v>340</v>
      </c>
      <c r="AJ362" s="43" t="s">
        <v>436</v>
      </c>
      <c r="AK362" s="115"/>
      <c r="AL362" s="115"/>
      <c r="AM362" s="121"/>
      <c r="AN362" s="115"/>
      <c r="AO362" s="115"/>
      <c r="AP362" s="115"/>
    </row>
    <row r="363" spans="1:42" ht="50.1" customHeight="1" x14ac:dyDescent="0.25">
      <c r="A363" s="115">
        <f>MONTH(TAB_HISTORICO_MANUT[[#This Row],[Hora Final]])-MONTH(TAB_HISTORICO_MANUT[[#This Row],[Hora Inicio]])</f>
        <v>0</v>
      </c>
      <c r="B363" s="116"/>
      <c r="C363" s="115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Inicio]]=Z362,TAB_HISTORICO_MANUT[[#This Row],[Equipamento]]=AA362,TAB_HISTORICO_MANUT[[#This Row],[Descricao Despacho]]=AD362),0,1)))</f>
        <v>0</v>
      </c>
      <c r="O36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36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36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363" s="107">
        <f>IF($Q363="","",(TAB_HISTORICO_MANUT[[#This Row],[Hora Final]]-TAB_HISTORICO_MANUT[[#This Row],[Hora Inicio]])*24)</f>
        <v>1.7938888887874782</v>
      </c>
      <c r="S36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363" s="109" t="str">
        <f>IF(AND(TAB_HISTORICO_MANUT[[#This Row],[EXPURGO Mãe]]="SIM",TAB_HISTORICO_MANUT[[#This Row],[Tipo]]="MÃE"),"EXP.MAE",IF(TAB_HISTORICO_MANUT[[#This Row],[EXPURGO Mãe]]="NÃO","NÃO EXP.MAE",T362))</f>
        <v>EXP.MAE</v>
      </c>
      <c r="U36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63" s="110">
        <f>IF(TAB_HISTORICO_MANUT[[#This Row],[EXPURGO Filhas]]="SIM",MAX(TAB_HISTORICO_MANUT[[#This Row],[Hora Final]]-TAB_HISTORICO_MANUT[[#This Row],[Hora Inicio]],0),0)</f>
        <v>0</v>
      </c>
      <c r="W36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6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63" s="117">
        <v>46104.912789351853</v>
      </c>
      <c r="Z363" s="118">
        <v>46104.987534722219</v>
      </c>
      <c r="AA363" s="119" t="s">
        <v>232</v>
      </c>
      <c r="AB363" s="119"/>
      <c r="AC363" s="115" t="s">
        <v>362</v>
      </c>
      <c r="AD363" s="117" t="s">
        <v>146</v>
      </c>
      <c r="AE363" s="117" t="s">
        <v>175</v>
      </c>
      <c r="AF363" s="122" t="s">
        <v>210</v>
      </c>
      <c r="AG363" s="105">
        <f>IF(TAB_HISTORICO_MANUT[[#This Row],[Hora Inicio]]="","",MONTH(TAB_HISTORICO_MANUT[[#This Row],[Hora Inicio]]))</f>
        <v>3</v>
      </c>
      <c r="AH363" s="120" t="s">
        <v>818</v>
      </c>
      <c r="AI363" s="115" t="s">
        <v>340</v>
      </c>
      <c r="AJ363" s="115" t="s">
        <v>436</v>
      </c>
      <c r="AK363" s="115"/>
      <c r="AL363" s="115"/>
      <c r="AM363" s="121"/>
      <c r="AN363" s="115"/>
      <c r="AO363" s="115"/>
      <c r="AP363" s="115"/>
    </row>
    <row r="364" spans="1:42" ht="50.1" customHeight="1" x14ac:dyDescent="0.25">
      <c r="A364" s="43">
        <f>MONTH(TAB_HISTORICO_MANUT[[#This Row],[Hora Final]])-MONTH(TAB_HISTORICO_MANUT[[#This Row],[Hora Inicio]])</f>
        <v>0</v>
      </c>
      <c r="B364" s="42"/>
      <c r="C364" s="43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Inicio]]=Z363,TAB_HISTORICO_MANUT[[#This Row],[Equipamento]]=AA363,TAB_HISTORICO_MANUT[[#This Row],[Descricao Despacho]]=AD363),0,1)))</f>
        <v>0</v>
      </c>
      <c r="O36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364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36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364" s="50">
        <f>IF($Q364="","",(TAB_HISTORICO_MANUT[[#This Row],[Hora Final]]-TAB_HISTORICO_MANUT[[#This Row],[Hora Inicio]])*24)</f>
        <v>4.6941666668280959</v>
      </c>
      <c r="S36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64" s="54" t="str">
        <f>IF(AND(TAB_HISTORICO_MANUT[[#This Row],[EXPURGO Mãe]]="SIM",TAB_HISTORICO_MANUT[[#This Row],[Tipo]]="MÃE"),"EXP.MAE",IF(TAB_HISTORICO_MANUT[[#This Row],[EXPURGO Mãe]]="NÃO","NÃO EXP.MAE",T363))</f>
        <v>NÃO EXP.MAE</v>
      </c>
      <c r="U36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64" s="56">
        <f>IF(TAB_HISTORICO_MANUT[[#This Row],[EXPURGO Filhas]]="SIM",MAX(TAB_HISTORICO_MANUT[[#This Row],[Hora Final]]-TAB_HISTORICO_MANUT[[#This Row],[Hora Inicio]],0),0)</f>
        <v>0</v>
      </c>
      <c r="W36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6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64" s="46">
        <v>46104.987534722219</v>
      </c>
      <c r="Z364" s="47">
        <v>46105.183125000003</v>
      </c>
      <c r="AA364" s="48" t="s">
        <v>232</v>
      </c>
      <c r="AB364" s="48"/>
      <c r="AC364" s="43" t="s">
        <v>301</v>
      </c>
      <c r="AD364" s="46" t="s">
        <v>146</v>
      </c>
      <c r="AE364" s="46" t="s">
        <v>310</v>
      </c>
      <c r="AF364" s="88" t="s">
        <v>210</v>
      </c>
      <c r="AG364" s="105">
        <f>IF(TAB_HISTORICO_MANUT[[#This Row],[Hora Inicio]]="","",MONTH(TAB_HISTORICO_MANUT[[#This Row],[Hora Inicio]]))</f>
        <v>3</v>
      </c>
      <c r="AH364" s="58" t="s">
        <v>818</v>
      </c>
      <c r="AI364" s="43" t="s">
        <v>340</v>
      </c>
      <c r="AJ364" s="43" t="s">
        <v>436</v>
      </c>
      <c r="AK364" s="43"/>
      <c r="AL364" s="43"/>
      <c r="AM364" s="114"/>
      <c r="AN364" s="43"/>
      <c r="AO364" s="43"/>
      <c r="AP364" s="43"/>
    </row>
    <row r="365" spans="1:42" ht="50.1" customHeight="1" x14ac:dyDescent="0.25">
      <c r="A365" s="43">
        <f>MONTH(TAB_HISTORICO_MANUT[[#This Row],[Hora Final]])-MONTH(TAB_HISTORICO_MANUT[[#This Row],[Hora Inicio]])</f>
        <v>0</v>
      </c>
      <c r="B365" s="42"/>
      <c r="C365" s="43"/>
      <c r="D365" s="42"/>
      <c r="E365" s="42"/>
      <c r="F365" s="42"/>
      <c r="G365" s="42"/>
      <c r="H365" s="42"/>
      <c r="I365" s="42"/>
      <c r="J365" s="42"/>
      <c r="K365" s="42"/>
      <c r="L365" s="42"/>
      <c r="M365" s="42" t="s">
        <v>98</v>
      </c>
      <c r="N36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Inicio]]=Z364,TAB_HISTORICO_MANUT[[#This Row],[Equipamento]]=AA364,TAB_HISTORICO_MANUT[[#This Row],[Descricao Despacho]]=AD364),0,1)))</f>
        <v>1</v>
      </c>
      <c r="O36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HIDRAULICO</v>
      </c>
      <c r="P365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6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65" s="50">
        <f>IF($Q365="","",(TAB_HISTORICO_MANUT[[#This Row],[Hora Final]]-TAB_HISTORICO_MANUT[[#This Row],[Hora Inicio]])*24)</f>
        <v>0.96749999985331669</v>
      </c>
      <c r="S36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365" s="54" t="str">
        <f>IF(AND(TAB_HISTORICO_MANUT[[#This Row],[EXPURGO Mãe]]="SIM",TAB_HISTORICO_MANUT[[#This Row],[Tipo]]="MÃE"),"EXP.MAE",IF(TAB_HISTORICO_MANUT[[#This Row],[EXPURGO Mãe]]="NÃO","NÃO EXP.MAE",T364))</f>
        <v>EXP.MAE</v>
      </c>
      <c r="U36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65" s="56">
        <f>IF(TAB_HISTORICO_MANUT[[#This Row],[EXPURGO Filhas]]="SIM",MAX(TAB_HISTORICO_MANUT[[#This Row],[Hora Final]]-TAB_HISTORICO_MANUT[[#This Row],[Hora Inicio]],0),0)</f>
        <v>0</v>
      </c>
      <c r="W36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6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65" s="46">
        <v>46105.394872685189</v>
      </c>
      <c r="Z365" s="47">
        <v>46105.435185185182</v>
      </c>
      <c r="AA365" s="48" t="s">
        <v>232</v>
      </c>
      <c r="AB365" s="48" t="s">
        <v>789</v>
      </c>
      <c r="AC365" s="43" t="s">
        <v>204</v>
      </c>
      <c r="AD365" s="46" t="s">
        <v>144</v>
      </c>
      <c r="AE365" s="46" t="s">
        <v>172</v>
      </c>
      <c r="AF365" s="122" t="s">
        <v>210</v>
      </c>
      <c r="AG365" s="105">
        <f>IF(TAB_HISTORICO_MANUT[[#This Row],[Hora Inicio]]="","",MONTH(TAB_HISTORICO_MANUT[[#This Row],[Hora Inicio]]))</f>
        <v>3</v>
      </c>
      <c r="AH365" s="58" t="s">
        <v>805</v>
      </c>
      <c r="AI365" s="43" t="s">
        <v>149</v>
      </c>
      <c r="AJ365" s="43" t="s">
        <v>423</v>
      </c>
      <c r="AK365" s="43" t="s">
        <v>422</v>
      </c>
      <c r="AL365" s="43" t="s">
        <v>279</v>
      </c>
      <c r="AM365" s="43" t="s">
        <v>276</v>
      </c>
      <c r="AN365" s="43" t="s">
        <v>217</v>
      </c>
      <c r="AO365" s="43" t="s">
        <v>405</v>
      </c>
      <c r="AP365" s="43" t="s">
        <v>403</v>
      </c>
    </row>
    <row r="366" spans="1:42" ht="50.1" customHeight="1" x14ac:dyDescent="0.25">
      <c r="A366" s="43">
        <f>MONTH(TAB_HISTORICO_MANUT[[#This Row],[Hora Final]])-MONTH(TAB_HISTORICO_MANUT[[#This Row],[Hora Inicio]])</f>
        <v>0</v>
      </c>
      <c r="B366" s="42"/>
      <c r="C366" s="43"/>
      <c r="D366" s="42"/>
      <c r="E366" s="42"/>
      <c r="F366" s="42"/>
      <c r="G366" s="42"/>
      <c r="H366" s="42"/>
      <c r="I366" s="42"/>
      <c r="J366" s="42"/>
      <c r="K366" s="42"/>
      <c r="L366" s="42"/>
      <c r="M366" s="42" t="s">
        <v>98</v>
      </c>
      <c r="N36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Inicio]]=Z365,TAB_HISTORICO_MANUT[[#This Row],[Equipamento]]=AA365,TAB_HISTORICO_MANUT[[#This Row],[Descricao Despacho]]=AD365),0,1)))</f>
        <v>1</v>
      </c>
      <c r="O36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36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6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66" s="50">
        <f>IF($Q366="","",(TAB_HISTORICO_MANUT[[#This Row],[Hora Final]]-TAB_HISTORICO_MANUT[[#This Row],[Hora Inicio]])*24)</f>
        <v>9.9775000000954606</v>
      </c>
      <c r="S36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366" s="54" t="str">
        <f>IF(AND(TAB_HISTORICO_MANUT[[#This Row],[EXPURGO Mãe]]="SIM",TAB_HISTORICO_MANUT[[#This Row],[Tipo]]="MÃE"),"EXP.MAE",IF(TAB_HISTORICO_MANUT[[#This Row],[EXPURGO Mãe]]="NÃO","NÃO EXP.MAE",T365))</f>
        <v>EXP.MAE</v>
      </c>
      <c r="U36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66" s="56">
        <f>IF(TAB_HISTORICO_MANUT[[#This Row],[EXPURGO Filhas]]="SIM",MAX(TAB_HISTORICO_MANUT[[#This Row],[Hora Final]]-TAB_HISTORICO_MANUT[[#This Row],[Hora Inicio]],0),0)</f>
        <v>0</v>
      </c>
      <c r="W36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6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66" s="46">
        <v>46105.641805555555</v>
      </c>
      <c r="Z366" s="47">
        <v>46106.057534722226</v>
      </c>
      <c r="AA366" s="48" t="s">
        <v>232</v>
      </c>
      <c r="AB366" s="48" t="s">
        <v>790</v>
      </c>
      <c r="AC366" s="43" t="s">
        <v>204</v>
      </c>
      <c r="AD366" s="46" t="s">
        <v>144</v>
      </c>
      <c r="AE366" s="46" t="s">
        <v>172</v>
      </c>
      <c r="AF366" s="122" t="s">
        <v>210</v>
      </c>
      <c r="AG366" s="105">
        <f>IF(TAB_HISTORICO_MANUT[[#This Row],[Hora Inicio]]="","",MONTH(TAB_HISTORICO_MANUT[[#This Row],[Hora Inicio]]))</f>
        <v>3</v>
      </c>
      <c r="AH366" s="58" t="s">
        <v>806</v>
      </c>
      <c r="AI366" s="43" t="s">
        <v>22</v>
      </c>
      <c r="AJ366" s="43" t="s">
        <v>61</v>
      </c>
      <c r="AK366" s="43" t="s">
        <v>667</v>
      </c>
      <c r="AL366" s="43" t="s">
        <v>275</v>
      </c>
      <c r="AM366" s="114" t="s">
        <v>276</v>
      </c>
      <c r="AN366" s="43" t="s">
        <v>217</v>
      </c>
      <c r="AO366" s="43" t="s">
        <v>405</v>
      </c>
      <c r="AP366" s="43" t="s">
        <v>795</v>
      </c>
    </row>
    <row r="367" spans="1:42" ht="50.1" customHeight="1" x14ac:dyDescent="0.25">
      <c r="A367" s="43">
        <f>MONTH(TAB_HISTORICO_MANUT[[#This Row],[Hora Final]])-MONTH(TAB_HISTORICO_MANUT[[#This Row],[Hora Inicio]])</f>
        <v>0</v>
      </c>
      <c r="B367" s="42"/>
      <c r="C367" s="43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Inicio]]=Z366,TAB_HISTORICO_MANUT[[#This Row],[Equipamento]]=AA366,TAB_HISTORICO_MANUT[[#This Row],[Descricao Despacho]]=AD366),0,1)))</f>
        <v>1</v>
      </c>
      <c r="O36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367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6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67" s="50">
        <f>IF($Q367="","",(TAB_HISTORICO_MANUT[[#This Row],[Hora Final]]-TAB_HISTORICO_MANUT[[#This Row],[Hora Inicio]])*24)</f>
        <v>15.263888888934162</v>
      </c>
      <c r="S36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67" s="54" t="str">
        <f>IF(AND(TAB_HISTORICO_MANUT[[#This Row],[EXPURGO Mãe]]="SIM",TAB_HISTORICO_MANUT[[#This Row],[Tipo]]="MÃE"),"EXP.MAE",IF(TAB_HISTORICO_MANUT[[#This Row],[EXPURGO Mãe]]="NÃO","NÃO EXP.MAE",T366))</f>
        <v>NÃO EXP.MAE</v>
      </c>
      <c r="U36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67" s="56">
        <f>IF(TAB_HISTORICO_MANUT[[#This Row],[EXPURGO Filhas]]="SIM",MAX(TAB_HISTORICO_MANUT[[#This Row],[Hora Final]]-TAB_HISTORICO_MANUT[[#This Row],[Hora Inicio]],0),0)</f>
        <v>0</v>
      </c>
      <c r="W36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6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67" s="46">
        <v>46106.535300925927</v>
      </c>
      <c r="Z367" s="47">
        <v>46107.171296296299</v>
      </c>
      <c r="AA367" s="48" t="s">
        <v>232</v>
      </c>
      <c r="AB367" s="48"/>
      <c r="AC367" s="43" t="s">
        <v>204</v>
      </c>
      <c r="AD367" s="46" t="s">
        <v>144</v>
      </c>
      <c r="AE367" s="46" t="s">
        <v>172</v>
      </c>
      <c r="AF367" s="88" t="s">
        <v>210</v>
      </c>
      <c r="AG367" s="105">
        <f>IF(TAB_HISTORICO_MANUT[[#This Row],[Hora Inicio]]="","",MONTH(TAB_HISTORICO_MANUT[[#This Row],[Hora Inicio]]))</f>
        <v>3</v>
      </c>
      <c r="AH367" s="58" t="s">
        <v>808</v>
      </c>
      <c r="AI367" s="43" t="s">
        <v>23</v>
      </c>
      <c r="AJ367" s="43" t="s">
        <v>815</v>
      </c>
      <c r="AK367" s="43" t="s">
        <v>816</v>
      </c>
      <c r="AL367" s="43" t="s">
        <v>275</v>
      </c>
      <c r="AM367" s="114" t="s">
        <v>276</v>
      </c>
      <c r="AN367" s="43" t="s">
        <v>217</v>
      </c>
      <c r="AO367" s="43" t="s">
        <v>811</v>
      </c>
      <c r="AP367" s="43" t="s">
        <v>796</v>
      </c>
    </row>
    <row r="368" spans="1:42" ht="50.1" customHeight="1" x14ac:dyDescent="0.25">
      <c r="A368" s="43">
        <f>MONTH(TAB_HISTORICO_MANUT[[#This Row],[Hora Final]])-MONTH(TAB_HISTORICO_MANUT[[#This Row],[Hora Inicio]])</f>
        <v>0</v>
      </c>
      <c r="B368" s="42"/>
      <c r="C368" s="43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Inicio]]=Z367,TAB_HISTORICO_MANUT[[#This Row],[Equipamento]]=AA367,TAB_HISTORICO_MANUT[[#This Row],[Descricao Despacho]]=AD367),0,1)))</f>
        <v/>
      </c>
      <c r="O36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68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6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68" s="50" t="str">
        <f>IF($Q368="","",(TAB_HISTORICO_MANUT[[#This Row],[Hora Final]]-TAB_HISTORICO_MANUT[[#This Row],[Hora Inicio]])*24)</f>
        <v/>
      </c>
      <c r="S36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68" s="54" t="str">
        <f>IF(AND(TAB_HISTORICO_MANUT[[#This Row],[EXPURGO Mãe]]="SIM",TAB_HISTORICO_MANUT[[#This Row],[Tipo]]="MÃE"),"EXP.MAE",IF(TAB_HISTORICO_MANUT[[#This Row],[EXPURGO Mãe]]="NÃO","NÃO EXP.MAE",T367))</f>
        <v>NÃO EXP.MAE</v>
      </c>
      <c r="U36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68" s="56">
        <f>IF(TAB_HISTORICO_MANUT[[#This Row],[EXPURGO Filhas]]="SIM",MAX(TAB_HISTORICO_MANUT[[#This Row],[Hora Final]]-TAB_HISTORICO_MANUT[[#This Row],[Hora Inicio]],0),0)</f>
        <v>2.7083333334303461E-2</v>
      </c>
      <c r="W36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6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68" s="46">
        <v>46106.618055555555</v>
      </c>
      <c r="Z368" s="47">
        <v>46106.645138888889</v>
      </c>
      <c r="AA368" s="48" t="s">
        <v>232</v>
      </c>
      <c r="AB368" s="48"/>
      <c r="AC368" s="43" t="s">
        <v>204</v>
      </c>
      <c r="AD368" s="46" t="s">
        <v>144</v>
      </c>
      <c r="AE368" s="46" t="s">
        <v>772</v>
      </c>
      <c r="AF368" s="88" t="s">
        <v>767</v>
      </c>
      <c r="AG368" s="105">
        <f>IF(TAB_HISTORICO_MANUT[[#This Row],[Hora Inicio]]="","",MONTH(TAB_HISTORICO_MANUT[[#This Row],[Hora Inicio]]))</f>
        <v>3</v>
      </c>
      <c r="AH368" s="58" t="s">
        <v>808</v>
      </c>
      <c r="AI368" s="43" t="s">
        <v>23</v>
      </c>
      <c r="AJ368" s="43" t="s">
        <v>815</v>
      </c>
      <c r="AK368" s="43" t="s">
        <v>816</v>
      </c>
      <c r="AL368" s="43" t="s">
        <v>275</v>
      </c>
      <c r="AM368" s="114" t="s">
        <v>276</v>
      </c>
      <c r="AN368" s="43" t="s">
        <v>217</v>
      </c>
      <c r="AO368" s="43" t="s">
        <v>811</v>
      </c>
      <c r="AP368" s="43" t="s">
        <v>796</v>
      </c>
    </row>
    <row r="369" spans="1:42" ht="50.1" customHeight="1" x14ac:dyDescent="0.25">
      <c r="A369" s="115">
        <f>MONTH(TAB_HISTORICO_MANUT[[#This Row],[Hora Final]])-MONTH(TAB_HISTORICO_MANUT[[#This Row],[Hora Inicio]])</f>
        <v>0</v>
      </c>
      <c r="B369" s="116"/>
      <c r="C369" s="115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 t="s">
        <v>99</v>
      </c>
      <c r="N369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Inicio]]=Z368,TAB_HISTORICO_MANUT[[#This Row],[Equipamento]]=AA368,TAB_HISTORICO_MANUT[[#This Row],[Descricao Despacho]]=AD368),0,1)))</f>
        <v/>
      </c>
      <c r="O36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69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6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69" s="107" t="str">
        <f>IF($Q369="","",(TAB_HISTORICO_MANUT[[#This Row],[Hora Final]]-TAB_HISTORICO_MANUT[[#This Row],[Hora Inicio]])*24)</f>
        <v/>
      </c>
      <c r="S36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69" s="54" t="str">
        <f>IF(AND(TAB_HISTORICO_MANUT[[#This Row],[EXPURGO Mãe]]="SIM",TAB_HISTORICO_MANUT[[#This Row],[Tipo]]="MÃE"),"EXP.MAE",IF(TAB_HISTORICO_MANUT[[#This Row],[EXPURGO Mãe]]="NÃO","NÃO EXP.MAE",T368))</f>
        <v>NÃO EXP.MAE</v>
      </c>
      <c r="U36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69" s="110">
        <f>IF(TAB_HISTORICO_MANUT[[#This Row],[EXPURGO Filhas]]="SIM",MAX(TAB_HISTORICO_MANUT[[#This Row],[Hora Final]]-TAB_HISTORICO_MANUT[[#This Row],[Hora Inicio]],0),0)</f>
        <v>0</v>
      </c>
      <c r="W36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6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69" s="117">
        <v>46106.645138888889</v>
      </c>
      <c r="Z369" s="118">
        <v>46106.686805555553</v>
      </c>
      <c r="AA369" s="119" t="s">
        <v>232</v>
      </c>
      <c r="AB369" s="119"/>
      <c r="AC369" s="115" t="s">
        <v>204</v>
      </c>
      <c r="AD369" s="117" t="s">
        <v>144</v>
      </c>
      <c r="AE369" s="117" t="s">
        <v>233</v>
      </c>
      <c r="AF369" s="122" t="s">
        <v>767</v>
      </c>
      <c r="AG369" s="105">
        <f>IF(TAB_HISTORICO_MANUT[[#This Row],[Hora Inicio]]="","",MONTH(TAB_HISTORICO_MANUT[[#This Row],[Hora Inicio]]))</f>
        <v>3</v>
      </c>
      <c r="AH369" s="120" t="s">
        <v>808</v>
      </c>
      <c r="AI369" s="115" t="s">
        <v>23</v>
      </c>
      <c r="AJ369" s="115" t="s">
        <v>815</v>
      </c>
      <c r="AK369" s="115" t="s">
        <v>816</v>
      </c>
      <c r="AL369" s="115" t="s">
        <v>275</v>
      </c>
      <c r="AM369" s="121" t="s">
        <v>276</v>
      </c>
      <c r="AN369" s="115" t="s">
        <v>217</v>
      </c>
      <c r="AO369" s="115" t="s">
        <v>811</v>
      </c>
      <c r="AP369" s="115" t="s">
        <v>796</v>
      </c>
    </row>
    <row r="370" spans="1:42" ht="50.1" customHeight="1" x14ac:dyDescent="0.25">
      <c r="A370" s="43">
        <f>MONTH(TAB_HISTORICO_MANUT[[#This Row],[Hora Final]])-MONTH(TAB_HISTORICO_MANUT[[#This Row],[Hora Inicio]])</f>
        <v>0</v>
      </c>
      <c r="B370" s="42"/>
      <c r="C370" s="43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Inicio]]=Z369,TAB_HISTORICO_MANUT[[#This Row],[Equipamento]]=AA369,TAB_HISTORICO_MANUT[[#This Row],[Descricao Despacho]]=AD369),0,1)))</f>
        <v/>
      </c>
      <c r="O37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70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7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70" s="50" t="str">
        <f>IF($Q370="","",(TAB_HISTORICO_MANUT[[#This Row],[Hora Final]]-TAB_HISTORICO_MANUT[[#This Row],[Hora Inicio]])*24)</f>
        <v/>
      </c>
      <c r="S37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70" s="54" t="str">
        <f>IF(AND(TAB_HISTORICO_MANUT[[#This Row],[EXPURGO Mãe]]="SIM",TAB_HISTORICO_MANUT[[#This Row],[Tipo]]="MÃE"),"EXP.MAE",IF(TAB_HISTORICO_MANUT[[#This Row],[EXPURGO Mãe]]="NÃO","NÃO EXP.MAE",T369))</f>
        <v>NÃO EXP.MAE</v>
      </c>
      <c r="U37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70" s="56">
        <f>IF(TAB_HISTORICO_MANUT[[#This Row],[EXPURGO Filhas]]="SIM",MAX(TAB_HISTORICO_MANUT[[#This Row],[Hora Final]]-TAB_HISTORICO_MANUT[[#This Row],[Hora Inicio]],0),0)</f>
        <v>6.9444444452528842E-3</v>
      </c>
      <c r="W37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7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70" s="46">
        <v>46106.686805555553</v>
      </c>
      <c r="Z370" s="47">
        <v>46106.693749999999</v>
      </c>
      <c r="AA370" s="48" t="s">
        <v>232</v>
      </c>
      <c r="AB370" s="48"/>
      <c r="AC370" s="43" t="s">
        <v>204</v>
      </c>
      <c r="AD370" s="46" t="s">
        <v>144</v>
      </c>
      <c r="AE370" s="46" t="s">
        <v>233</v>
      </c>
      <c r="AF370" s="122" t="s">
        <v>767</v>
      </c>
      <c r="AG370" s="105">
        <f>IF(TAB_HISTORICO_MANUT[[#This Row],[Hora Inicio]]="","",MONTH(TAB_HISTORICO_MANUT[[#This Row],[Hora Inicio]]))</f>
        <v>3</v>
      </c>
      <c r="AH370" s="58" t="s">
        <v>808</v>
      </c>
      <c r="AI370" s="43" t="s">
        <v>23</v>
      </c>
      <c r="AJ370" s="43" t="s">
        <v>815</v>
      </c>
      <c r="AK370" s="43" t="s">
        <v>816</v>
      </c>
      <c r="AL370" s="43" t="s">
        <v>275</v>
      </c>
      <c r="AM370" s="114" t="s">
        <v>276</v>
      </c>
      <c r="AN370" s="43" t="s">
        <v>217</v>
      </c>
      <c r="AO370" s="43" t="s">
        <v>811</v>
      </c>
      <c r="AP370" s="43" t="s">
        <v>796</v>
      </c>
    </row>
    <row r="371" spans="1:42" ht="50.1" customHeight="1" x14ac:dyDescent="0.25">
      <c r="A371" s="43">
        <f>MONTH(TAB_HISTORICO_MANUT[[#This Row],[Hora Final]])-MONTH(TAB_HISTORICO_MANUT[[#This Row],[Hora Inicio]])</f>
        <v>0</v>
      </c>
      <c r="B371" s="42"/>
      <c r="C371" s="43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Inicio]]=Z370,TAB_HISTORICO_MANUT[[#This Row],[Equipamento]]=AA370,TAB_HISTORICO_MANUT[[#This Row],[Descricao Despacho]]=AD370),0,1)))</f>
        <v>1</v>
      </c>
      <c r="O37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371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7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71" s="50">
        <f>IF($Q371="","",(TAB_HISTORICO_MANUT[[#This Row],[Hora Final]]-TAB_HISTORICO_MANUT[[#This Row],[Hora Inicio]])*24)</f>
        <v>4.7433333332883194</v>
      </c>
      <c r="S37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71" s="54" t="str">
        <f>IF(AND(TAB_HISTORICO_MANUT[[#This Row],[EXPURGO Mãe]]="SIM",TAB_HISTORICO_MANUT[[#This Row],[Tipo]]="MÃE"),"EXP.MAE",IF(TAB_HISTORICO_MANUT[[#This Row],[EXPURGO Mãe]]="NÃO","NÃO EXP.MAE",T370))</f>
        <v>NÃO EXP.MAE</v>
      </c>
      <c r="U37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71" s="56">
        <f>IF(TAB_HISTORICO_MANUT[[#This Row],[EXPURGO Filhas]]="SIM",MAX(TAB_HISTORICO_MANUT[[#This Row],[Hora Final]]-TAB_HISTORICO_MANUT[[#This Row],[Hora Inicio]],0),0)</f>
        <v>0</v>
      </c>
      <c r="W37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7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71" s="46">
        <v>46107.334999999999</v>
      </c>
      <c r="Z371" s="47">
        <v>46107.532638888886</v>
      </c>
      <c r="AA371" s="48" t="s">
        <v>232</v>
      </c>
      <c r="AB371" s="48" t="s">
        <v>792</v>
      </c>
      <c r="AC371" s="43" t="s">
        <v>204</v>
      </c>
      <c r="AD371" s="46" t="s">
        <v>144</v>
      </c>
      <c r="AE371" s="46" t="s">
        <v>172</v>
      </c>
      <c r="AF371" s="122" t="s">
        <v>210</v>
      </c>
      <c r="AG371" s="105">
        <f>IF(TAB_HISTORICO_MANUT[[#This Row],[Hora Inicio]]="","",MONTH(TAB_HISTORICO_MANUT[[#This Row],[Hora Inicio]]))</f>
        <v>3</v>
      </c>
      <c r="AH371" s="58" t="s">
        <v>809</v>
      </c>
      <c r="AI371" s="43" t="s">
        <v>22</v>
      </c>
      <c r="AJ371" s="43" t="s">
        <v>23</v>
      </c>
      <c r="AK371" s="43" t="s">
        <v>817</v>
      </c>
      <c r="AL371" s="43" t="s">
        <v>275</v>
      </c>
      <c r="AM371" s="114" t="s">
        <v>276</v>
      </c>
      <c r="AN371" s="43" t="s">
        <v>217</v>
      </c>
      <c r="AO371" s="43" t="s">
        <v>453</v>
      </c>
      <c r="AP371" s="43" t="s">
        <v>797</v>
      </c>
    </row>
    <row r="372" spans="1:42" ht="50.1" customHeight="1" x14ac:dyDescent="0.25">
      <c r="A372" s="43">
        <f>MONTH(TAB_HISTORICO_MANUT[[#This Row],[Hora Final]])-MONTH(TAB_HISTORICO_MANUT[[#This Row],[Hora Inicio]])</f>
        <v>0</v>
      </c>
      <c r="B372" s="42"/>
      <c r="C372" s="43"/>
      <c r="D372" s="42"/>
      <c r="E372" s="42"/>
      <c r="F372" s="42"/>
      <c r="G372" s="42"/>
      <c r="H372" s="42"/>
      <c r="I372" s="42"/>
      <c r="J372" s="42"/>
      <c r="K372" s="42"/>
      <c r="L372" s="42"/>
      <c r="M372" s="42" t="s">
        <v>98</v>
      </c>
      <c r="N37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Inicio]]=Z371,TAB_HISTORICO_MANUT[[#This Row],[Equipamento]]=AA371,TAB_HISTORICO_MANUT[[#This Row],[Descricao Despacho]]=AD371),0,1)))</f>
        <v>1</v>
      </c>
      <c r="O37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372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7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72" s="50">
        <f>IF($Q372="","",(TAB_HISTORICO_MANUT[[#This Row],[Hora Final]]-TAB_HISTORICO_MANUT[[#This Row],[Hora Inicio]])*24)</f>
        <v>4.5786111109773628</v>
      </c>
      <c r="S37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372" s="54" t="str">
        <f>IF(AND(TAB_HISTORICO_MANUT[[#This Row],[EXPURGO Mãe]]="SIM",TAB_HISTORICO_MANUT[[#This Row],[Tipo]]="MÃE"),"EXP.MAE",IF(TAB_HISTORICO_MANUT[[#This Row],[EXPURGO Mãe]]="NÃO","NÃO EXP.MAE",T371))</f>
        <v>EXP.MAE</v>
      </c>
      <c r="U37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72" s="56">
        <f>IF(TAB_HISTORICO_MANUT[[#This Row],[EXPURGO Filhas]]="SIM",MAX(TAB_HISTORICO_MANUT[[#This Row],[Hora Final]]-TAB_HISTORICO_MANUT[[#This Row],[Hora Inicio]],0),0)</f>
        <v>0</v>
      </c>
      <c r="W37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7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72" s="46">
        <v>46107.751284722224</v>
      </c>
      <c r="Z372" s="47">
        <v>46107.942060185182</v>
      </c>
      <c r="AA372" s="48" t="s">
        <v>232</v>
      </c>
      <c r="AB372" s="48" t="s">
        <v>793</v>
      </c>
      <c r="AC372" s="43" t="s">
        <v>204</v>
      </c>
      <c r="AD372" s="46" t="s">
        <v>144</v>
      </c>
      <c r="AE372" s="46" t="s">
        <v>172</v>
      </c>
      <c r="AF372" s="88" t="s">
        <v>210</v>
      </c>
      <c r="AG372" s="105">
        <f>IF(TAB_HISTORICO_MANUT[[#This Row],[Hora Inicio]]="","",MONTH(TAB_HISTORICO_MANUT[[#This Row],[Hora Inicio]]))</f>
        <v>3</v>
      </c>
      <c r="AH372" s="58" t="s">
        <v>810</v>
      </c>
      <c r="AI372" s="43" t="s">
        <v>23</v>
      </c>
      <c r="AJ372" s="43" t="s">
        <v>223</v>
      </c>
      <c r="AK372" s="43" t="s">
        <v>422</v>
      </c>
      <c r="AL372" s="43" t="s">
        <v>279</v>
      </c>
      <c r="AM372" s="114" t="s">
        <v>280</v>
      </c>
      <c r="AN372" s="43" t="s">
        <v>217</v>
      </c>
      <c r="AO372" s="43" t="s">
        <v>230</v>
      </c>
      <c r="AP372" s="43" t="s">
        <v>218</v>
      </c>
    </row>
    <row r="373" spans="1:42" ht="50.1" customHeight="1" x14ac:dyDescent="0.25">
      <c r="A373" s="43">
        <f>MONTH(TAB_HISTORICO_MANUT[[#This Row],[Hora Final]])-MONTH(TAB_HISTORICO_MANUT[[#This Row],[Hora Inicio]])</f>
        <v>0</v>
      </c>
      <c r="B373" s="42"/>
      <c r="C373" s="43"/>
      <c r="D373" s="42"/>
      <c r="E373" s="42"/>
      <c r="F373" s="42"/>
      <c r="G373" s="42"/>
      <c r="H373" s="42"/>
      <c r="I373" s="42"/>
      <c r="J373" s="42"/>
      <c r="K373" s="42"/>
      <c r="L373" s="42"/>
      <c r="M373" s="42" t="s">
        <v>98</v>
      </c>
      <c r="N37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Inicio]]=Z372,TAB_HISTORICO_MANUT[[#This Row],[Equipamento]]=AA372,TAB_HISTORICO_MANUT[[#This Row],[Descricao Despacho]]=AD372),0,1)))</f>
        <v>1</v>
      </c>
      <c r="O37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373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7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73" s="50">
        <f>IF($Q373="","",(TAB_HISTORICO_MANUT[[#This Row],[Hora Final]]-TAB_HISTORICO_MANUT[[#This Row],[Hora Inicio]])*24)</f>
        <v>117.41833333333489</v>
      </c>
      <c r="S37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373" s="54" t="str">
        <f>IF(AND(TAB_HISTORICO_MANUT[[#This Row],[EXPURGO Mãe]]="SIM",TAB_HISTORICO_MANUT[[#This Row],[Tipo]]="MÃE"),"EXP.MAE",IF(TAB_HISTORICO_MANUT[[#This Row],[EXPURGO Mãe]]="NÃO","NÃO EXP.MAE",T372))</f>
        <v>EXP.MAE</v>
      </c>
      <c r="U37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73" s="56">
        <f>IF(TAB_HISTORICO_MANUT[[#This Row],[EXPURGO Filhas]]="SIM",MAX(TAB_HISTORICO_MANUT[[#This Row],[Hora Final]]-TAB_HISTORICO_MANUT[[#This Row],[Hora Inicio]],0),0)</f>
        <v>0</v>
      </c>
      <c r="W37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7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73" s="46">
        <v>46108.107557870368</v>
      </c>
      <c r="Z373" s="138">
        <v>46112.999988425923</v>
      </c>
      <c r="AA373" s="48" t="s">
        <v>232</v>
      </c>
      <c r="AB373" s="48"/>
      <c r="AC373" s="43" t="s">
        <v>204</v>
      </c>
      <c r="AD373" s="46" t="s">
        <v>144</v>
      </c>
      <c r="AE373" s="46" t="s">
        <v>172</v>
      </c>
      <c r="AF373" s="122" t="s">
        <v>210</v>
      </c>
      <c r="AG373" s="105">
        <f>IF(TAB_HISTORICO_MANUT[[#This Row],[Hora Inicio]]="","",MONTH(TAB_HISTORICO_MANUT[[#This Row],[Hora Inicio]]))</f>
        <v>3</v>
      </c>
      <c r="AH373" s="58" t="s">
        <v>820</v>
      </c>
      <c r="AI373" s="43" t="s">
        <v>235</v>
      </c>
      <c r="AJ373" s="43" t="s">
        <v>717</v>
      </c>
      <c r="AK373" s="43" t="s">
        <v>717</v>
      </c>
      <c r="AL373" s="43" t="s">
        <v>275</v>
      </c>
      <c r="AM373" s="43" t="s">
        <v>276</v>
      </c>
      <c r="AN373" s="43" t="s">
        <v>217</v>
      </c>
      <c r="AO373" s="43" t="s">
        <v>405</v>
      </c>
      <c r="AP373" s="43" t="s">
        <v>403</v>
      </c>
    </row>
    <row r="374" spans="1:42" ht="50.1" customHeight="1" x14ac:dyDescent="0.25">
      <c r="A374" s="43">
        <f>MONTH(TAB_HISTORICO_MANUT[[#This Row],[Hora Final]])-MONTH(TAB_HISTORICO_MANUT[[#This Row],[Hora Inicio]])</f>
        <v>0</v>
      </c>
      <c r="B374" s="42"/>
      <c r="C374" s="43"/>
      <c r="D374" s="42"/>
      <c r="E374" s="42"/>
      <c r="F374" s="42"/>
      <c r="G374" s="42"/>
      <c r="H374" s="42"/>
      <c r="I374" s="42"/>
      <c r="J374" s="42"/>
      <c r="K374" s="42"/>
      <c r="L374" s="42">
        <v>0</v>
      </c>
      <c r="M374" s="42" t="s">
        <v>98</v>
      </c>
      <c r="N37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Inicio]]=Z373,TAB_HISTORICO_MANUT[[#This Row],[Equipamento]]=AA373,TAB_HISTORICO_MANUT[[#This Row],[Descricao Despacho]]=AD373),0,1)))</f>
        <v>0</v>
      </c>
      <c r="O37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374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7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74" s="50">
        <f>IF($Q374="","",(TAB_HISTORICO_MANUT[[#This Row],[Hora Final]]-TAB_HISTORICO_MANUT[[#This Row],[Hora Inicio]])*24)</f>
        <v>8.3005555554991588</v>
      </c>
      <c r="S37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374" s="54" t="str">
        <f>IF(AND(TAB_HISTORICO_MANUT[[#This Row],[EXPURGO Mãe]]="SIM",TAB_HISTORICO_MANUT[[#This Row],[Tipo]]="MÃE"),"EXP.MAE",IF(TAB_HISTORICO_MANUT[[#This Row],[EXPURGO Mãe]]="NÃO","NÃO EXP.MAE",T373))</f>
        <v>EXP.MAE</v>
      </c>
      <c r="U37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74" s="56">
        <f>IF(TAB_HISTORICO_MANUT[[#This Row],[EXPURGO Filhas]]="SIM",MAX(TAB_HISTORICO_MANUT[[#This Row],[Hora Final]]-TAB_HISTORICO_MANUT[[#This Row],[Hora Inicio]],0),0)</f>
        <v>0</v>
      </c>
      <c r="W37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7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74" s="111">
        <v>46113</v>
      </c>
      <c r="Z374" s="47">
        <v>46113.345856481479</v>
      </c>
      <c r="AA374" s="48" t="s">
        <v>232</v>
      </c>
      <c r="AB374" s="48"/>
      <c r="AC374" s="43" t="s">
        <v>204</v>
      </c>
      <c r="AD374" s="46" t="s">
        <v>144</v>
      </c>
      <c r="AE374" s="46" t="s">
        <v>172</v>
      </c>
      <c r="AF374" s="88" t="s">
        <v>210</v>
      </c>
      <c r="AG374" s="105">
        <f>IF(TAB_HISTORICO_MANUT[[#This Row],[Hora Inicio]]="","",MONTH(TAB_HISTORICO_MANUT[[#This Row],[Hora Inicio]]))</f>
        <v>4</v>
      </c>
      <c r="AH374" s="58" t="s">
        <v>820</v>
      </c>
      <c r="AI374" s="43" t="s">
        <v>235</v>
      </c>
      <c r="AJ374" s="43" t="s">
        <v>717</v>
      </c>
      <c r="AK374" s="43" t="s">
        <v>717</v>
      </c>
      <c r="AL374" s="43" t="s">
        <v>275</v>
      </c>
      <c r="AM374" s="114" t="s">
        <v>276</v>
      </c>
      <c r="AN374" s="43" t="s">
        <v>217</v>
      </c>
      <c r="AO374" s="43" t="s">
        <v>405</v>
      </c>
      <c r="AP374" s="43" t="s">
        <v>403</v>
      </c>
    </row>
    <row r="375" spans="1:42" ht="50.1" customHeight="1" x14ac:dyDescent="0.25">
      <c r="A375" s="43">
        <f>MONTH(TAB_HISTORICO_MANUT[[#This Row],[Hora Final]])-MONTH(TAB_HISTORICO_MANUT[[#This Row],[Hora Inicio]])</f>
        <v>0</v>
      </c>
      <c r="B375" s="42"/>
      <c r="C375" s="43"/>
      <c r="D375" s="42"/>
      <c r="E375" s="42"/>
      <c r="F375" s="42"/>
      <c r="G375" s="42"/>
      <c r="H375" s="42"/>
      <c r="I375" s="42"/>
      <c r="J375" s="42" t="s">
        <v>81</v>
      </c>
      <c r="K375" s="42"/>
      <c r="L375" s="42">
        <v>1</v>
      </c>
      <c r="M375" s="42" t="s">
        <v>98</v>
      </c>
      <c r="N37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Inicio]]=Z374,TAB_HISTORICO_MANUT[[#This Row],[Equipamento]]=AA374,TAB_HISTORICO_MANUT[[#This Row],[Descricao Despacho]]=AD374),0,1)))</f>
        <v>1</v>
      </c>
      <c r="O37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375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7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Componente (Major e Minor)</v>
      </c>
      <c r="R375" s="50">
        <f>IF($Q375="","",(TAB_HISTORICO_MANUT[[#This Row],[Hora Final]]-TAB_HISTORICO_MANUT[[#This Row],[Hora Inicio]])*24)</f>
        <v>522.78000000002794</v>
      </c>
      <c r="S37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375" s="54" t="str">
        <f>IF(AND(TAB_HISTORICO_MANUT[[#This Row],[EXPURGO Mãe]]="SIM",TAB_HISTORICO_MANUT[[#This Row],[Tipo]]="MÃE"),"EXP.MAE",IF(TAB_HISTORICO_MANUT[[#This Row],[EXPURGO Mãe]]="NÃO","NÃO EXP.MAE",T374))</f>
        <v>EXP.MAE</v>
      </c>
      <c r="U37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75" s="56">
        <f>IF(TAB_HISTORICO_MANUT[[#This Row],[EXPURGO Filhas]]="SIM",MAX(TAB_HISTORICO_MANUT[[#This Row],[Hora Final]]-TAB_HISTORICO_MANUT[[#This Row],[Hora Inicio]],0),0)</f>
        <v>0</v>
      </c>
      <c r="W37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7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75" s="46">
        <v>46113.345856481479</v>
      </c>
      <c r="Z375" s="47">
        <v>46135.12835648148</v>
      </c>
      <c r="AA375" s="48" t="s">
        <v>232</v>
      </c>
      <c r="AB375" s="48">
        <v>202601729918</v>
      </c>
      <c r="AC375" s="43" t="s">
        <v>204</v>
      </c>
      <c r="AD375" s="46" t="s">
        <v>144</v>
      </c>
      <c r="AE375" s="46" t="s">
        <v>172</v>
      </c>
      <c r="AF375" s="122" t="s">
        <v>210</v>
      </c>
      <c r="AG375" s="105">
        <f>IF(TAB_HISTORICO_MANUT[[#This Row],[Hora Inicio]]="","",MONTH(TAB_HISTORICO_MANUT[[#This Row],[Hora Inicio]]))</f>
        <v>4</v>
      </c>
      <c r="AH375" s="58" t="s">
        <v>832</v>
      </c>
      <c r="AI375" s="43" t="s">
        <v>235</v>
      </c>
      <c r="AJ375" s="43" t="s">
        <v>717</v>
      </c>
      <c r="AK375" s="43" t="s">
        <v>717</v>
      </c>
      <c r="AL375" s="43" t="s">
        <v>275</v>
      </c>
      <c r="AM375" s="43" t="s">
        <v>276</v>
      </c>
      <c r="AN375" s="43" t="s">
        <v>217</v>
      </c>
      <c r="AO375" s="43" t="s">
        <v>971</v>
      </c>
      <c r="AP375" s="43" t="s">
        <v>972</v>
      </c>
    </row>
    <row r="376" spans="1:42" ht="50.1" customHeight="1" x14ac:dyDescent="0.25">
      <c r="A376" s="43">
        <f>MONTH(TAB_HISTORICO_MANUT[[#This Row],[Hora Final]])-MONTH(TAB_HISTORICO_MANUT[[#This Row],[Hora Inicio]])</f>
        <v>0</v>
      </c>
      <c r="B376" s="42"/>
      <c r="C376" s="43"/>
      <c r="D376" s="42"/>
      <c r="E376" s="42"/>
      <c r="F376" s="42"/>
      <c r="G376" s="42"/>
      <c r="H376" s="42"/>
      <c r="I376" s="42"/>
      <c r="J376" s="42" t="s">
        <v>81</v>
      </c>
      <c r="K376" s="42"/>
      <c r="L376" s="42">
        <v>0</v>
      </c>
      <c r="M376" s="42" t="s">
        <v>98</v>
      </c>
      <c r="N37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Inicio]]=Z375,TAB_HISTORICO_MANUT[[#This Row],[Equipamento]]=AA375,TAB_HISTORICO_MANUT[[#This Row],[Descricao Despacho]]=AD375),0,1)))</f>
        <v>0</v>
      </c>
      <c r="O37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37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7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Componente (Major e Minor)</v>
      </c>
      <c r="R376" s="50">
        <f>IF($Q376="","",(TAB_HISTORICO_MANUT[[#This Row],[Hora Final]]-TAB_HISTORICO_MANUT[[#This Row],[Hora Inicio]])*24)</f>
        <v>188.91916666663019</v>
      </c>
      <c r="S37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376" s="54" t="str">
        <f>IF(AND(TAB_HISTORICO_MANUT[[#This Row],[EXPURGO Mãe]]="SIM",TAB_HISTORICO_MANUT[[#This Row],[Tipo]]="MÃE"),"EXP.MAE",IF(TAB_HISTORICO_MANUT[[#This Row],[EXPURGO Mãe]]="NÃO","NÃO EXP.MAE",T375))</f>
        <v>EXP.MAE</v>
      </c>
      <c r="U37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76" s="56">
        <f>IF(TAB_HISTORICO_MANUT[[#This Row],[EXPURGO Filhas]]="SIM",MAX(TAB_HISTORICO_MANUT[[#This Row],[Hora Final]]-TAB_HISTORICO_MANUT[[#This Row],[Hora Inicio]],0),0)</f>
        <v>0</v>
      </c>
      <c r="W37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7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76" s="46">
        <v>46135.12835648148</v>
      </c>
      <c r="Z376" s="111">
        <v>46142.999988425923</v>
      </c>
      <c r="AA376" s="48" t="s">
        <v>232</v>
      </c>
      <c r="AB376" s="48">
        <v>202601729918</v>
      </c>
      <c r="AC376" s="43" t="s">
        <v>204</v>
      </c>
      <c r="AD376" s="46" t="s">
        <v>144</v>
      </c>
      <c r="AE376" s="46" t="s">
        <v>172</v>
      </c>
      <c r="AF376" s="122" t="s">
        <v>210</v>
      </c>
      <c r="AG376" s="105">
        <f>IF(TAB_HISTORICO_MANUT[[#This Row],[Hora Inicio]]="","",MONTH(TAB_HISTORICO_MANUT[[#This Row],[Hora Inicio]]))</f>
        <v>4</v>
      </c>
      <c r="AH376" s="58" t="s">
        <v>925</v>
      </c>
      <c r="AI376" s="43" t="s">
        <v>235</v>
      </c>
      <c r="AJ376" s="43" t="s">
        <v>717</v>
      </c>
      <c r="AK376" s="43" t="s">
        <v>717</v>
      </c>
      <c r="AL376" s="43" t="s">
        <v>275</v>
      </c>
      <c r="AM376" s="43" t="s">
        <v>276</v>
      </c>
      <c r="AN376" s="43" t="s">
        <v>217</v>
      </c>
      <c r="AO376" s="43" t="s">
        <v>971</v>
      </c>
      <c r="AP376" s="43" t="s">
        <v>972</v>
      </c>
    </row>
    <row r="377" spans="1:42" ht="50.1" customHeight="1" x14ac:dyDescent="0.25">
      <c r="A377" s="43">
        <f>MONTH(TAB_HISTORICO_MANUT[[#This Row],[Hora Final]])-MONTH(TAB_HISTORICO_MANUT[[#This Row],[Hora Inicio]])</f>
        <v>0</v>
      </c>
      <c r="B377" s="42"/>
      <c r="C377" s="43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Inicio]]=Z376,TAB_HISTORICO_MANUT[[#This Row],[Equipamento]]=AA376,TAB_HISTORICO_MANUT[[#This Row],[Descricao Despacho]]=AD376),0,1)))</f>
        <v>1</v>
      </c>
      <c r="O37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377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7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77" s="50">
        <f>IF($Q377="","",(TAB_HISTORICO_MANUT[[#This Row],[Hora Final]]-TAB_HISTORICO_MANUT[[#This Row],[Hora Inicio]])*24)</f>
        <v>11.741666666697711</v>
      </c>
      <c r="S37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77" s="54" t="str">
        <f>IF(AND(TAB_HISTORICO_MANUT[[#This Row],[EXPURGO Mãe]]="SIM",TAB_HISTORICO_MANUT[[#This Row],[Tipo]]="MÃE"),"EXP.MAE",IF(TAB_HISTORICO_MANUT[[#This Row],[EXPURGO Mãe]]="NÃO","NÃO EXP.MAE",T376))</f>
        <v>NÃO EXP.MAE</v>
      </c>
      <c r="U37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77" s="56">
        <f>IF(TAB_HISTORICO_MANUT[[#This Row],[EXPURGO Filhas]]="SIM",MAX(TAB_HISTORICO_MANUT[[#This Row],[Hora Final]]-TAB_HISTORICO_MANUT[[#This Row],[Hora Inicio]],0),0)</f>
        <v>0</v>
      </c>
      <c r="W37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7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77" s="111">
        <v>46143</v>
      </c>
      <c r="Z377" s="47">
        <v>46143.489236111112</v>
      </c>
      <c r="AA377" s="48" t="s">
        <v>232</v>
      </c>
      <c r="AB377" s="48">
        <v>202601729918</v>
      </c>
      <c r="AC377" s="43" t="s">
        <v>204</v>
      </c>
      <c r="AD377" s="46" t="s">
        <v>144</v>
      </c>
      <c r="AE377" s="46" t="s">
        <v>172</v>
      </c>
      <c r="AF377" s="122" t="s">
        <v>210</v>
      </c>
      <c r="AG377" s="105">
        <f>IF(TAB_HISTORICO_MANUT[[#This Row],[Hora Inicio]]="","",MONTH(TAB_HISTORICO_MANUT[[#This Row],[Hora Inicio]]))</f>
        <v>5</v>
      </c>
      <c r="AH377" s="58" t="s">
        <v>925</v>
      </c>
      <c r="AI377" s="43" t="s">
        <v>235</v>
      </c>
      <c r="AJ377" s="43" t="s">
        <v>717</v>
      </c>
      <c r="AK377" s="43" t="s">
        <v>717</v>
      </c>
      <c r="AL377" s="43" t="s">
        <v>275</v>
      </c>
      <c r="AM377" s="114" t="s">
        <v>276</v>
      </c>
      <c r="AN377" s="43" t="s">
        <v>217</v>
      </c>
      <c r="AO377" s="43" t="s">
        <v>971</v>
      </c>
      <c r="AP377" s="43" t="s">
        <v>972</v>
      </c>
    </row>
    <row r="378" spans="1:42" ht="50.1" customHeight="1" x14ac:dyDescent="0.25">
      <c r="A378" s="43">
        <f>MONTH(TAB_HISTORICO_MANUT[[#This Row],[Hora Final]])-MONTH(TAB_HISTORICO_MANUT[[#This Row],[Hora Inicio]])</f>
        <v>0</v>
      </c>
      <c r="B378" s="42"/>
      <c r="C378" s="43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Inicio]]=Z377,TAB_HISTORICO_MANUT[[#This Row],[Equipamento]]=AA377,TAB_HISTORICO_MANUT[[#This Row],[Descricao Despacho]]=AD377),0,1)))</f>
        <v/>
      </c>
      <c r="O37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78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7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78" s="50" t="str">
        <f>IF($Q378="","",(TAB_HISTORICO_MANUT[[#This Row],[Hora Final]]-TAB_HISTORICO_MANUT[[#This Row],[Hora Inicio]])*24)</f>
        <v/>
      </c>
      <c r="S37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78" s="54" t="str">
        <f>IF(AND(TAB_HISTORICO_MANUT[[#This Row],[EXPURGO Mãe]]="SIM",TAB_HISTORICO_MANUT[[#This Row],[Tipo]]="MÃE"),"EXP.MAE",IF(TAB_HISTORICO_MANUT[[#This Row],[EXPURGO Mãe]]="NÃO","NÃO EXP.MAE",T377))</f>
        <v>NÃO EXP.MAE</v>
      </c>
      <c r="U37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78" s="56">
        <f>IF(TAB_HISTORICO_MANUT[[#This Row],[EXPURGO Filhas]]="SIM",MAX(TAB_HISTORICO_MANUT[[#This Row],[Hora Final]]-TAB_HISTORICO_MANUT[[#This Row],[Hora Inicio]],0),0)</f>
        <v>28.827581018515048</v>
      </c>
      <c r="W37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7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78" s="46">
        <v>46143</v>
      </c>
      <c r="Z378" s="47">
        <v>46171.827581018515</v>
      </c>
      <c r="AA378" s="48" t="s">
        <v>232</v>
      </c>
      <c r="AB378" s="48">
        <v>202601729918</v>
      </c>
      <c r="AC378" s="43" t="s">
        <v>204</v>
      </c>
      <c r="AD378" s="46" t="s">
        <v>144</v>
      </c>
      <c r="AE378" s="46" t="s">
        <v>772</v>
      </c>
      <c r="AF378" s="122" t="s">
        <v>767</v>
      </c>
      <c r="AG378" s="105">
        <f>IF(TAB_HISTORICO_MANUT[[#This Row],[Hora Inicio]]="","",MONTH(TAB_HISTORICO_MANUT[[#This Row],[Hora Inicio]]))</f>
        <v>5</v>
      </c>
      <c r="AH378" s="58" t="s">
        <v>925</v>
      </c>
      <c r="AI378" s="43" t="s">
        <v>235</v>
      </c>
      <c r="AJ378" s="43" t="s">
        <v>717</v>
      </c>
      <c r="AK378" s="43" t="s">
        <v>717</v>
      </c>
      <c r="AL378" s="43" t="s">
        <v>275</v>
      </c>
      <c r="AM378" s="114" t="s">
        <v>276</v>
      </c>
      <c r="AN378" s="43"/>
      <c r="AO378" s="43"/>
      <c r="AP378" s="43"/>
    </row>
    <row r="379" spans="1:42" ht="50.1" customHeight="1" x14ac:dyDescent="0.25">
      <c r="A379" s="43">
        <f>MONTH(TAB_HISTORICO_MANUT[[#This Row],[Hora Final]])-MONTH(TAB_HISTORICO_MANUT[[#This Row],[Hora Inicio]])</f>
        <v>0</v>
      </c>
      <c r="B379" s="42"/>
      <c r="C379" s="43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Inicio]]=Z378,TAB_HISTORICO_MANUT[[#This Row],[Equipamento]]=AA378,TAB_HISTORICO_MANUT[[#This Row],[Descricao Despacho]]=AD378),0,1)))</f>
        <v>1</v>
      </c>
      <c r="O37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379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7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79" s="50">
        <f>IF($Q379="","",(TAB_HISTORICO_MANUT[[#This Row],[Hora Final]]-TAB_HISTORICO_MANUT[[#This Row],[Hora Inicio]])*24)</f>
        <v>680.12027777766343</v>
      </c>
      <c r="S37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79" s="54" t="str">
        <f>IF(AND(TAB_HISTORICO_MANUT[[#This Row],[EXPURGO Mãe]]="SIM",TAB_HISTORICO_MANUT[[#This Row],[Tipo]]="MÃE"),"EXP.MAE",IF(TAB_HISTORICO_MANUT[[#This Row],[EXPURGO Mãe]]="NÃO","NÃO EXP.MAE",T378))</f>
        <v>NÃO EXP.MAE</v>
      </c>
      <c r="U37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79" s="56">
        <f>IF(TAB_HISTORICO_MANUT[[#This Row],[EXPURGO Filhas]]="SIM",MAX(TAB_HISTORICO_MANUT[[#This Row],[Hora Final]]-TAB_HISTORICO_MANUT[[#This Row],[Hora Inicio]],0),0)</f>
        <v>0</v>
      </c>
      <c r="W37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7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79" s="46">
        <v>46143.489236111112</v>
      </c>
      <c r="Z379" s="47">
        <v>46171.827581018515</v>
      </c>
      <c r="AA379" s="48" t="s">
        <v>232</v>
      </c>
      <c r="AB379" s="48">
        <v>202601729918</v>
      </c>
      <c r="AC379" s="43" t="s">
        <v>204</v>
      </c>
      <c r="AD379" s="46" t="s">
        <v>144</v>
      </c>
      <c r="AE379" s="46" t="s">
        <v>172</v>
      </c>
      <c r="AF379" s="122" t="s">
        <v>210</v>
      </c>
      <c r="AG379" s="105">
        <f>IF(TAB_HISTORICO_MANUT[[#This Row],[Hora Inicio]]="","",MONTH(TAB_HISTORICO_MANUT[[#This Row],[Hora Inicio]]))</f>
        <v>5</v>
      </c>
      <c r="AH379" s="58" t="s">
        <v>925</v>
      </c>
      <c r="AI379" s="43" t="s">
        <v>235</v>
      </c>
      <c r="AJ379" s="43" t="s">
        <v>717</v>
      </c>
      <c r="AK379" s="43" t="s">
        <v>717</v>
      </c>
      <c r="AL379" s="43" t="s">
        <v>275</v>
      </c>
      <c r="AM379" s="43" t="s">
        <v>276</v>
      </c>
      <c r="AN379" s="43"/>
      <c r="AO379" s="43"/>
      <c r="AP379" s="43"/>
    </row>
    <row r="380" spans="1:42" ht="50.1" customHeight="1" x14ac:dyDescent="0.25">
      <c r="A380" s="115">
        <f>MONTH(TAB_HISTORICO_MANUT[[#This Row],[Hora Final]])-MONTH(TAB_HISTORICO_MANUT[[#This Row],[Hora Inicio]])</f>
        <v>0</v>
      </c>
      <c r="B380" s="116"/>
      <c r="C380" s="115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Inicio]]=Z379,TAB_HISTORICO_MANUT[[#This Row],[Equipamento]]=AA379,TAB_HISTORICO_MANUT[[#This Row],[Descricao Despacho]]=AD379),0,1)))</f>
        <v/>
      </c>
      <c r="O38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80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8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80" s="50" t="str">
        <f>IF($Q380="","",(TAB_HISTORICO_MANUT[[#This Row],[Hora Final]]-TAB_HISTORICO_MANUT[[#This Row],[Hora Inicio]])*24)</f>
        <v/>
      </c>
      <c r="S38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80" s="54" t="str">
        <f>IF(AND(TAB_HISTORICO_MANUT[[#This Row],[EXPURGO Mãe]]="SIM",TAB_HISTORICO_MANUT[[#This Row],[Tipo]]="MÃE"),"EXP.MAE",IF(TAB_HISTORICO_MANUT[[#This Row],[EXPURGO Mãe]]="NÃO","NÃO EXP.MAE",T379))</f>
        <v>NÃO EXP.MAE</v>
      </c>
      <c r="U38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80" s="56">
        <f>IF(TAB_HISTORICO_MANUT[[#This Row],[EXPURGO Filhas]]="SIM",MAX(TAB_HISTORICO_MANUT[[#This Row],[Hora Final]]-TAB_HISTORICO_MANUT[[#This Row],[Hora Inicio]],0),0)</f>
        <v>0.27083333333575865</v>
      </c>
      <c r="W38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8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80" s="117">
        <v>46162.479166666664</v>
      </c>
      <c r="Z380" s="118">
        <v>46162.75</v>
      </c>
      <c r="AA380" s="119" t="s">
        <v>232</v>
      </c>
      <c r="AB380" s="119">
        <v>202601729918</v>
      </c>
      <c r="AC380" s="115" t="s">
        <v>204</v>
      </c>
      <c r="AD380" s="117" t="s">
        <v>144</v>
      </c>
      <c r="AE380" s="117" t="s">
        <v>765</v>
      </c>
      <c r="AF380" s="122" t="s">
        <v>767</v>
      </c>
      <c r="AG380" s="105">
        <f>IF(TAB_HISTORICO_MANUT[[#This Row],[Hora Inicio]]="","",MONTH(TAB_HISTORICO_MANUT[[#This Row],[Hora Inicio]]))</f>
        <v>5</v>
      </c>
      <c r="AH380" s="120" t="s">
        <v>1290</v>
      </c>
      <c r="AI380" s="115" t="s">
        <v>235</v>
      </c>
      <c r="AJ380" s="115" t="s">
        <v>717</v>
      </c>
      <c r="AK380" s="115" t="s">
        <v>717</v>
      </c>
      <c r="AL380" s="115" t="s">
        <v>275</v>
      </c>
      <c r="AM380" s="121" t="s">
        <v>276</v>
      </c>
      <c r="AN380" s="115"/>
      <c r="AO380" s="115"/>
      <c r="AP380" s="115"/>
    </row>
    <row r="381" spans="1:42" ht="50.1" customHeight="1" x14ac:dyDescent="0.25">
      <c r="A381" s="115">
        <f>MONTH(TAB_HISTORICO_MANUT[[#This Row],[Hora Final]])-MONTH(TAB_HISTORICO_MANUT[[#This Row],[Hora Inicio]])</f>
        <v>0</v>
      </c>
      <c r="B381" s="116"/>
      <c r="C381" s="115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Inicio]]=Z380,TAB_HISTORICO_MANUT[[#This Row],[Equipamento]]=AA380,TAB_HISTORICO_MANUT[[#This Row],[Descricao Despacho]]=AD380),0,1)))</f>
        <v/>
      </c>
      <c r="O38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81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8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81" s="107" t="str">
        <f>IF($Q381="","",(TAB_HISTORICO_MANUT[[#This Row],[Hora Final]]-TAB_HISTORICO_MANUT[[#This Row],[Hora Inicio]])*24)</f>
        <v/>
      </c>
      <c r="S38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81" s="109" t="str">
        <f>IF(AND(TAB_HISTORICO_MANUT[[#This Row],[EXPURGO Mãe]]="SIM",TAB_HISTORICO_MANUT[[#This Row],[Tipo]]="MÃE"),"EXP.MAE",IF(TAB_HISTORICO_MANUT[[#This Row],[EXPURGO Mãe]]="NÃO","NÃO EXP.MAE",T380))</f>
        <v>NÃO EXP.MAE</v>
      </c>
      <c r="U38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81" s="110">
        <f>IF(TAB_HISTORICO_MANUT[[#This Row],[EXPURGO Filhas]]="SIM",MAX(TAB_HISTORICO_MANUT[[#This Row],[Hora Final]]-TAB_HISTORICO_MANUT[[#This Row],[Hora Inicio]],0),0)</f>
        <v>0.125</v>
      </c>
      <c r="W38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8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81" s="117">
        <v>46162.75</v>
      </c>
      <c r="Z381" s="118">
        <v>46162.875</v>
      </c>
      <c r="AA381" s="119" t="s">
        <v>232</v>
      </c>
      <c r="AB381" s="119">
        <v>202601729918</v>
      </c>
      <c r="AC381" s="115" t="s">
        <v>204</v>
      </c>
      <c r="AD381" s="117" t="s">
        <v>144</v>
      </c>
      <c r="AE381" s="117" t="s">
        <v>765</v>
      </c>
      <c r="AF381" s="122" t="s">
        <v>767</v>
      </c>
      <c r="AG381" s="123">
        <f>IF(TAB_HISTORICO_MANUT[[#This Row],[Hora Inicio]]="","",MONTH(TAB_HISTORICO_MANUT[[#This Row],[Hora Inicio]]))</f>
        <v>5</v>
      </c>
      <c r="AH381" s="120" t="s">
        <v>1291</v>
      </c>
      <c r="AI381" s="115" t="s">
        <v>235</v>
      </c>
      <c r="AJ381" s="115" t="s">
        <v>717</v>
      </c>
      <c r="AK381" s="115" t="s">
        <v>717</v>
      </c>
      <c r="AL381" s="115" t="s">
        <v>275</v>
      </c>
      <c r="AM381" s="115" t="s">
        <v>276</v>
      </c>
      <c r="AN381" s="115"/>
      <c r="AO381" s="115"/>
      <c r="AP381" s="115"/>
    </row>
    <row r="382" spans="1:42" ht="50.1" customHeight="1" x14ac:dyDescent="0.25">
      <c r="A382" s="43">
        <f>MONTH(TAB_HISTORICO_MANUT[[#This Row],[Hora Final]])-MONTH(TAB_HISTORICO_MANUT[[#This Row],[Hora Inicio]])</f>
        <v>0</v>
      </c>
      <c r="B382" s="42"/>
      <c r="C382" s="43"/>
      <c r="D382" s="42"/>
      <c r="E382" s="42"/>
      <c r="F382" s="42"/>
      <c r="G382" s="42"/>
      <c r="H382" s="42"/>
      <c r="I382" s="42"/>
      <c r="J382" s="42"/>
      <c r="K382" s="42"/>
      <c r="L382" s="42"/>
      <c r="M382" s="42" t="s">
        <v>98</v>
      </c>
      <c r="N382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Inicio]]=Z381,TAB_HISTORICO_MANUT[[#This Row],[Equipamento]]=AA381,TAB_HISTORICO_MANUT[[#This Row],[Descricao Despacho]]=AD381),0,1)))</f>
        <v/>
      </c>
      <c r="O38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82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8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82" s="50" t="str">
        <f>IF($Q382="","",(TAB_HISTORICO_MANUT[[#This Row],[Hora Final]]-TAB_HISTORICO_MANUT[[#This Row],[Hora Inicio]])*24)</f>
        <v/>
      </c>
      <c r="S38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82" s="54" t="str">
        <f>IF(AND(TAB_HISTORICO_MANUT[[#This Row],[EXPURGO Mãe]]="SIM",TAB_HISTORICO_MANUT[[#This Row],[Tipo]]="MÃE"),"EXP.MAE",IF(TAB_HISTORICO_MANUT[[#This Row],[EXPURGO Mãe]]="NÃO","NÃO EXP.MAE",T381))</f>
        <v>NÃO EXP.MAE</v>
      </c>
      <c r="U38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82" s="56">
        <f>IF(TAB_HISTORICO_MANUT[[#This Row],[EXPURGO Filhas]]="SIM",MAX(TAB_HISTORICO_MANUT[[#This Row],[Hora Final]]-TAB_HISTORICO_MANUT[[#This Row],[Hora Inicio]],0),0)</f>
        <v>0.10703749999811407</v>
      </c>
      <c r="W38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8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82" s="46">
        <v>46163.642962500002</v>
      </c>
      <c r="Z382" s="47">
        <v>46163.75</v>
      </c>
      <c r="AA382" s="48" t="s">
        <v>232</v>
      </c>
      <c r="AB382" s="48">
        <v>202601729918</v>
      </c>
      <c r="AC382" s="43" t="s">
        <v>204</v>
      </c>
      <c r="AD382" s="46" t="s">
        <v>144</v>
      </c>
      <c r="AE382" s="46" t="s">
        <v>1283</v>
      </c>
      <c r="AF382" s="122" t="s">
        <v>767</v>
      </c>
      <c r="AG382" s="105">
        <f>IF(TAB_HISTORICO_MANUT[[#This Row],[Hora Inicio]]="","",MONTH(TAB_HISTORICO_MANUT[[#This Row],[Hora Inicio]]))</f>
        <v>5</v>
      </c>
      <c r="AH382" s="120"/>
      <c r="AI382" s="115" t="s">
        <v>235</v>
      </c>
      <c r="AJ382" s="115" t="s">
        <v>717</v>
      </c>
      <c r="AK382" s="115" t="s">
        <v>717</v>
      </c>
      <c r="AL382" s="115" t="s">
        <v>275</v>
      </c>
      <c r="AM382" s="115" t="s">
        <v>276</v>
      </c>
      <c r="AN382" s="43"/>
      <c r="AO382" s="43"/>
      <c r="AP382" s="43"/>
    </row>
    <row r="383" spans="1:42" ht="50.1" customHeight="1" x14ac:dyDescent="0.25">
      <c r="A383" s="115">
        <f>MONTH(TAB_HISTORICO_MANUT[[#This Row],[Hora Final]])-MONTH(TAB_HISTORICO_MANUT[[#This Row],[Hora Inicio]])</f>
        <v>0</v>
      </c>
      <c r="B383" s="116"/>
      <c r="C383" s="115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Inicio]]=Z382,TAB_HISTORICO_MANUT[[#This Row],[Equipamento]]=AA382,TAB_HISTORICO_MANUT[[#This Row],[Descricao Despacho]]=AD382),0,1)))</f>
        <v/>
      </c>
      <c r="O38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83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8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83" s="107" t="str">
        <f>IF($Q383="","",(TAB_HISTORICO_MANUT[[#This Row],[Hora Final]]-TAB_HISTORICO_MANUT[[#This Row],[Hora Inicio]])*24)</f>
        <v/>
      </c>
      <c r="S38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83" s="109" t="str">
        <f>IF(AND(TAB_HISTORICO_MANUT[[#This Row],[EXPURGO Mãe]]="SIM",TAB_HISTORICO_MANUT[[#This Row],[Tipo]]="MÃE"),"EXP.MAE",IF(TAB_HISTORICO_MANUT[[#This Row],[EXPURGO Mãe]]="NÃO","NÃO EXP.MAE",T382))</f>
        <v>NÃO EXP.MAE</v>
      </c>
      <c r="U38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83" s="110">
        <f>IF(TAB_HISTORICO_MANUT[[#This Row],[EXPURGO Filhas]]="SIM",MAX(TAB_HISTORICO_MANUT[[#This Row],[Hora Final]]-TAB_HISTORICO_MANUT[[#This Row],[Hora Inicio]],0),0)</f>
        <v>0.34722222221898846</v>
      </c>
      <c r="W38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8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83" s="117">
        <v>46163.902777777781</v>
      </c>
      <c r="Z383" s="118">
        <v>46164.25</v>
      </c>
      <c r="AA383" s="119" t="s">
        <v>232</v>
      </c>
      <c r="AB383" s="119">
        <v>202601729918</v>
      </c>
      <c r="AC383" s="115" t="s">
        <v>204</v>
      </c>
      <c r="AD383" s="117" t="s">
        <v>144</v>
      </c>
      <c r="AE383" s="117" t="s">
        <v>768</v>
      </c>
      <c r="AF383" s="122" t="s">
        <v>767</v>
      </c>
      <c r="AG383" s="123">
        <f>IF(TAB_HISTORICO_MANUT[[#This Row],[Hora Inicio]]="","",MONTH(TAB_HISTORICO_MANUT[[#This Row],[Hora Inicio]]))</f>
        <v>5</v>
      </c>
      <c r="AH383" s="120" t="s">
        <v>1292</v>
      </c>
      <c r="AI383" s="115" t="s">
        <v>235</v>
      </c>
      <c r="AJ383" s="115" t="s">
        <v>717</v>
      </c>
      <c r="AK383" s="115" t="s">
        <v>717</v>
      </c>
      <c r="AL383" s="115" t="s">
        <v>275</v>
      </c>
      <c r="AM383" s="115" t="s">
        <v>276</v>
      </c>
      <c r="AN383" s="115"/>
      <c r="AO383" s="115"/>
      <c r="AP383" s="115"/>
    </row>
    <row r="384" spans="1:42" ht="50.1" customHeight="1" x14ac:dyDescent="0.25">
      <c r="A384" s="115">
        <f>MONTH(TAB_HISTORICO_MANUT[[#This Row],[Hora Final]])-MONTH(TAB_HISTORICO_MANUT[[#This Row],[Hora Inicio]])</f>
        <v>0</v>
      </c>
      <c r="B384" s="116"/>
      <c r="C384" s="115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 t="s">
        <v>98</v>
      </c>
      <c r="N384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Inicio]]=Z383,TAB_HISTORICO_MANUT[[#This Row],[Equipamento]]=AA383,TAB_HISTORICO_MANUT[[#This Row],[Descricao Despacho]]=AD383),0,1)))</f>
        <v/>
      </c>
      <c r="O38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84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8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84" s="107" t="str">
        <f>IF($Q384="","",(TAB_HISTORICO_MANUT[[#This Row],[Hora Final]]-TAB_HISTORICO_MANUT[[#This Row],[Hora Inicio]])*24)</f>
        <v/>
      </c>
      <c r="S38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84" s="109" t="str">
        <f>IF(AND(TAB_HISTORICO_MANUT[[#This Row],[EXPURGO Mãe]]="SIM",TAB_HISTORICO_MANUT[[#This Row],[Tipo]]="MÃE"),"EXP.MAE",IF(TAB_HISTORICO_MANUT[[#This Row],[EXPURGO Mãe]]="NÃO","NÃO EXP.MAE",T383))</f>
        <v>NÃO EXP.MAE</v>
      </c>
      <c r="U38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84" s="110">
        <f>IF(TAB_HISTORICO_MANUT[[#This Row],[EXPURGO Filhas]]="SIM",MAX(TAB_HISTORICO_MANUT[[#This Row],[Hora Final]]-TAB_HISTORICO_MANUT[[#This Row],[Hora Inicio]],0),0)</f>
        <v>0.5</v>
      </c>
      <c r="W38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8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84" s="46">
        <v>46165.25</v>
      </c>
      <c r="Z384" s="47">
        <v>46165.75</v>
      </c>
      <c r="AA384" s="48" t="s">
        <v>232</v>
      </c>
      <c r="AB384" s="48">
        <v>202601729918</v>
      </c>
      <c r="AC384" s="43" t="s">
        <v>204</v>
      </c>
      <c r="AD384" s="46" t="s">
        <v>144</v>
      </c>
      <c r="AE384" s="46" t="s">
        <v>1284</v>
      </c>
      <c r="AF384" s="122" t="s">
        <v>767</v>
      </c>
      <c r="AG384" s="105">
        <f>IF(TAB_HISTORICO_MANUT[[#This Row],[Hora Inicio]]="","",MONTH(TAB_HISTORICO_MANUT[[#This Row],[Hora Inicio]]))</f>
        <v>5</v>
      </c>
      <c r="AH384" s="58" t="s">
        <v>1293</v>
      </c>
      <c r="AI384" s="115" t="s">
        <v>235</v>
      </c>
      <c r="AJ384" s="115" t="s">
        <v>717</v>
      </c>
      <c r="AK384" s="115" t="s">
        <v>717</v>
      </c>
      <c r="AL384" s="115" t="s">
        <v>275</v>
      </c>
      <c r="AM384" s="115" t="s">
        <v>276</v>
      </c>
      <c r="AN384" s="115"/>
      <c r="AO384" s="115"/>
      <c r="AP384" s="115"/>
    </row>
    <row r="385" spans="1:42" ht="50.1" customHeight="1" x14ac:dyDescent="0.25">
      <c r="A385" s="43">
        <f>MONTH(TAB_HISTORICO_MANUT[[#This Row],[Hora Final]])-MONTH(TAB_HISTORICO_MANUT[[#This Row],[Hora Inicio]])</f>
        <v>0</v>
      </c>
      <c r="B385" s="42"/>
      <c r="C385" s="43"/>
      <c r="D385" s="42"/>
      <c r="E385" s="42"/>
      <c r="F385" s="42"/>
      <c r="G385" s="42"/>
      <c r="H385" s="42"/>
      <c r="I385" s="42"/>
      <c r="J385" s="42"/>
      <c r="K385" s="42"/>
      <c r="L385" s="42"/>
      <c r="M385" s="42" t="s">
        <v>98</v>
      </c>
      <c r="N385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Inicio]]=Z384,TAB_HISTORICO_MANUT[[#This Row],[Equipamento]]=AA384,TAB_HISTORICO_MANUT[[#This Row],[Descricao Despacho]]=AD384),0,1)))</f>
        <v/>
      </c>
      <c r="O38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85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8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85" s="107" t="str">
        <f>IF($Q385="","",(TAB_HISTORICO_MANUT[[#This Row],[Hora Final]]-TAB_HISTORICO_MANUT[[#This Row],[Hora Inicio]])*24)</f>
        <v/>
      </c>
      <c r="S38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85" s="109" t="str">
        <f>IF(AND(TAB_HISTORICO_MANUT[[#This Row],[EXPURGO Mãe]]="SIM",TAB_HISTORICO_MANUT[[#This Row],[Tipo]]="MÃE"),"EXP.MAE",IF(TAB_HISTORICO_MANUT[[#This Row],[EXPURGO Mãe]]="NÃO","NÃO EXP.MAE",T384))</f>
        <v>NÃO EXP.MAE</v>
      </c>
      <c r="U38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85" s="110">
        <f>IF(TAB_HISTORICO_MANUT[[#This Row],[EXPURGO Filhas]]="SIM",MAX(TAB_HISTORICO_MANUT[[#This Row],[Hora Final]]-TAB_HISTORICO_MANUT[[#This Row],[Hora Inicio]],0),0)</f>
        <v>0.42814999999973224</v>
      </c>
      <c r="W38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8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85" s="46">
        <v>46165.82185</v>
      </c>
      <c r="Z385" s="47">
        <v>46166.25</v>
      </c>
      <c r="AA385" s="48" t="s">
        <v>232</v>
      </c>
      <c r="AB385" s="48">
        <v>202601729918</v>
      </c>
      <c r="AC385" s="43" t="s">
        <v>204</v>
      </c>
      <c r="AD385" s="46" t="s">
        <v>144</v>
      </c>
      <c r="AE385" s="46" t="s">
        <v>1283</v>
      </c>
      <c r="AF385" s="122" t="s">
        <v>767</v>
      </c>
      <c r="AG385" s="105">
        <f>IF(TAB_HISTORICO_MANUT[[#This Row],[Hora Inicio]]="","",MONTH(TAB_HISTORICO_MANUT[[#This Row],[Hora Inicio]]))</f>
        <v>5</v>
      </c>
      <c r="AH385" s="58"/>
      <c r="AI385" s="115" t="s">
        <v>235</v>
      </c>
      <c r="AJ385" s="115" t="s">
        <v>717</v>
      </c>
      <c r="AK385" s="115" t="s">
        <v>717</v>
      </c>
      <c r="AL385" s="115" t="s">
        <v>275</v>
      </c>
      <c r="AM385" s="115" t="s">
        <v>276</v>
      </c>
      <c r="AN385" s="43"/>
      <c r="AO385" s="43"/>
      <c r="AP385" s="43"/>
    </row>
    <row r="386" spans="1:42" ht="50.1" customHeight="1" x14ac:dyDescent="0.25">
      <c r="A386" s="43">
        <f>MONTH(TAB_HISTORICO_MANUT[[#This Row],[Hora Final]])-MONTH(TAB_HISTORICO_MANUT[[#This Row],[Hora Inicio]])</f>
        <v>0</v>
      </c>
      <c r="B386" s="42"/>
      <c r="C386" s="43"/>
      <c r="D386" s="42"/>
      <c r="E386" s="42"/>
      <c r="F386" s="42"/>
      <c r="G386" s="42"/>
      <c r="H386" s="42"/>
      <c r="I386" s="42"/>
      <c r="J386" s="42"/>
      <c r="K386" s="42"/>
      <c r="L386" s="42"/>
      <c r="M386" s="42" t="s">
        <v>98</v>
      </c>
      <c r="N386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Inicio]]=Z385,TAB_HISTORICO_MANUT[[#This Row],[Equipamento]]=AA385,TAB_HISTORICO_MANUT[[#This Row],[Descricao Despacho]]=AD385),0,1)))</f>
        <v/>
      </c>
      <c r="O38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86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8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86" s="50" t="str">
        <f>IF($Q386="","",(TAB_HISTORICO_MANUT[[#This Row],[Hora Final]]-TAB_HISTORICO_MANUT[[#This Row],[Hora Inicio]])*24)</f>
        <v/>
      </c>
      <c r="S38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86" s="54" t="str">
        <f>IF(AND(TAB_HISTORICO_MANUT[[#This Row],[EXPURGO Mãe]]="SIM",TAB_HISTORICO_MANUT[[#This Row],[Tipo]]="MÃE"),"EXP.MAE",IF(TAB_HISTORICO_MANUT[[#This Row],[EXPURGO Mãe]]="NÃO","NÃO EXP.MAE",T385))</f>
        <v>NÃO EXP.MAE</v>
      </c>
      <c r="U38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86" s="56">
        <f>IF(TAB_HISTORICO_MANUT[[#This Row],[EXPURGO Filhas]]="SIM",MAX(TAB_HISTORICO_MANUT[[#This Row],[Hora Final]]-TAB_HISTORICO_MANUT[[#This Row],[Hora Inicio]],0),0)</f>
        <v>0.35679166666523088</v>
      </c>
      <c r="W38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8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86" s="46">
        <v>46166.393208333335</v>
      </c>
      <c r="Z386" s="47">
        <v>46166.75</v>
      </c>
      <c r="AA386" s="48" t="s">
        <v>232</v>
      </c>
      <c r="AB386" s="48">
        <v>202601729918</v>
      </c>
      <c r="AC386" s="43" t="s">
        <v>204</v>
      </c>
      <c r="AD386" s="46" t="s">
        <v>144</v>
      </c>
      <c r="AE386" s="46" t="s">
        <v>1283</v>
      </c>
      <c r="AF386" s="122" t="s">
        <v>767</v>
      </c>
      <c r="AG386" s="105">
        <f>IF(TAB_HISTORICO_MANUT[[#This Row],[Hora Inicio]]="","",MONTH(TAB_HISTORICO_MANUT[[#This Row],[Hora Inicio]]))</f>
        <v>5</v>
      </c>
      <c r="AH386" s="58"/>
      <c r="AI386" s="43" t="s">
        <v>235</v>
      </c>
      <c r="AJ386" s="43" t="s">
        <v>717</v>
      </c>
      <c r="AK386" s="43" t="s">
        <v>717</v>
      </c>
      <c r="AL386" s="43" t="s">
        <v>275</v>
      </c>
      <c r="AM386" s="114" t="s">
        <v>276</v>
      </c>
      <c r="AN386" s="43"/>
      <c r="AO386" s="43"/>
      <c r="AP386" s="43"/>
    </row>
    <row r="387" spans="1:42" ht="50.1" customHeight="1" x14ac:dyDescent="0.25">
      <c r="A387" s="43">
        <f>MONTH(TAB_HISTORICO_MANUT[[#This Row],[Hora Final]])-MONTH(TAB_HISTORICO_MANUT[[#This Row],[Hora Inicio]])</f>
        <v>0</v>
      </c>
      <c r="B387" s="42"/>
      <c r="C387" s="43"/>
      <c r="D387" s="42"/>
      <c r="E387" s="42"/>
      <c r="F387" s="42"/>
      <c r="G387" s="42"/>
      <c r="H387" s="42"/>
      <c r="I387" s="42"/>
      <c r="J387" s="42"/>
      <c r="K387" s="42"/>
      <c r="L387" s="42"/>
      <c r="M387" s="42" t="s">
        <v>98</v>
      </c>
      <c r="N387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Inicio]]=Z386,TAB_HISTORICO_MANUT[[#This Row],[Equipamento]]=AA386,TAB_HISTORICO_MANUT[[#This Row],[Descricao Despacho]]=AD386),0,1)))</f>
        <v/>
      </c>
      <c r="O38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87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8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87" s="50" t="str">
        <f>IF($Q387="","",(TAB_HISTORICO_MANUT[[#This Row],[Hora Final]]-TAB_HISTORICO_MANUT[[#This Row],[Hora Inicio]])*24)</f>
        <v/>
      </c>
      <c r="S38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87" s="54" t="str">
        <f>IF(AND(TAB_HISTORICO_MANUT[[#This Row],[EXPURGO Mãe]]="SIM",TAB_HISTORICO_MANUT[[#This Row],[Tipo]]="MÃE"),"EXP.MAE",IF(TAB_HISTORICO_MANUT[[#This Row],[EXPURGO Mãe]]="NÃO","NÃO EXP.MAE",T386))</f>
        <v>NÃO EXP.MAE</v>
      </c>
      <c r="U38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87" s="56">
        <f>IF(TAB_HISTORICO_MANUT[[#This Row],[EXPURGO Filhas]]="SIM",MAX(TAB_HISTORICO_MANUT[[#This Row],[Hora Final]]-TAB_HISTORICO_MANUT[[#This Row],[Hora Inicio]],0),0)</f>
        <v>0.35679166666523088</v>
      </c>
      <c r="W38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8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87" s="46">
        <v>46166.893208333335</v>
      </c>
      <c r="Z387" s="47">
        <v>46167.25</v>
      </c>
      <c r="AA387" s="48" t="s">
        <v>232</v>
      </c>
      <c r="AB387" s="48">
        <v>202601729918</v>
      </c>
      <c r="AC387" s="43" t="s">
        <v>204</v>
      </c>
      <c r="AD387" s="46" t="s">
        <v>144</v>
      </c>
      <c r="AE387" s="46" t="s">
        <v>1283</v>
      </c>
      <c r="AF387" s="122" t="s">
        <v>767</v>
      </c>
      <c r="AG387" s="105">
        <f>IF(TAB_HISTORICO_MANUT[[#This Row],[Hora Inicio]]="","",MONTH(TAB_HISTORICO_MANUT[[#This Row],[Hora Inicio]]))</f>
        <v>5</v>
      </c>
      <c r="AH387" s="58"/>
      <c r="AI387" s="43" t="s">
        <v>235</v>
      </c>
      <c r="AJ387" s="43" t="s">
        <v>717</v>
      </c>
      <c r="AK387" s="43" t="s">
        <v>717</v>
      </c>
      <c r="AL387" s="43" t="s">
        <v>275</v>
      </c>
      <c r="AM387" s="114" t="s">
        <v>276</v>
      </c>
      <c r="AN387" s="43"/>
      <c r="AO387" s="43"/>
      <c r="AP387" s="43"/>
    </row>
    <row r="388" spans="1:42" ht="50.1" customHeight="1" x14ac:dyDescent="0.25">
      <c r="A388" s="43">
        <f>MONTH(TAB_HISTORICO_MANUT[[#This Row],[Hora Final]])-MONTH(TAB_HISTORICO_MANUT[[#This Row],[Hora Inicio]])</f>
        <v>0</v>
      </c>
      <c r="B388" s="42"/>
      <c r="C388" s="43"/>
      <c r="D388" s="42"/>
      <c r="E388" s="42"/>
      <c r="F388" s="42"/>
      <c r="G388" s="42"/>
      <c r="H388" s="42"/>
      <c r="I388" s="42"/>
      <c r="J388" s="42"/>
      <c r="K388" s="42"/>
      <c r="L388" s="42"/>
      <c r="M388" s="42" t="s">
        <v>98</v>
      </c>
      <c r="N388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Inicio]]=Z387,TAB_HISTORICO_MANUT[[#This Row],[Equipamento]]=AA387,TAB_HISTORICO_MANUT[[#This Row],[Descricao Despacho]]=AD387),0,1)))</f>
        <v/>
      </c>
      <c r="O38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88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8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88" s="50" t="str">
        <f>IF($Q388="","",(TAB_HISTORICO_MANUT[[#This Row],[Hora Final]]-TAB_HISTORICO_MANUT[[#This Row],[Hora Inicio]])*24)</f>
        <v/>
      </c>
      <c r="S38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88" s="54" t="str">
        <f>IF(AND(TAB_HISTORICO_MANUT[[#This Row],[EXPURGO Mãe]]="SIM",TAB_HISTORICO_MANUT[[#This Row],[Tipo]]="MÃE"),"EXP.MAE",IF(TAB_HISTORICO_MANUT[[#This Row],[EXPURGO Mãe]]="NÃO","NÃO EXP.MAE",T387))</f>
        <v>NÃO EXP.MAE</v>
      </c>
      <c r="U38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88" s="56">
        <f>IF(TAB_HISTORICO_MANUT[[#This Row],[EXPURGO Filhas]]="SIM",MAX(TAB_HISTORICO_MANUT[[#This Row],[Hora Final]]-TAB_HISTORICO_MANUT[[#This Row],[Hora Inicio]],0),0)</f>
        <v>5.9465277779963799E-2</v>
      </c>
      <c r="W38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8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88" s="46">
        <v>46168.759979166665</v>
      </c>
      <c r="Z388" s="47">
        <v>46168.819444444445</v>
      </c>
      <c r="AA388" s="48" t="s">
        <v>232</v>
      </c>
      <c r="AB388" s="48">
        <v>202601729918</v>
      </c>
      <c r="AC388" s="43" t="s">
        <v>204</v>
      </c>
      <c r="AD388" s="46" t="s">
        <v>144</v>
      </c>
      <c r="AE388" s="46" t="s">
        <v>1283</v>
      </c>
      <c r="AF388" s="122" t="s">
        <v>767</v>
      </c>
      <c r="AG388" s="105">
        <f>IF(TAB_HISTORICO_MANUT[[#This Row],[Hora Inicio]]="","",MONTH(TAB_HISTORICO_MANUT[[#This Row],[Hora Inicio]]))</f>
        <v>5</v>
      </c>
      <c r="AH388" s="58"/>
      <c r="AI388" s="43" t="s">
        <v>235</v>
      </c>
      <c r="AJ388" s="43" t="s">
        <v>717</v>
      </c>
      <c r="AK388" s="43" t="s">
        <v>717</v>
      </c>
      <c r="AL388" s="43" t="s">
        <v>275</v>
      </c>
      <c r="AM388" s="43" t="s">
        <v>276</v>
      </c>
      <c r="AN388" s="43"/>
      <c r="AO388" s="43"/>
      <c r="AP388" s="43"/>
    </row>
    <row r="389" spans="1:42" ht="50.1" customHeight="1" x14ac:dyDescent="0.25">
      <c r="A389" s="43">
        <f>MONTH(TAB_HISTORICO_MANUT[[#This Row],[Hora Final]])-MONTH(TAB_HISTORICO_MANUT[[#This Row],[Hora Inicio]])</f>
        <v>0</v>
      </c>
      <c r="B389" s="42"/>
      <c r="C389" s="43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Inicio]]=Z388,TAB_HISTORICO_MANUT[[#This Row],[Equipamento]]=AA388,TAB_HISTORICO_MANUT[[#This Row],[Descricao Despacho]]=AD388),0,1)))</f>
        <v>1</v>
      </c>
      <c r="O38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389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8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89" s="50">
        <f>IF($Q389="","",(TAB_HISTORICO_MANUT[[#This Row],[Hora Final]]-TAB_HISTORICO_MANUT[[#This Row],[Hora Inicio]])*24)</f>
        <v>2.3813888890435919</v>
      </c>
      <c r="S38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89" s="54" t="str">
        <f>IF(AND(TAB_HISTORICO_MANUT[[#This Row],[EXPURGO Mãe]]="SIM",TAB_HISTORICO_MANUT[[#This Row],[Tipo]]="MÃE"),"EXP.MAE",IF(TAB_HISTORICO_MANUT[[#This Row],[EXPURGO Mãe]]="NÃO","NÃO EXP.MAE",T388))</f>
        <v>NÃO EXP.MAE</v>
      </c>
      <c r="U38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89" s="56">
        <f>IF(TAB_HISTORICO_MANUT[[#This Row],[EXPURGO Filhas]]="SIM",MAX(TAB_HISTORICO_MANUT[[#This Row],[Hora Final]]-TAB_HISTORICO_MANUT[[#This Row],[Hora Inicio]],0),0)</f>
        <v>0</v>
      </c>
      <c r="W38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8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89" s="46">
        <v>46171.827581018515</v>
      </c>
      <c r="Z389" s="47">
        <v>46171.926805555559</v>
      </c>
      <c r="AA389" s="48" t="s">
        <v>232</v>
      </c>
      <c r="AB389" s="48" t="s">
        <v>1075</v>
      </c>
      <c r="AC389" s="43" t="s">
        <v>204</v>
      </c>
      <c r="AD389" s="46" t="s">
        <v>144</v>
      </c>
      <c r="AE389" s="46" t="s">
        <v>172</v>
      </c>
      <c r="AF389" s="122" t="s">
        <v>210</v>
      </c>
      <c r="AG389" s="105">
        <f>IF(TAB_HISTORICO_MANUT[[#This Row],[Hora Inicio]]="","",MONTH(TAB_HISTORICO_MANUT[[#This Row],[Hora Inicio]]))</f>
        <v>5</v>
      </c>
      <c r="AH389" s="58" t="s">
        <v>1085</v>
      </c>
      <c r="AI389" s="43" t="s">
        <v>235</v>
      </c>
      <c r="AJ389" s="43" t="s">
        <v>717</v>
      </c>
      <c r="AK389" s="43" t="s">
        <v>83</v>
      </c>
      <c r="AL389" s="43" t="s">
        <v>275</v>
      </c>
      <c r="AM389" s="114" t="s">
        <v>276</v>
      </c>
      <c r="AN389" s="43" t="s">
        <v>217</v>
      </c>
      <c r="AO389" s="43" t="s">
        <v>971</v>
      </c>
      <c r="AP389" s="43" t="s">
        <v>972</v>
      </c>
    </row>
    <row r="390" spans="1:42" ht="50.1" customHeight="1" x14ac:dyDescent="0.25">
      <c r="A390" s="43">
        <f>MONTH(TAB_HISTORICO_MANUT[[#This Row],[Hora Final]])-MONTH(TAB_HISTORICO_MANUT[[#This Row],[Hora Inicio]])</f>
        <v>0</v>
      </c>
      <c r="B390" s="42"/>
      <c r="C390" s="43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Inicio]]=Z389,TAB_HISTORICO_MANUT[[#This Row],[Equipamento]]=AA389,TAB_HISTORICO_MANUT[[#This Row],[Descricao Despacho]]=AD389),0,1)))</f>
        <v>1</v>
      </c>
      <c r="O39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390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39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390" s="50">
        <f>IF($Q390="","",(TAB_HISTORICO_MANUT[[#This Row],[Hora Final]]-TAB_HISTORICO_MANUT[[#This Row],[Hora Inicio]])*24)</f>
        <v>0.61111111112404615</v>
      </c>
      <c r="S39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90" s="54" t="str">
        <f>IF(AND(TAB_HISTORICO_MANUT[[#This Row],[EXPURGO Mãe]]="SIM",TAB_HISTORICO_MANUT[[#This Row],[Tipo]]="MÃE"),"EXP.MAE",IF(TAB_HISTORICO_MANUT[[#This Row],[EXPURGO Mãe]]="NÃO","NÃO EXP.MAE",T389))</f>
        <v>NÃO EXP.MAE</v>
      </c>
      <c r="U39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90" s="56">
        <f>IF(TAB_HISTORICO_MANUT[[#This Row],[EXPURGO Filhas]]="SIM",MAX(TAB_HISTORICO_MANUT[[#This Row],[Hora Final]]-TAB_HISTORICO_MANUT[[#This Row],[Hora Inicio]],0),0)</f>
        <v>0</v>
      </c>
      <c r="W39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9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90" s="46">
        <v>46172.37228009259</v>
      </c>
      <c r="Z390" s="47">
        <v>46172.397743055553</v>
      </c>
      <c r="AA390" s="48" t="s">
        <v>232</v>
      </c>
      <c r="AB390" s="48"/>
      <c r="AC390" s="43" t="s">
        <v>205</v>
      </c>
      <c r="AD390" s="46" t="s">
        <v>145</v>
      </c>
      <c r="AE390" s="46" t="s">
        <v>173</v>
      </c>
      <c r="AF390" s="122" t="s">
        <v>210</v>
      </c>
      <c r="AG390" s="105">
        <f>IF(TAB_HISTORICO_MANUT[[#This Row],[Hora Inicio]]="","",MONTH(TAB_HISTORICO_MANUT[[#This Row],[Hora Inicio]]))</f>
        <v>5</v>
      </c>
      <c r="AH390" s="58"/>
      <c r="AI390" s="43" t="s">
        <v>21</v>
      </c>
      <c r="AJ390" s="43" t="s">
        <v>21</v>
      </c>
      <c r="AK390" s="43" t="s">
        <v>21</v>
      </c>
      <c r="AL390" s="43" t="s">
        <v>21</v>
      </c>
      <c r="AM390" s="43" t="s">
        <v>21</v>
      </c>
      <c r="AN390" s="43"/>
      <c r="AO390" s="43"/>
      <c r="AP390" s="43"/>
    </row>
    <row r="391" spans="1:42" ht="50.1" customHeight="1" x14ac:dyDescent="0.25">
      <c r="A391" s="43">
        <f>MONTH(TAB_HISTORICO_MANUT[[#This Row],[Hora Final]])-MONTH(TAB_HISTORICO_MANUT[[#This Row],[Hora Inicio]])</f>
        <v>0</v>
      </c>
      <c r="B391" s="42"/>
      <c r="C391" s="43"/>
      <c r="D391" s="42"/>
      <c r="E391" s="42"/>
      <c r="F391" s="42"/>
      <c r="G391" s="42"/>
      <c r="H391" s="42"/>
      <c r="I391" s="42"/>
      <c r="J391" s="42"/>
      <c r="K391" s="42"/>
      <c r="L391" s="42"/>
      <c r="M391" s="42" t="s">
        <v>98</v>
      </c>
      <c r="N391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Inicio]]=Z390,TAB_HISTORICO_MANUT[[#This Row],[Equipamento]]=AA390,TAB_HISTORICO_MANUT[[#This Row],[Descricao Despacho]]=AD390),0,1)))</f>
        <v/>
      </c>
      <c r="O39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91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9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91" s="50" t="str">
        <f>IF($Q391="","",(TAB_HISTORICO_MANUT[[#This Row],[Hora Final]]-TAB_HISTORICO_MANUT[[#This Row],[Hora Inicio]])*24)</f>
        <v/>
      </c>
      <c r="S39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91" s="54" t="str">
        <f>IF(AND(TAB_HISTORICO_MANUT[[#This Row],[EXPURGO Mãe]]="SIM",TAB_HISTORICO_MANUT[[#This Row],[Tipo]]="MÃE"),"EXP.MAE",IF(TAB_HISTORICO_MANUT[[#This Row],[EXPURGO Mãe]]="NÃO","NÃO EXP.MAE",T390))</f>
        <v>NÃO EXP.MAE</v>
      </c>
      <c r="U39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91" s="56">
        <f>IF(TAB_HISTORICO_MANUT[[#This Row],[EXPURGO Filhas]]="SIM",MAX(TAB_HISTORICO_MANUT[[#This Row],[Hora Final]]-TAB_HISTORICO_MANUT[[#This Row],[Hora Inicio]],0),0)</f>
        <v>2.1803935182106216E-2</v>
      </c>
      <c r="W39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9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91" s="46">
        <v>46172.375939120371</v>
      </c>
      <c r="Z391" s="47">
        <v>46172.397743055553</v>
      </c>
      <c r="AA391" s="48" t="s">
        <v>232</v>
      </c>
      <c r="AB391" s="48"/>
      <c r="AC391" s="43" t="s">
        <v>205</v>
      </c>
      <c r="AD391" s="46" t="s">
        <v>145</v>
      </c>
      <c r="AE391" s="46" t="s">
        <v>173</v>
      </c>
      <c r="AF391" s="122" t="s">
        <v>767</v>
      </c>
      <c r="AG391" s="105">
        <f>IF(TAB_HISTORICO_MANUT[[#This Row],[Hora Inicio]]="","",MONTH(TAB_HISTORICO_MANUT[[#This Row],[Hora Inicio]]))</f>
        <v>5</v>
      </c>
      <c r="AH391" s="58"/>
      <c r="AI391" s="43" t="s">
        <v>21</v>
      </c>
      <c r="AJ391" s="43" t="s">
        <v>21</v>
      </c>
      <c r="AK391" s="43" t="s">
        <v>21</v>
      </c>
      <c r="AL391" s="43" t="s">
        <v>21</v>
      </c>
      <c r="AM391" s="43" t="s">
        <v>21</v>
      </c>
      <c r="AN391" s="43"/>
      <c r="AO391" s="43"/>
      <c r="AP391" s="43"/>
    </row>
    <row r="392" spans="1:42" ht="50.1" customHeight="1" x14ac:dyDescent="0.25">
      <c r="A392" s="43">
        <f>MONTH(TAB_HISTORICO_MANUT[[#This Row],[Hora Final]])-MONTH(TAB_HISTORICO_MANUT[[#This Row],[Hora Inicio]])</f>
        <v>0</v>
      </c>
      <c r="B392" s="42"/>
      <c r="C392" s="43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Inicio]]=Z391,TAB_HISTORICO_MANUT[[#This Row],[Equipamento]]=AA391,TAB_HISTORICO_MANUT[[#This Row],[Descricao Despacho]]=AD391),0,1)))</f>
        <v>1</v>
      </c>
      <c r="O39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392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9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92" s="50">
        <f>IF($Q392="","",(TAB_HISTORICO_MANUT[[#This Row],[Hora Final]]-TAB_HISTORICO_MANUT[[#This Row],[Hora Inicio]])*24)</f>
        <v>1.652777777868323</v>
      </c>
      <c r="S39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92" s="54" t="str">
        <f>IF(AND(TAB_HISTORICO_MANUT[[#This Row],[EXPURGO Mãe]]="SIM",TAB_HISTORICO_MANUT[[#This Row],[Tipo]]="MÃE"),"EXP.MAE",IF(TAB_HISTORICO_MANUT[[#This Row],[EXPURGO Mãe]]="NÃO","NÃO EXP.MAE",T391))</f>
        <v>NÃO EXP.MAE</v>
      </c>
      <c r="U39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92" s="56">
        <f>IF(TAB_HISTORICO_MANUT[[#This Row],[EXPURGO Filhas]]="SIM",MAX(TAB_HISTORICO_MANUT[[#This Row],[Hora Final]]-TAB_HISTORICO_MANUT[[#This Row],[Hora Inicio]],0),0)</f>
        <v>0</v>
      </c>
      <c r="W39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9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92" s="46">
        <v>46174.335775462961</v>
      </c>
      <c r="Z392" s="47">
        <v>46174.404641203706</v>
      </c>
      <c r="AA392" s="48" t="s">
        <v>232</v>
      </c>
      <c r="AB392" s="48" t="s">
        <v>1102</v>
      </c>
      <c r="AC392" s="43" t="s">
        <v>204</v>
      </c>
      <c r="AD392" s="46" t="s">
        <v>144</v>
      </c>
      <c r="AE392" s="46" t="s">
        <v>172</v>
      </c>
      <c r="AF392" s="122" t="s">
        <v>210</v>
      </c>
      <c r="AG392" s="105">
        <f>IF(TAB_HISTORICO_MANUT[[#This Row],[Hora Inicio]]="","",MONTH(TAB_HISTORICO_MANUT[[#This Row],[Hora Inicio]]))</f>
        <v>6</v>
      </c>
      <c r="AH392" s="58" t="s">
        <v>1103</v>
      </c>
      <c r="AI392" s="43" t="s">
        <v>24</v>
      </c>
      <c r="AJ392" s="43" t="s">
        <v>223</v>
      </c>
      <c r="AK392" s="43" t="s">
        <v>422</v>
      </c>
      <c r="AL392" s="43" t="s">
        <v>279</v>
      </c>
      <c r="AM392" s="114" t="s">
        <v>280</v>
      </c>
      <c r="AN392" s="43" t="s">
        <v>217</v>
      </c>
      <c r="AO392" s="43" t="s">
        <v>405</v>
      </c>
      <c r="AP392" s="43" t="s">
        <v>403</v>
      </c>
    </row>
    <row r="393" spans="1:42" ht="50.1" customHeight="1" x14ac:dyDescent="0.25">
      <c r="A393" s="43">
        <f>MONTH(TAB_HISTORICO_MANUT[[#This Row],[Hora Final]])-MONTH(TAB_HISTORICO_MANUT[[#This Row],[Hora Inicio]])</f>
        <v>0</v>
      </c>
      <c r="B393" s="42"/>
      <c r="C393" s="43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Inicio]]=Z392,TAB_HISTORICO_MANUT[[#This Row],[Equipamento]]=AA392,TAB_HISTORICO_MANUT[[#This Row],[Descricao Despacho]]=AD392),0,1)))</f>
        <v>1</v>
      </c>
      <c r="O39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393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39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393" s="50">
        <f>IF($Q393="","",(TAB_HISTORICO_MANUT[[#This Row],[Hora Final]]-TAB_HISTORICO_MANUT[[#This Row],[Hora Inicio]])*24)</f>
        <v>1.3355555555317551</v>
      </c>
      <c r="S39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93" s="54" t="str">
        <f>IF(AND(TAB_HISTORICO_MANUT[[#This Row],[EXPURGO Mãe]]="SIM",TAB_HISTORICO_MANUT[[#This Row],[Tipo]]="MÃE"),"EXP.MAE",IF(TAB_HISTORICO_MANUT[[#This Row],[EXPURGO Mãe]]="NÃO","NÃO EXP.MAE",T392))</f>
        <v>NÃO EXP.MAE</v>
      </c>
      <c r="U39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93" s="56">
        <f>IF(TAB_HISTORICO_MANUT[[#This Row],[EXPURGO Filhas]]="SIM",MAX(TAB_HISTORICO_MANUT[[#This Row],[Hora Final]]-TAB_HISTORICO_MANUT[[#This Row],[Hora Inicio]],0),0)</f>
        <v>0</v>
      </c>
      <c r="W39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9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93" s="46">
        <v>46176.439837962964</v>
      </c>
      <c r="Z393" s="47">
        <v>46176.495486111111</v>
      </c>
      <c r="AA393" s="48" t="s">
        <v>232</v>
      </c>
      <c r="AB393" s="48"/>
      <c r="AC393" s="43" t="s">
        <v>882</v>
      </c>
      <c r="AD393" s="46" t="s">
        <v>146</v>
      </c>
      <c r="AE393" s="46" t="s">
        <v>883</v>
      </c>
      <c r="AF393" s="122" t="s">
        <v>210</v>
      </c>
      <c r="AG393" s="105">
        <f>IF(TAB_HISTORICO_MANUT[[#This Row],[Hora Inicio]]="","",MONTH(TAB_HISTORICO_MANUT[[#This Row],[Hora Inicio]]))</f>
        <v>6</v>
      </c>
      <c r="AH393" s="58" t="s">
        <v>751</v>
      </c>
      <c r="AI393" s="43" t="s">
        <v>25</v>
      </c>
      <c r="AJ393" s="43" t="s">
        <v>25</v>
      </c>
      <c r="AK393" s="43" t="s">
        <v>25</v>
      </c>
      <c r="AL393" s="43" t="s">
        <v>25</v>
      </c>
      <c r="AM393" s="114" t="s">
        <v>25</v>
      </c>
      <c r="AN393" s="43"/>
      <c r="AO393" s="43"/>
      <c r="AP393" s="43"/>
    </row>
    <row r="394" spans="1:42" ht="50.1" customHeight="1" x14ac:dyDescent="0.25">
      <c r="A394" s="43">
        <f>MONTH(TAB_HISTORICO_MANUT[[#This Row],[Hora Final]])-MONTH(TAB_HISTORICO_MANUT[[#This Row],[Hora Inicio]])</f>
        <v>0</v>
      </c>
      <c r="B394" s="42"/>
      <c r="C394" s="43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Inicio]]=Z393,TAB_HISTORICO_MANUT[[#This Row],[Equipamento]]=AA393,TAB_HISTORICO_MANUT[[#This Row],[Descricao Despacho]]=AD393),0,1)))</f>
        <v>1</v>
      </c>
      <c r="O39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394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9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94" s="50">
        <f>IF($Q394="","",(TAB_HISTORICO_MANUT[[#This Row],[Hora Final]]-TAB_HISTORICO_MANUT[[#This Row],[Hora Inicio]])*24)</f>
        <v>1.7358333332813345</v>
      </c>
      <c r="S39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94" s="54" t="str">
        <f>IF(AND(TAB_HISTORICO_MANUT[[#This Row],[EXPURGO Mãe]]="SIM",TAB_HISTORICO_MANUT[[#This Row],[Tipo]]="MÃE"),"EXP.MAE",IF(TAB_HISTORICO_MANUT[[#This Row],[EXPURGO Mãe]]="NÃO","NÃO EXP.MAE",T393))</f>
        <v>NÃO EXP.MAE</v>
      </c>
      <c r="U39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94" s="56">
        <f>IF(TAB_HISTORICO_MANUT[[#This Row],[EXPURGO Filhas]]="SIM",MAX(TAB_HISTORICO_MANUT[[#This Row],[Hora Final]]-TAB_HISTORICO_MANUT[[#This Row],[Hora Inicio]],0),0)</f>
        <v>0</v>
      </c>
      <c r="W39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9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94" s="46">
        <v>46176.791400462964</v>
      </c>
      <c r="Z394" s="47">
        <v>46176.863726851851</v>
      </c>
      <c r="AA394" s="48" t="s">
        <v>232</v>
      </c>
      <c r="AB394" s="48" t="s">
        <v>1114</v>
      </c>
      <c r="AC394" s="43" t="s">
        <v>204</v>
      </c>
      <c r="AD394" s="46" t="s">
        <v>144</v>
      </c>
      <c r="AE394" s="46" t="s">
        <v>172</v>
      </c>
      <c r="AF394" s="122" t="s">
        <v>210</v>
      </c>
      <c r="AG394" s="105">
        <f>IF(TAB_HISTORICO_MANUT[[#This Row],[Hora Inicio]]="","",MONTH(TAB_HISTORICO_MANUT[[#This Row],[Hora Inicio]]))</f>
        <v>6</v>
      </c>
      <c r="AH394" s="58" t="s">
        <v>1110</v>
      </c>
      <c r="AI394" s="43" t="s">
        <v>24</v>
      </c>
      <c r="AJ394" s="43" t="s">
        <v>223</v>
      </c>
      <c r="AK394" s="43" t="s">
        <v>422</v>
      </c>
      <c r="AL394" s="43" t="s">
        <v>279</v>
      </c>
      <c r="AM394" s="43" t="s">
        <v>280</v>
      </c>
      <c r="AN394" s="43" t="s">
        <v>217</v>
      </c>
      <c r="AO394" s="43" t="s">
        <v>405</v>
      </c>
      <c r="AP394" s="43" t="s">
        <v>403</v>
      </c>
    </row>
    <row r="395" spans="1:42" ht="50.1" customHeight="1" x14ac:dyDescent="0.25">
      <c r="A395" s="43">
        <f>MONTH(TAB_HISTORICO_MANUT[[#This Row],[Hora Final]])-MONTH(TAB_HISTORICO_MANUT[[#This Row],[Hora Inicio]])</f>
        <v>0</v>
      </c>
      <c r="B395" s="42"/>
      <c r="C395" s="43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Inicio]]=Z394,TAB_HISTORICO_MANUT[[#This Row],[Equipamento]]=AA394,TAB_HISTORICO_MANUT[[#This Row],[Descricao Despacho]]=AD394),0,1)))</f>
        <v/>
      </c>
      <c r="O39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95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9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95" s="50" t="str">
        <f>IF($Q395="","",(TAB_HISTORICO_MANUT[[#This Row],[Hora Final]]-TAB_HISTORICO_MANUT[[#This Row],[Hora Inicio]])*24)</f>
        <v/>
      </c>
      <c r="S39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95" s="54" t="str">
        <f>IF(AND(TAB_HISTORICO_MANUT[[#This Row],[EXPURGO Mãe]]="SIM",TAB_HISTORICO_MANUT[[#This Row],[Tipo]]="MÃE"),"EXP.MAE",IF(TAB_HISTORICO_MANUT[[#This Row],[EXPURGO Mãe]]="NÃO","NÃO EXP.MAE",T394))</f>
        <v>NÃO EXP.MAE</v>
      </c>
      <c r="U39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95" s="56">
        <f>IF(TAB_HISTORICO_MANUT[[#This Row],[EXPURGO Filhas]]="SIM",MAX(TAB_HISTORICO_MANUT[[#This Row],[Hora Final]]-TAB_HISTORICO_MANUT[[#This Row],[Hora Inicio]],0),0)</f>
        <v>1.3888888934161514E-3</v>
      </c>
      <c r="W39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9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95" s="46">
        <v>46176.859027777777</v>
      </c>
      <c r="Z395" s="47">
        <v>46176.86041666667</v>
      </c>
      <c r="AA395" s="48" t="s">
        <v>232</v>
      </c>
      <c r="AB395" s="48">
        <v>202602861429</v>
      </c>
      <c r="AC395" s="43" t="s">
        <v>204</v>
      </c>
      <c r="AD395" s="46" t="s">
        <v>144</v>
      </c>
      <c r="AE395" s="46" t="s">
        <v>765</v>
      </c>
      <c r="AF395" s="122" t="s">
        <v>767</v>
      </c>
      <c r="AG395" s="105">
        <f>IF(TAB_HISTORICO_MANUT[[#This Row],[Hora Inicio]]="","",MONTH(TAB_HISTORICO_MANUT[[#This Row],[Hora Inicio]]))</f>
        <v>6</v>
      </c>
      <c r="AH395" s="58" t="s">
        <v>1309</v>
      </c>
      <c r="AI395" s="43" t="s">
        <v>24</v>
      </c>
      <c r="AJ395" s="43" t="s">
        <v>223</v>
      </c>
      <c r="AK395" s="43" t="s">
        <v>422</v>
      </c>
      <c r="AL395" s="43" t="s">
        <v>279</v>
      </c>
      <c r="AM395" s="43" t="s">
        <v>280</v>
      </c>
      <c r="AN395" s="43"/>
      <c r="AO395" s="43"/>
      <c r="AP395" s="43"/>
    </row>
    <row r="396" spans="1:42" ht="50.1" customHeight="1" x14ac:dyDescent="0.25">
      <c r="A396" s="43">
        <f>MONTH(TAB_HISTORICO_MANUT[[#This Row],[Hora Final]])-MONTH(TAB_HISTORICO_MANUT[[#This Row],[Hora Inicio]])</f>
        <v>0</v>
      </c>
      <c r="B396" s="42"/>
      <c r="C396" s="43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Inicio]]=Z395,TAB_HISTORICO_MANUT[[#This Row],[Equipamento]]=AA395,TAB_HISTORICO_MANUT[[#This Row],[Descricao Despacho]]=AD395),0,1)))</f>
        <v>1</v>
      </c>
      <c r="O39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39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9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96" s="50">
        <f>IF($Q396="","",(TAB_HISTORICO_MANUT[[#This Row],[Hora Final]]-TAB_HISTORICO_MANUT[[#This Row],[Hora Inicio]])*24)</f>
        <v>0.87833333329763263</v>
      </c>
      <c r="S39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96" s="54" t="str">
        <f>IF(AND(TAB_HISTORICO_MANUT[[#This Row],[EXPURGO Mãe]]="SIM",TAB_HISTORICO_MANUT[[#This Row],[Tipo]]="MÃE"),"EXP.MAE",IF(TAB_HISTORICO_MANUT[[#This Row],[EXPURGO Mãe]]="NÃO","NÃO EXP.MAE",T395))</f>
        <v>NÃO EXP.MAE</v>
      </c>
      <c r="U39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96" s="56">
        <f>IF(TAB_HISTORICO_MANUT[[#This Row],[EXPURGO Filhas]]="SIM",MAX(TAB_HISTORICO_MANUT[[#This Row],[Hora Final]]-TAB_HISTORICO_MANUT[[#This Row],[Hora Inicio]],0),0)</f>
        <v>0</v>
      </c>
      <c r="W39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9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96" s="46">
        <v>46179.384618055556</v>
      </c>
      <c r="Z396" s="47">
        <v>46179.421215277776</v>
      </c>
      <c r="AA396" s="48" t="s">
        <v>232</v>
      </c>
      <c r="AB396" s="48" t="s">
        <v>1118</v>
      </c>
      <c r="AC396" s="43" t="s">
        <v>204</v>
      </c>
      <c r="AD396" s="46" t="s">
        <v>144</v>
      </c>
      <c r="AE396" s="46" t="s">
        <v>172</v>
      </c>
      <c r="AF396" s="122" t="s">
        <v>210</v>
      </c>
      <c r="AG396" s="105">
        <f>IF(TAB_HISTORICO_MANUT[[#This Row],[Hora Inicio]]="","",MONTH(TAB_HISTORICO_MANUT[[#This Row],[Hora Inicio]]))</f>
        <v>6</v>
      </c>
      <c r="AH396" s="58" t="s">
        <v>1122</v>
      </c>
      <c r="AI396" s="43" t="s">
        <v>28</v>
      </c>
      <c r="AJ396" s="43" t="s">
        <v>30</v>
      </c>
      <c r="AK396" s="43" t="s">
        <v>1067</v>
      </c>
      <c r="AL396" s="43" t="s">
        <v>275</v>
      </c>
      <c r="AM396" s="43" t="s">
        <v>276</v>
      </c>
      <c r="AN396" s="43" t="s">
        <v>217</v>
      </c>
      <c r="AO396" s="43" t="s">
        <v>316</v>
      </c>
      <c r="AP396" s="43" t="s">
        <v>1063</v>
      </c>
    </row>
    <row r="397" spans="1:42" ht="50.1" customHeight="1" x14ac:dyDescent="0.25">
      <c r="A397" s="43">
        <f>MONTH(TAB_HISTORICO_MANUT[[#This Row],[Hora Final]])-MONTH(TAB_HISTORICO_MANUT[[#This Row],[Hora Inicio]])</f>
        <v>0</v>
      </c>
      <c r="B397" s="42"/>
      <c r="C397" s="43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Inicio]]=Z396,TAB_HISTORICO_MANUT[[#This Row],[Equipamento]]=AA396,TAB_HISTORICO_MANUT[[#This Row],[Descricao Despacho]]=AD396),0,1)))</f>
        <v>1</v>
      </c>
      <c r="O39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397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9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97" s="50">
        <f>IF($Q397="","",(TAB_HISTORICO_MANUT[[#This Row],[Hora Final]]-TAB_HISTORICO_MANUT[[#This Row],[Hora Inicio]])*24)</f>
        <v>2.6666666666278616</v>
      </c>
      <c r="S39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97" s="54" t="str">
        <f>IF(AND(TAB_HISTORICO_MANUT[[#This Row],[EXPURGO Mãe]]="SIM",TAB_HISTORICO_MANUT[[#This Row],[Tipo]]="MÃE"),"EXP.MAE",IF(TAB_HISTORICO_MANUT[[#This Row],[EXPURGO Mãe]]="NÃO","NÃO EXP.MAE",T396))</f>
        <v>NÃO EXP.MAE</v>
      </c>
      <c r="U39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97" s="56">
        <f>IF(TAB_HISTORICO_MANUT[[#This Row],[EXPURGO Filhas]]="SIM",MAX(TAB_HISTORICO_MANUT[[#This Row],[Hora Final]]-TAB_HISTORICO_MANUT[[#This Row],[Hora Inicio]],0),0)</f>
        <v>0</v>
      </c>
      <c r="W39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9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97" s="46">
        <v>46180.852847222224</v>
      </c>
      <c r="Z397" s="47">
        <v>46180.963958333334</v>
      </c>
      <c r="AA397" s="48" t="s">
        <v>232</v>
      </c>
      <c r="AB397" s="48" t="s">
        <v>1120</v>
      </c>
      <c r="AC397" s="43" t="s">
        <v>204</v>
      </c>
      <c r="AD397" s="46" t="s">
        <v>144</v>
      </c>
      <c r="AE397" s="46" t="s">
        <v>172</v>
      </c>
      <c r="AF397" s="122" t="s">
        <v>210</v>
      </c>
      <c r="AG397" s="105">
        <f>IF(TAB_HISTORICO_MANUT[[#This Row],[Hora Inicio]]="","",MONTH(TAB_HISTORICO_MANUT[[#This Row],[Hora Inicio]]))</f>
        <v>6</v>
      </c>
      <c r="AH397" s="58" t="s">
        <v>1125</v>
      </c>
      <c r="AI397" s="43" t="s">
        <v>24</v>
      </c>
      <c r="AJ397" s="43" t="s">
        <v>223</v>
      </c>
      <c r="AK397" s="43" t="s">
        <v>422</v>
      </c>
      <c r="AL397" s="43" t="s">
        <v>279</v>
      </c>
      <c r="AM397" s="114" t="s">
        <v>280</v>
      </c>
      <c r="AN397" s="43" t="s">
        <v>217</v>
      </c>
      <c r="AO397" s="43" t="s">
        <v>419</v>
      </c>
      <c r="AP397" s="43" t="s">
        <v>577</v>
      </c>
    </row>
    <row r="398" spans="1:42" ht="50.1" customHeight="1" x14ac:dyDescent="0.25">
      <c r="A398" s="43">
        <f>MONTH(TAB_HISTORICO_MANUT[[#This Row],[Hora Final]])-MONTH(TAB_HISTORICO_MANUT[[#This Row],[Hora Inicio]])</f>
        <v>0</v>
      </c>
      <c r="B398" s="42"/>
      <c r="C398" s="43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Inicio]]=Z397,TAB_HISTORICO_MANUT[[#This Row],[Equipamento]]=AA397,TAB_HISTORICO_MANUT[[#This Row],[Descricao Despacho]]=AD397),0,1)))</f>
        <v/>
      </c>
      <c r="O39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398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39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398" s="50" t="str">
        <f>IF($Q398="","",(TAB_HISTORICO_MANUT[[#This Row],[Hora Final]]-TAB_HISTORICO_MANUT[[#This Row],[Hora Inicio]])*24)</f>
        <v/>
      </c>
      <c r="S39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398" s="54" t="str">
        <f>IF(AND(TAB_HISTORICO_MANUT[[#This Row],[EXPURGO Mãe]]="SIM",TAB_HISTORICO_MANUT[[#This Row],[Tipo]]="MÃE"),"EXP.MAE",IF(TAB_HISTORICO_MANUT[[#This Row],[EXPURGO Mãe]]="NÃO","NÃO EXP.MAE",T397))</f>
        <v>NÃO EXP.MAE</v>
      </c>
      <c r="U39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398" s="56">
        <f>IF(TAB_HISTORICO_MANUT[[#This Row],[EXPURGO Filhas]]="SIM",MAX(TAB_HISTORICO_MANUT[[#This Row],[Hora Final]]-TAB_HISTORICO_MANUT[[#This Row],[Hora Inicio]],0),0)</f>
        <v>4.8611111109494232E-2</v>
      </c>
      <c r="W39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9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98" s="46">
        <v>46180.911805555559</v>
      </c>
      <c r="Z398" s="47">
        <v>46180.960416666669</v>
      </c>
      <c r="AA398" s="48" t="s">
        <v>232</v>
      </c>
      <c r="AB398" s="48">
        <v>202602914283</v>
      </c>
      <c r="AC398" s="43" t="s">
        <v>204</v>
      </c>
      <c r="AD398" s="46" t="s">
        <v>144</v>
      </c>
      <c r="AE398" s="46" t="s">
        <v>765</v>
      </c>
      <c r="AF398" s="122" t="s">
        <v>767</v>
      </c>
      <c r="AG398" s="105">
        <f>IF(TAB_HISTORICO_MANUT[[#This Row],[Hora Inicio]]="","",MONTH(TAB_HISTORICO_MANUT[[#This Row],[Hora Inicio]]))</f>
        <v>6</v>
      </c>
      <c r="AH398" s="58" t="s">
        <v>1310</v>
      </c>
      <c r="AI398" s="43" t="s">
        <v>24</v>
      </c>
      <c r="AJ398" s="43" t="s">
        <v>223</v>
      </c>
      <c r="AK398" s="43" t="s">
        <v>422</v>
      </c>
      <c r="AL398" s="43" t="s">
        <v>279</v>
      </c>
      <c r="AM398" s="114" t="s">
        <v>280</v>
      </c>
      <c r="AN398" s="43"/>
      <c r="AO398" s="43"/>
      <c r="AP398" s="43"/>
    </row>
    <row r="399" spans="1:42" ht="50.1" customHeight="1" x14ac:dyDescent="0.25">
      <c r="A399" s="115">
        <f>MONTH(TAB_HISTORICO_MANUT[[#This Row],[Hora Final]])-MONTH(TAB_HISTORICO_MANUT[[#This Row],[Hora Inicio]])</f>
        <v>0</v>
      </c>
      <c r="B399" s="116"/>
      <c r="C399" s="115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Inicio]]=Z398,TAB_HISTORICO_MANUT[[#This Row],[Equipamento]]=AA398,TAB_HISTORICO_MANUT[[#This Row],[Descricao Despacho]]=AD398),0,1)))</f>
        <v>1</v>
      </c>
      <c r="O39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39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39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399" s="107">
        <f>IF($Q399="","",(TAB_HISTORICO_MANUT[[#This Row],[Hora Final]]-TAB_HISTORICO_MANUT[[#This Row],[Hora Inicio]])*24)</f>
        <v>1.1511111111030914</v>
      </c>
      <c r="S39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399" s="109" t="str">
        <f>IF(AND(TAB_HISTORICO_MANUT[[#This Row],[EXPURGO Mãe]]="SIM",TAB_HISTORICO_MANUT[[#This Row],[Tipo]]="MÃE"),"EXP.MAE",IF(TAB_HISTORICO_MANUT[[#This Row],[EXPURGO Mãe]]="NÃO","NÃO EXP.MAE",T398))</f>
        <v>NÃO EXP.MAE</v>
      </c>
      <c r="U39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399" s="110">
        <f>IF(TAB_HISTORICO_MANUT[[#This Row],[EXPURGO Filhas]]="SIM",MAX(TAB_HISTORICO_MANUT[[#This Row],[Hora Final]]-TAB_HISTORICO_MANUT[[#This Row],[Hora Inicio]],0),0)</f>
        <v>0</v>
      </c>
      <c r="W39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39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399" s="117">
        <v>46182.847858796296</v>
      </c>
      <c r="Z399" s="118">
        <v>46182.895821759259</v>
      </c>
      <c r="AA399" s="119" t="s">
        <v>232</v>
      </c>
      <c r="AB399" s="119" t="s">
        <v>1133</v>
      </c>
      <c r="AC399" s="115" t="s">
        <v>204</v>
      </c>
      <c r="AD399" s="117" t="s">
        <v>144</v>
      </c>
      <c r="AE399" s="117" t="s">
        <v>172</v>
      </c>
      <c r="AF399" s="122" t="s">
        <v>210</v>
      </c>
      <c r="AG399" s="123">
        <f>IF(TAB_HISTORICO_MANUT[[#This Row],[Hora Inicio]]="","",MONTH(TAB_HISTORICO_MANUT[[#This Row],[Hora Inicio]]))</f>
        <v>6</v>
      </c>
      <c r="AH399" s="120" t="s">
        <v>1135</v>
      </c>
      <c r="AI399" s="115" t="s">
        <v>24</v>
      </c>
      <c r="AJ399" s="115" t="s">
        <v>223</v>
      </c>
      <c r="AK399" s="115" t="s">
        <v>422</v>
      </c>
      <c r="AL399" s="115" t="s">
        <v>279</v>
      </c>
      <c r="AM399" s="121" t="s">
        <v>280</v>
      </c>
      <c r="AN399" s="115" t="s">
        <v>217</v>
      </c>
      <c r="AO399" s="115" t="s">
        <v>405</v>
      </c>
      <c r="AP399" s="115" t="s">
        <v>403</v>
      </c>
    </row>
    <row r="400" spans="1:42" ht="50.1" customHeight="1" x14ac:dyDescent="0.25">
      <c r="A400" s="43">
        <f>MONTH(TAB_HISTORICO_MANUT[[#This Row],[Hora Final]])-MONTH(TAB_HISTORICO_MANUT[[#This Row],[Hora Inicio]])</f>
        <v>0</v>
      </c>
      <c r="B400" s="42"/>
      <c r="C400" s="43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Inicio]]=Z399,TAB_HISTORICO_MANUT[[#This Row],[Equipamento]]=AA399,TAB_HISTORICO_MANUT[[#This Row],[Descricao Despacho]]=AD399),0,1)))</f>
        <v>1</v>
      </c>
      <c r="O40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400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40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400" s="50">
        <f>IF($Q400="","",(TAB_HISTORICO_MANUT[[#This Row],[Hora Final]]-TAB_HISTORICO_MANUT[[#This Row],[Hora Inicio]])*24)</f>
        <v>7.222222164273262E-3</v>
      </c>
      <c r="S40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00" s="54" t="str">
        <f>IF(AND(TAB_HISTORICO_MANUT[[#This Row],[EXPURGO Mãe]]="SIM",TAB_HISTORICO_MANUT[[#This Row],[Tipo]]="MÃE"),"EXP.MAE",IF(TAB_HISTORICO_MANUT[[#This Row],[EXPURGO Mãe]]="NÃO","NÃO EXP.MAE",T399))</f>
        <v>NÃO EXP.MAE</v>
      </c>
      <c r="U40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00" s="56">
        <f>IF(TAB_HISTORICO_MANUT[[#This Row],[EXPURGO Filhas]]="SIM",MAX(TAB_HISTORICO_MANUT[[#This Row],[Hora Final]]-TAB_HISTORICO_MANUT[[#This Row],[Hora Inicio]],0),0)</f>
        <v>0</v>
      </c>
      <c r="W40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0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00" s="46">
        <v>46183.463252314818</v>
      </c>
      <c r="Z400" s="47">
        <v>46183.463553240741</v>
      </c>
      <c r="AA400" s="48" t="s">
        <v>232</v>
      </c>
      <c r="AB400" s="48"/>
      <c r="AC400" s="43" t="s">
        <v>882</v>
      </c>
      <c r="AD400" s="46" t="s">
        <v>146</v>
      </c>
      <c r="AE400" s="46" t="s">
        <v>883</v>
      </c>
      <c r="AF400" s="122" t="s">
        <v>210</v>
      </c>
      <c r="AG400" s="105">
        <f>IF(TAB_HISTORICO_MANUT[[#This Row],[Hora Inicio]]="","",MONTH(TAB_HISTORICO_MANUT[[#This Row],[Hora Inicio]]))</f>
        <v>6</v>
      </c>
      <c r="AH400" s="58"/>
      <c r="AI400" s="43" t="s">
        <v>25</v>
      </c>
      <c r="AJ400" s="43" t="s">
        <v>25</v>
      </c>
      <c r="AK400" s="43" t="s">
        <v>25</v>
      </c>
      <c r="AL400" s="43" t="s">
        <v>25</v>
      </c>
      <c r="AM400" s="43" t="s">
        <v>25</v>
      </c>
      <c r="AN400" s="43"/>
      <c r="AO400" s="43"/>
      <c r="AP400" s="43"/>
    </row>
    <row r="401" spans="1:42" ht="50.1" customHeight="1" x14ac:dyDescent="0.25">
      <c r="A401" s="43">
        <f>MONTH(TAB_HISTORICO_MANUT[[#This Row],[Hora Final]])-MONTH(TAB_HISTORICO_MANUT[[#This Row],[Hora Inicio]])</f>
        <v>0</v>
      </c>
      <c r="B401" s="42"/>
      <c r="C401" s="43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Inicio]]=Z400,TAB_HISTORICO_MANUT[[#This Row],[Equipamento]]=AA400,TAB_HISTORICO_MANUT[[#This Row],[Descricao Despacho]]=AD400),0,1)))</f>
        <v>1</v>
      </c>
      <c r="O40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401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40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401" s="50">
        <f>IF($Q401="","",(TAB_HISTORICO_MANUT[[#This Row],[Hora Final]]-TAB_HISTORICO_MANUT[[#This Row],[Hora Inicio]])*24)</f>
        <v>0.14666666672565043</v>
      </c>
      <c r="S40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01" s="54" t="str">
        <f>IF(AND(TAB_HISTORICO_MANUT[[#This Row],[EXPURGO Mãe]]="SIM",TAB_HISTORICO_MANUT[[#This Row],[Tipo]]="MÃE"),"EXP.MAE",IF(TAB_HISTORICO_MANUT[[#This Row],[EXPURGO Mãe]]="NÃO","NÃO EXP.MAE",T400))</f>
        <v>NÃO EXP.MAE</v>
      </c>
      <c r="U40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01" s="56">
        <f>IF(TAB_HISTORICO_MANUT[[#This Row],[EXPURGO Filhas]]="SIM",MAX(TAB_HISTORICO_MANUT[[#This Row],[Hora Final]]-TAB_HISTORICO_MANUT[[#This Row],[Hora Inicio]],0),0)</f>
        <v>0</v>
      </c>
      <c r="W40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0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01" s="46">
        <v>46183.463553240741</v>
      </c>
      <c r="Z401" s="47">
        <v>46183.469664351855</v>
      </c>
      <c r="AA401" s="48" t="s">
        <v>232</v>
      </c>
      <c r="AB401" s="48"/>
      <c r="AC401" s="43" t="s">
        <v>363</v>
      </c>
      <c r="AD401" s="46" t="s">
        <v>145</v>
      </c>
      <c r="AE401" s="46" t="s">
        <v>359</v>
      </c>
      <c r="AF401" s="122" t="s">
        <v>210</v>
      </c>
      <c r="AG401" s="105">
        <f>IF(TAB_HISTORICO_MANUT[[#This Row],[Hora Inicio]]="","",MONTH(TAB_HISTORICO_MANUT[[#This Row],[Hora Inicio]]))</f>
        <v>6</v>
      </c>
      <c r="AH401" s="58"/>
      <c r="AI401" s="43" t="s">
        <v>25</v>
      </c>
      <c r="AJ401" s="43" t="s">
        <v>25</v>
      </c>
      <c r="AK401" s="43" t="s">
        <v>25</v>
      </c>
      <c r="AL401" s="43" t="s">
        <v>25</v>
      </c>
      <c r="AM401" s="114" t="s">
        <v>25</v>
      </c>
      <c r="AN401" s="43"/>
      <c r="AO401" s="43"/>
      <c r="AP401" s="43"/>
    </row>
    <row r="402" spans="1:42" ht="50.1" customHeight="1" x14ac:dyDescent="0.25">
      <c r="A402" s="43">
        <f>MONTH(TAB_HISTORICO_MANUT[[#This Row],[Hora Final]])-MONTH(TAB_HISTORICO_MANUT[[#This Row],[Hora Inicio]])</f>
        <v>0</v>
      </c>
      <c r="B402" s="42"/>
      <c r="C402" s="43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Inicio]]=Z401,TAB_HISTORICO_MANUT[[#This Row],[Equipamento]]=AA401,TAB_HISTORICO_MANUT[[#This Row],[Descricao Despacho]]=AD401),0,1)))</f>
        <v>1</v>
      </c>
      <c r="O40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402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40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402" s="50">
        <f>IF($Q402="","",(TAB_HISTORICO_MANUT[[#This Row],[Hora Final]]-TAB_HISTORICO_MANUT[[#This Row],[Hora Inicio]])*24)</f>
        <v>0.84305555548053235</v>
      </c>
      <c r="S40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02" s="54" t="str">
        <f>IF(AND(TAB_HISTORICO_MANUT[[#This Row],[EXPURGO Mãe]]="SIM",TAB_HISTORICO_MANUT[[#This Row],[Tipo]]="MÃE"),"EXP.MAE",IF(TAB_HISTORICO_MANUT[[#This Row],[EXPURGO Mãe]]="NÃO","NÃO EXP.MAE",T401))</f>
        <v>NÃO EXP.MAE</v>
      </c>
      <c r="U40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02" s="56">
        <f>IF(TAB_HISTORICO_MANUT[[#This Row],[EXPURGO Filhas]]="SIM",MAX(TAB_HISTORICO_MANUT[[#This Row],[Hora Final]]-TAB_HISTORICO_MANUT[[#This Row],[Hora Inicio]],0),0)</f>
        <v>0</v>
      </c>
      <c r="W40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0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02" s="46">
        <v>46183.469664351855</v>
      </c>
      <c r="Z402" s="47">
        <v>46183.504791666666</v>
      </c>
      <c r="AA402" s="48" t="s">
        <v>232</v>
      </c>
      <c r="AB402" s="48"/>
      <c r="AC402" s="43" t="s">
        <v>882</v>
      </c>
      <c r="AD402" s="46" t="s">
        <v>146</v>
      </c>
      <c r="AE402" s="46" t="s">
        <v>883</v>
      </c>
      <c r="AF402" s="122" t="s">
        <v>210</v>
      </c>
      <c r="AG402" s="105">
        <f>IF(TAB_HISTORICO_MANUT[[#This Row],[Hora Inicio]]="","",MONTH(TAB_HISTORICO_MANUT[[#This Row],[Hora Inicio]]))</f>
        <v>6</v>
      </c>
      <c r="AH402" s="58"/>
      <c r="AI402" s="43" t="s">
        <v>25</v>
      </c>
      <c r="AJ402" s="43" t="s">
        <v>25</v>
      </c>
      <c r="AK402" s="43" t="s">
        <v>25</v>
      </c>
      <c r="AL402" s="43" t="s">
        <v>25</v>
      </c>
      <c r="AM402" s="43" t="s">
        <v>25</v>
      </c>
      <c r="AN402" s="43"/>
      <c r="AO402" s="43"/>
      <c r="AP402" s="43"/>
    </row>
    <row r="403" spans="1:42" ht="50.1" customHeight="1" x14ac:dyDescent="0.25">
      <c r="A403" s="43">
        <f>MONTH(TAB_HISTORICO_MANUT[[#This Row],[Hora Final]])-MONTH(TAB_HISTORICO_MANUT[[#This Row],[Hora Inicio]])</f>
        <v>0</v>
      </c>
      <c r="B403" s="42"/>
      <c r="C403" s="43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Inicio]]=Z402,TAB_HISTORICO_MANUT[[#This Row],[Equipamento]]=AA402,TAB_HISTORICO_MANUT[[#This Row],[Descricao Despacho]]=AD402),0,1)))</f>
        <v>1</v>
      </c>
      <c r="O40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403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0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03" s="50">
        <f>IF($Q403="","",(TAB_HISTORICO_MANUT[[#This Row],[Hora Final]]-TAB_HISTORICO_MANUT[[#This Row],[Hora Inicio]])*24)</f>
        <v>9.2941666668048128</v>
      </c>
      <c r="S40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03" s="54" t="str">
        <f>IF(AND(TAB_HISTORICO_MANUT[[#This Row],[EXPURGO Mãe]]="SIM",TAB_HISTORICO_MANUT[[#This Row],[Tipo]]="MÃE"),"EXP.MAE",IF(TAB_HISTORICO_MANUT[[#This Row],[EXPURGO Mãe]]="NÃO","NÃO EXP.MAE",T402))</f>
        <v>NÃO EXP.MAE</v>
      </c>
      <c r="U40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03" s="56">
        <f>IF(TAB_HISTORICO_MANUT[[#This Row],[EXPURGO Filhas]]="SIM",MAX(TAB_HISTORICO_MANUT[[#This Row],[Hora Final]]-TAB_HISTORICO_MANUT[[#This Row],[Hora Inicio]],0),0)</f>
        <v>0</v>
      </c>
      <c r="W40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0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03" s="46">
        <v>46184.23978009259</v>
      </c>
      <c r="Z403" s="47">
        <v>46184.62703703704</v>
      </c>
      <c r="AA403" s="48" t="s">
        <v>232</v>
      </c>
      <c r="AB403" s="48" t="s">
        <v>1231</v>
      </c>
      <c r="AC403" s="43" t="s">
        <v>204</v>
      </c>
      <c r="AD403" s="46" t="s">
        <v>144</v>
      </c>
      <c r="AE403" s="46" t="s">
        <v>172</v>
      </c>
      <c r="AF403" s="122" t="s">
        <v>210</v>
      </c>
      <c r="AG403" s="105">
        <f>IF(TAB_HISTORICO_MANUT[[#This Row],[Hora Inicio]]="","",MONTH(TAB_HISTORICO_MANUT[[#This Row],[Hora Inicio]]))</f>
        <v>6</v>
      </c>
      <c r="AH403" s="58" t="s">
        <v>1233</v>
      </c>
      <c r="AI403" s="43" t="s">
        <v>22</v>
      </c>
      <c r="AJ403" s="43" t="s">
        <v>762</v>
      </c>
      <c r="AK403" s="43" t="s">
        <v>1234</v>
      </c>
      <c r="AL403" s="43" t="s">
        <v>460</v>
      </c>
      <c r="AM403" s="114" t="s">
        <v>283</v>
      </c>
      <c r="AN403" s="43" t="s">
        <v>215</v>
      </c>
      <c r="AO403" s="43" t="s">
        <v>1024</v>
      </c>
      <c r="AP403" s="43" t="s">
        <v>1232</v>
      </c>
    </row>
    <row r="404" spans="1:42" ht="50.1" customHeight="1" x14ac:dyDescent="0.25">
      <c r="A404" s="43">
        <f>MONTH(TAB_HISTORICO_MANUT[[#This Row],[Hora Final]])-MONTH(TAB_HISTORICO_MANUT[[#This Row],[Hora Inicio]])</f>
        <v>0</v>
      </c>
      <c r="B404" s="42"/>
      <c r="C404" s="43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Inicio]]=Z403,TAB_HISTORICO_MANUT[[#This Row],[Equipamento]]=AA403,TAB_HISTORICO_MANUT[[#This Row],[Descricao Despacho]]=AD403),0,1)))</f>
        <v>1</v>
      </c>
      <c r="O40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404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40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404" s="50">
        <f>IF($Q404="","",(TAB_HISTORICO_MANUT[[#This Row],[Hora Final]]-TAB_HISTORICO_MANUT[[#This Row],[Hora Inicio]])*24)</f>
        <v>0.4330555556807667</v>
      </c>
      <c r="S40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04" s="54" t="str">
        <f>IF(AND(TAB_HISTORICO_MANUT[[#This Row],[EXPURGO Mãe]]="SIM",TAB_HISTORICO_MANUT[[#This Row],[Tipo]]="MÃE"),"EXP.MAE",IF(TAB_HISTORICO_MANUT[[#This Row],[EXPURGO Mãe]]="NÃO","NÃO EXP.MAE",T403))</f>
        <v>NÃO EXP.MAE</v>
      </c>
      <c r="U40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04" s="56">
        <f>IF(TAB_HISTORICO_MANUT[[#This Row],[EXPURGO Filhas]]="SIM",MAX(TAB_HISTORICO_MANUT[[#This Row],[Hora Final]]-TAB_HISTORICO_MANUT[[#This Row],[Hora Inicio]],0),0)</f>
        <v>0</v>
      </c>
      <c r="W40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0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04" s="46">
        <v>46184.91679398148</v>
      </c>
      <c r="Z404" s="47">
        <v>46184.934837962966</v>
      </c>
      <c r="AA404" s="48" t="s">
        <v>232</v>
      </c>
      <c r="AB404" s="48"/>
      <c r="AC404" s="43" t="s">
        <v>205</v>
      </c>
      <c r="AD404" s="46" t="s">
        <v>145</v>
      </c>
      <c r="AE404" s="46" t="s">
        <v>173</v>
      </c>
      <c r="AF404" s="122" t="s">
        <v>210</v>
      </c>
      <c r="AG404" s="105">
        <f>IF(TAB_HISTORICO_MANUT[[#This Row],[Hora Inicio]]="","",MONTH(TAB_HISTORICO_MANUT[[#This Row],[Hora Inicio]]))</f>
        <v>6</v>
      </c>
      <c r="AH404" s="58"/>
      <c r="AI404" s="43" t="s">
        <v>21</v>
      </c>
      <c r="AJ404" s="43" t="s">
        <v>21</v>
      </c>
      <c r="AK404" s="43" t="s">
        <v>21</v>
      </c>
      <c r="AL404" s="43" t="s">
        <v>21</v>
      </c>
      <c r="AM404" s="114" t="s">
        <v>21</v>
      </c>
      <c r="AN404" s="43"/>
      <c r="AO404" s="43"/>
      <c r="AP404" s="43"/>
    </row>
    <row r="405" spans="1:42" ht="50.1" customHeight="1" x14ac:dyDescent="0.25">
      <c r="A405" s="43">
        <f>MONTH(TAB_HISTORICO_MANUT[[#This Row],[Hora Final]])-MONTH(TAB_HISTORICO_MANUT[[#This Row],[Hora Inicio]])</f>
        <v>0</v>
      </c>
      <c r="B405" s="42"/>
      <c r="C405" s="43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Inicio]]=Z404,TAB_HISTORICO_MANUT[[#This Row],[Equipamento]]=AA404,TAB_HISTORICO_MANUT[[#This Row],[Descricao Despacho]]=AD404),0,1)))</f>
        <v>1</v>
      </c>
      <c r="O40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405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0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05" s="50">
        <f>IF($Q405="","",(TAB_HISTORICO_MANUT[[#This Row],[Hora Final]]-TAB_HISTORICO_MANUT[[#This Row],[Hora Inicio]])*24)</f>
        <v>1.1277777777286246</v>
      </c>
      <c r="S40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05" s="54" t="str">
        <f>IF(AND(TAB_HISTORICO_MANUT[[#This Row],[EXPURGO Mãe]]="SIM",TAB_HISTORICO_MANUT[[#This Row],[Tipo]]="MÃE"),"EXP.MAE",IF(TAB_HISTORICO_MANUT[[#This Row],[EXPURGO Mãe]]="NÃO","NÃO EXP.MAE",T404))</f>
        <v>NÃO EXP.MAE</v>
      </c>
      <c r="U40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05" s="56">
        <f>IF(TAB_HISTORICO_MANUT[[#This Row],[EXPURGO Filhas]]="SIM",MAX(TAB_HISTORICO_MANUT[[#This Row],[Hora Final]]-TAB_HISTORICO_MANUT[[#This Row],[Hora Inicio]],0),0)</f>
        <v>0</v>
      </c>
      <c r="W40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0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05" s="46">
        <v>46186.933587962965</v>
      </c>
      <c r="Z405" s="47">
        <v>46186.980578703704</v>
      </c>
      <c r="AA405" s="48" t="s">
        <v>232</v>
      </c>
      <c r="AB405" s="48" t="s">
        <v>240</v>
      </c>
      <c r="AC405" s="43" t="s">
        <v>204</v>
      </c>
      <c r="AD405" s="46" t="s">
        <v>144</v>
      </c>
      <c r="AE405" s="46" t="s">
        <v>172</v>
      </c>
      <c r="AF405" s="122" t="s">
        <v>210</v>
      </c>
      <c r="AG405" s="105">
        <f>IF(TAB_HISTORICO_MANUT[[#This Row],[Hora Inicio]]="","",MONTH(TAB_HISTORICO_MANUT[[#This Row],[Hora Inicio]]))</f>
        <v>6</v>
      </c>
      <c r="AH405" s="58" t="s">
        <v>1154</v>
      </c>
      <c r="AI405" s="43" t="s">
        <v>24</v>
      </c>
      <c r="AJ405" s="43" t="s">
        <v>223</v>
      </c>
      <c r="AK405" s="43" t="s">
        <v>422</v>
      </c>
      <c r="AL405" s="43" t="s">
        <v>279</v>
      </c>
      <c r="AM405" s="114" t="s">
        <v>280</v>
      </c>
      <c r="AN405" s="43" t="s">
        <v>217</v>
      </c>
      <c r="AO405" s="43" t="s">
        <v>405</v>
      </c>
      <c r="AP405" s="43" t="s">
        <v>1147</v>
      </c>
    </row>
    <row r="406" spans="1:42" ht="50.1" customHeight="1" x14ac:dyDescent="0.25">
      <c r="A406" s="43">
        <f>MONTH(TAB_HISTORICO_MANUT[[#This Row],[Hora Final]])-MONTH(TAB_HISTORICO_MANUT[[#This Row],[Hora Inicio]])</f>
        <v>0</v>
      </c>
      <c r="B406" s="42"/>
      <c r="C406" s="43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Inicio]]=Z405,TAB_HISTORICO_MANUT[[#This Row],[Equipamento]]=AA405,TAB_HISTORICO_MANUT[[#This Row],[Descricao Despacho]]=AD405),0,1)))</f>
        <v>1</v>
      </c>
      <c r="O40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40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0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06" s="50">
        <f>IF($Q406="","",(TAB_HISTORICO_MANUT[[#This Row],[Hora Final]]-TAB_HISTORICO_MANUT[[#This Row],[Hora Inicio]])*24)</f>
        <v>4.8919444445637055</v>
      </c>
      <c r="S40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06" s="54" t="str">
        <f>IF(AND(TAB_HISTORICO_MANUT[[#This Row],[EXPURGO Mãe]]="SIM",TAB_HISTORICO_MANUT[[#This Row],[Tipo]]="MÃE"),"EXP.MAE",IF(TAB_HISTORICO_MANUT[[#This Row],[EXPURGO Mãe]]="NÃO","NÃO EXP.MAE",T405))</f>
        <v>NÃO EXP.MAE</v>
      </c>
      <c r="U40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06" s="56">
        <f>IF(TAB_HISTORICO_MANUT[[#This Row],[EXPURGO Filhas]]="SIM",MAX(TAB_HISTORICO_MANUT[[#This Row],[Hora Final]]-TAB_HISTORICO_MANUT[[#This Row],[Hora Inicio]],0),0)</f>
        <v>0</v>
      </c>
      <c r="W40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0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06" s="46">
        <v>46187.188298611109</v>
      </c>
      <c r="Z406" s="47">
        <v>46187.392129629632</v>
      </c>
      <c r="AA406" s="48" t="s">
        <v>232</v>
      </c>
      <c r="AB406" s="48" t="s">
        <v>1143</v>
      </c>
      <c r="AC406" s="43" t="s">
        <v>204</v>
      </c>
      <c r="AD406" s="46" t="s">
        <v>144</v>
      </c>
      <c r="AE406" s="46" t="s">
        <v>172</v>
      </c>
      <c r="AF406" s="122" t="s">
        <v>210</v>
      </c>
      <c r="AG406" s="105">
        <f>IF(TAB_HISTORICO_MANUT[[#This Row],[Hora Inicio]]="","",MONTH(TAB_HISTORICO_MANUT[[#This Row],[Hora Inicio]]))</f>
        <v>6</v>
      </c>
      <c r="AH406" s="58" t="s">
        <v>1155</v>
      </c>
      <c r="AI406" s="43" t="s">
        <v>22</v>
      </c>
      <c r="AJ406" s="43" t="s">
        <v>1157</v>
      </c>
      <c r="AK406" s="43" t="s">
        <v>1158</v>
      </c>
      <c r="AL406" s="43" t="s">
        <v>275</v>
      </c>
      <c r="AM406" s="114" t="s">
        <v>276</v>
      </c>
      <c r="AN406" s="43" t="s">
        <v>215</v>
      </c>
      <c r="AO406" s="43" t="s">
        <v>1148</v>
      </c>
      <c r="AP406" s="43" t="s">
        <v>868</v>
      </c>
    </row>
    <row r="407" spans="1:42" ht="50.1" customHeight="1" x14ac:dyDescent="0.25">
      <c r="A407" s="43">
        <f>MONTH(TAB_HISTORICO_MANUT[[#This Row],[Hora Final]])-MONTH(TAB_HISTORICO_MANUT[[#This Row],[Hora Inicio]])</f>
        <v>0</v>
      </c>
      <c r="B407" s="42"/>
      <c r="C407" s="43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Inicio]]=Z406,TAB_HISTORICO_MANUT[[#This Row],[Equipamento]]=AA406,TAB_HISTORICO_MANUT[[#This Row],[Descricao Despacho]]=AD406),0,1)))</f>
        <v>1</v>
      </c>
      <c r="O40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407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0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07" s="50">
        <f>IF($Q407="","",(TAB_HISTORICO_MANUT[[#This Row],[Hora Final]]-TAB_HISTORICO_MANUT[[#This Row],[Hora Inicio]])*24)</f>
        <v>1.6613888888969086</v>
      </c>
      <c r="S40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07" s="54" t="str">
        <f>IF(AND(TAB_HISTORICO_MANUT[[#This Row],[EXPURGO Mãe]]="SIM",TAB_HISTORICO_MANUT[[#This Row],[Tipo]]="MÃE"),"EXP.MAE",IF(TAB_HISTORICO_MANUT[[#This Row],[EXPURGO Mãe]]="NÃO","NÃO EXP.MAE",T406))</f>
        <v>NÃO EXP.MAE</v>
      </c>
      <c r="U40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07" s="56">
        <f>IF(TAB_HISTORICO_MANUT[[#This Row],[EXPURGO Filhas]]="SIM",MAX(TAB_HISTORICO_MANUT[[#This Row],[Hora Final]]-TAB_HISTORICO_MANUT[[#This Row],[Hora Inicio]],0),0)</f>
        <v>0</v>
      </c>
      <c r="W40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0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07" s="46">
        <v>46187.968449074076</v>
      </c>
      <c r="Z407" s="47">
        <v>46188.037673611114</v>
      </c>
      <c r="AA407" s="48" t="s">
        <v>232</v>
      </c>
      <c r="AB407" s="48" t="s">
        <v>1144</v>
      </c>
      <c r="AC407" s="43" t="s">
        <v>204</v>
      </c>
      <c r="AD407" s="46" t="s">
        <v>144</v>
      </c>
      <c r="AE407" s="46" t="s">
        <v>172</v>
      </c>
      <c r="AF407" s="122" t="s">
        <v>210</v>
      </c>
      <c r="AG407" s="105">
        <f>IF(TAB_HISTORICO_MANUT[[#This Row],[Hora Inicio]]="","",MONTH(TAB_HISTORICO_MANUT[[#This Row],[Hora Inicio]]))</f>
        <v>6</v>
      </c>
      <c r="AH407" s="58" t="s">
        <v>1156</v>
      </c>
      <c r="AI407" s="43" t="s">
        <v>22</v>
      </c>
      <c r="AJ407" s="43" t="s">
        <v>1160</v>
      </c>
      <c r="AK407" s="43" t="s">
        <v>667</v>
      </c>
      <c r="AL407" s="43" t="s">
        <v>354</v>
      </c>
      <c r="AM407" s="114" t="s">
        <v>355</v>
      </c>
      <c r="AN407" s="43" t="s">
        <v>215</v>
      </c>
      <c r="AO407" s="43" t="s">
        <v>408</v>
      </c>
      <c r="AP407" s="43" t="s">
        <v>1149</v>
      </c>
    </row>
    <row r="408" spans="1:42" ht="50.1" customHeight="1" x14ac:dyDescent="0.25">
      <c r="A408" s="43">
        <f>MONTH(TAB_HISTORICO_MANUT[[#This Row],[Hora Final]])-MONTH(TAB_HISTORICO_MANUT[[#This Row],[Hora Inicio]])</f>
        <v>0</v>
      </c>
      <c r="B408" s="42"/>
      <c r="C408" s="43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Inicio]]=Z407,TAB_HISTORICO_MANUT[[#This Row],[Equipamento]]=AA407,TAB_HISTORICO_MANUT[[#This Row],[Descricao Despacho]]=AD407),0,1)))</f>
        <v>0</v>
      </c>
      <c r="O40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408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0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08" s="50">
        <f>IF($Q408="","",(TAB_HISTORICO_MANUT[[#This Row],[Hora Final]]-TAB_HISTORICO_MANUT[[#This Row],[Hora Inicio]])*24)</f>
        <v>0.65777777769835666</v>
      </c>
      <c r="S40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08" s="54" t="str">
        <f>IF(AND(TAB_HISTORICO_MANUT[[#This Row],[EXPURGO Mãe]]="SIM",TAB_HISTORICO_MANUT[[#This Row],[Tipo]]="MÃE"),"EXP.MAE",IF(TAB_HISTORICO_MANUT[[#This Row],[EXPURGO Mãe]]="NÃO","NÃO EXP.MAE",T407))</f>
        <v>NÃO EXP.MAE</v>
      </c>
      <c r="U40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08" s="56">
        <f>IF(TAB_HISTORICO_MANUT[[#This Row],[EXPURGO Filhas]]="SIM",MAX(TAB_HISTORICO_MANUT[[#This Row],[Hora Final]]-TAB_HISTORICO_MANUT[[#This Row],[Hora Inicio]],0),0)</f>
        <v>0</v>
      </c>
      <c r="W40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0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08" s="46">
        <v>46188.037673611114</v>
      </c>
      <c r="Z408" s="47">
        <v>46188.065081018518</v>
      </c>
      <c r="AA408" s="48" t="s">
        <v>232</v>
      </c>
      <c r="AB408" s="48" t="s">
        <v>1144</v>
      </c>
      <c r="AC408" s="43" t="s">
        <v>204</v>
      </c>
      <c r="AD408" s="46" t="s">
        <v>144</v>
      </c>
      <c r="AE408" s="46" t="s">
        <v>172</v>
      </c>
      <c r="AF408" s="122" t="s">
        <v>210</v>
      </c>
      <c r="AG408" s="105">
        <f>IF(TAB_HISTORICO_MANUT[[#This Row],[Hora Inicio]]="","",MONTH(TAB_HISTORICO_MANUT[[#This Row],[Hora Inicio]]))</f>
        <v>6</v>
      </c>
      <c r="AH408" s="58" t="s">
        <v>1156</v>
      </c>
      <c r="AI408" s="43" t="s">
        <v>22</v>
      </c>
      <c r="AJ408" s="43" t="s">
        <v>1160</v>
      </c>
      <c r="AK408" s="43" t="s">
        <v>667</v>
      </c>
      <c r="AL408" s="43" t="s">
        <v>354</v>
      </c>
      <c r="AM408" s="114" t="s">
        <v>355</v>
      </c>
      <c r="AN408" s="43" t="s">
        <v>215</v>
      </c>
      <c r="AO408" s="43" t="s">
        <v>408</v>
      </c>
      <c r="AP408" s="43" t="s">
        <v>1149</v>
      </c>
    </row>
    <row r="409" spans="1:42" ht="50.1" customHeight="1" x14ac:dyDescent="0.25">
      <c r="A409" s="43">
        <f>MONTH(TAB_HISTORICO_MANUT[[#This Row],[Hora Final]])-MONTH(TAB_HISTORICO_MANUT[[#This Row],[Hora Inicio]])</f>
        <v>0</v>
      </c>
      <c r="B409" s="42"/>
      <c r="C409" s="43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Inicio]]=Z408,TAB_HISTORICO_MANUT[[#This Row],[Equipamento]]=AA408,TAB_HISTORICO_MANUT[[#This Row],[Descricao Despacho]]=AD408),0,1)))</f>
        <v>1</v>
      </c>
      <c r="O40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409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0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09" s="50">
        <f>IF($Q409="","",(TAB_HISTORICO_MANUT[[#This Row],[Hora Final]]-TAB_HISTORICO_MANUT[[#This Row],[Hora Inicio]])*24)</f>
        <v>29.753611111140344</v>
      </c>
      <c r="S40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09" s="54" t="str">
        <f>IF(AND(TAB_HISTORICO_MANUT[[#This Row],[EXPURGO Mãe]]="SIM",TAB_HISTORICO_MANUT[[#This Row],[Tipo]]="MÃE"),"EXP.MAE",IF(TAB_HISTORICO_MANUT[[#This Row],[EXPURGO Mãe]]="NÃO","NÃO EXP.MAE",T408))</f>
        <v>NÃO EXP.MAE</v>
      </c>
      <c r="U40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09" s="56">
        <f>IF(TAB_HISTORICO_MANUT[[#This Row],[EXPURGO Filhas]]="SIM",MAX(TAB_HISTORICO_MANUT[[#This Row],[Hora Final]]-TAB_HISTORICO_MANUT[[#This Row],[Hora Inicio]],0),0)</f>
        <v>0</v>
      </c>
      <c r="W40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0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09" s="46">
        <v>46188.351064814815</v>
      </c>
      <c r="Z409" s="47">
        <v>46189.590798611112</v>
      </c>
      <c r="AA409" s="48" t="s">
        <v>232</v>
      </c>
      <c r="AB409" s="48"/>
      <c r="AC409" s="43" t="s">
        <v>204</v>
      </c>
      <c r="AD409" s="46" t="s">
        <v>144</v>
      </c>
      <c r="AE409" s="46" t="s">
        <v>172</v>
      </c>
      <c r="AF409" s="122" t="s">
        <v>210</v>
      </c>
      <c r="AG409" s="105">
        <f>IF(TAB_HISTORICO_MANUT[[#This Row],[Hora Inicio]]="","",MONTH(TAB_HISTORICO_MANUT[[#This Row],[Hora Inicio]]))</f>
        <v>6</v>
      </c>
      <c r="AH409" s="58" t="s">
        <v>1165</v>
      </c>
      <c r="AI409" s="43" t="s">
        <v>23</v>
      </c>
      <c r="AJ409" s="43" t="s">
        <v>277</v>
      </c>
      <c r="AK409" s="43" t="s">
        <v>331</v>
      </c>
      <c r="AL409" s="43" t="s">
        <v>333</v>
      </c>
      <c r="AM409" s="43" t="s">
        <v>276</v>
      </c>
      <c r="AN409" s="43"/>
      <c r="AO409" s="43"/>
      <c r="AP409" s="43"/>
    </row>
    <row r="410" spans="1:42" ht="50.1" customHeight="1" x14ac:dyDescent="0.25">
      <c r="A410" s="115">
        <f>MONTH(TAB_HISTORICO_MANUT[[#This Row],[Hora Final]])-MONTH(TAB_HISTORICO_MANUT[[#This Row],[Hora Inicio]])</f>
        <v>0</v>
      </c>
      <c r="B410" s="116"/>
      <c r="C410" s="115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Inicio]]=Z409,TAB_HISTORICO_MANUT[[#This Row],[Equipamento]]=AA409,TAB_HISTORICO_MANUT[[#This Row],[Descricao Despacho]]=AD409),0,1)))</f>
        <v/>
      </c>
      <c r="O41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410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41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410" s="107" t="str">
        <f>IF($Q410="","",(TAB_HISTORICO_MANUT[[#This Row],[Hora Final]]-TAB_HISTORICO_MANUT[[#This Row],[Hora Inicio]])*24)</f>
        <v/>
      </c>
      <c r="S41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410" s="109" t="str">
        <f>IF(AND(TAB_HISTORICO_MANUT[[#This Row],[EXPURGO Mãe]]="SIM",TAB_HISTORICO_MANUT[[#This Row],[Tipo]]="MÃE"),"EXP.MAE",IF(TAB_HISTORICO_MANUT[[#This Row],[EXPURGO Mãe]]="NÃO","NÃO EXP.MAE",T409))</f>
        <v>NÃO EXP.MAE</v>
      </c>
      <c r="U41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410" s="110">
        <f>IF(TAB_HISTORICO_MANUT[[#This Row],[EXPURGO Filhas]]="SIM",MAX(TAB_HISTORICO_MANUT[[#This Row],[Hora Final]]-TAB_HISTORICO_MANUT[[#This Row],[Hora Inicio]],0),0)</f>
        <v>2.7777777722803876E-3</v>
      </c>
      <c r="W41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1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10" s="117">
        <v>46189.193055555559</v>
      </c>
      <c r="Z410" s="118">
        <v>46189.195833333331</v>
      </c>
      <c r="AA410" s="119" t="s">
        <v>232</v>
      </c>
      <c r="AB410" s="119">
        <v>202603078163</v>
      </c>
      <c r="AC410" s="115" t="s">
        <v>204</v>
      </c>
      <c r="AD410" s="117" t="s">
        <v>144</v>
      </c>
      <c r="AE410" s="117" t="s">
        <v>765</v>
      </c>
      <c r="AF410" s="122" t="s">
        <v>767</v>
      </c>
      <c r="AG410" s="123">
        <f>IF(TAB_HISTORICO_MANUT[[#This Row],[Hora Inicio]]="","",MONTH(TAB_HISTORICO_MANUT[[#This Row],[Hora Inicio]]))</f>
        <v>6</v>
      </c>
      <c r="AH410" s="120" t="s">
        <v>1311</v>
      </c>
      <c r="AI410" s="43" t="s">
        <v>23</v>
      </c>
      <c r="AJ410" s="43" t="s">
        <v>277</v>
      </c>
      <c r="AK410" s="43" t="s">
        <v>331</v>
      </c>
      <c r="AL410" s="43" t="s">
        <v>333</v>
      </c>
      <c r="AM410" s="43" t="s">
        <v>276</v>
      </c>
      <c r="AN410" s="115"/>
      <c r="AO410" s="115"/>
      <c r="AP410" s="115"/>
    </row>
    <row r="411" spans="1:42" ht="50.1" customHeight="1" x14ac:dyDescent="0.25">
      <c r="A411" s="43">
        <f>MONTH(TAB_HISTORICO_MANUT[[#This Row],[Hora Final]])-MONTH(TAB_HISTORICO_MANUT[[#This Row],[Hora Inicio]])</f>
        <v>0</v>
      </c>
      <c r="B411" s="42"/>
      <c r="C411" s="43"/>
      <c r="D411" s="42"/>
      <c r="E411" s="42"/>
      <c r="F411" s="42"/>
      <c r="G411" s="42"/>
      <c r="H411" s="42"/>
      <c r="I411" s="42"/>
      <c r="J411" s="42"/>
      <c r="K411" s="42"/>
      <c r="L411" s="42"/>
      <c r="M411" s="42" t="s">
        <v>99</v>
      </c>
      <c r="N411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Inicio]]=Z410,TAB_HISTORICO_MANUT[[#This Row],[Equipamento]]=AA410,TAB_HISTORICO_MANUT[[#This Row],[Descricao Despacho]]=AD410),0,1)))</f>
        <v/>
      </c>
      <c r="O41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411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41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411" s="50" t="str">
        <f>IF($Q411="","",(TAB_HISTORICO_MANUT[[#This Row],[Hora Final]]-TAB_HISTORICO_MANUT[[#This Row],[Hora Inicio]])*24)</f>
        <v/>
      </c>
      <c r="S41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411" s="54" t="str">
        <f>IF(AND(TAB_HISTORICO_MANUT[[#This Row],[EXPURGO Mãe]]="SIM",TAB_HISTORICO_MANUT[[#This Row],[Tipo]]="MÃE"),"EXP.MAE",IF(TAB_HISTORICO_MANUT[[#This Row],[EXPURGO Mãe]]="NÃO","NÃO EXP.MAE",T410))</f>
        <v>NÃO EXP.MAE</v>
      </c>
      <c r="U41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11" s="56">
        <f>IF(TAB_HISTORICO_MANUT[[#This Row],[EXPURGO Filhas]]="SIM",MAX(TAB_HISTORICO_MANUT[[#This Row],[Hora Final]]-TAB_HISTORICO_MANUT[[#This Row],[Hora Inicio]],0),0)</f>
        <v>0</v>
      </c>
      <c r="W41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1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11" s="46">
        <v>46189.227083333331</v>
      </c>
      <c r="Z411" s="47">
        <v>46189.3125</v>
      </c>
      <c r="AA411" s="48" t="s">
        <v>232</v>
      </c>
      <c r="AB411" s="48">
        <v>202603078163</v>
      </c>
      <c r="AC411" s="43" t="s">
        <v>204</v>
      </c>
      <c r="AD411" s="46" t="s">
        <v>144</v>
      </c>
      <c r="AE411" s="46" t="s">
        <v>233</v>
      </c>
      <c r="AF411" s="122" t="s">
        <v>767</v>
      </c>
      <c r="AG411" s="105">
        <f>IF(TAB_HISTORICO_MANUT[[#This Row],[Hora Inicio]]="","",MONTH(TAB_HISTORICO_MANUT[[#This Row],[Hora Inicio]]))</f>
        <v>6</v>
      </c>
      <c r="AH411" s="58" t="s">
        <v>1302</v>
      </c>
      <c r="AI411" s="43" t="s">
        <v>23</v>
      </c>
      <c r="AJ411" s="43" t="s">
        <v>277</v>
      </c>
      <c r="AK411" s="43" t="s">
        <v>331</v>
      </c>
      <c r="AL411" s="43" t="s">
        <v>333</v>
      </c>
      <c r="AM411" s="43" t="s">
        <v>276</v>
      </c>
      <c r="AN411" s="43"/>
      <c r="AO411" s="43"/>
      <c r="AP411" s="43"/>
    </row>
    <row r="412" spans="1:42" ht="50.1" customHeight="1" x14ac:dyDescent="0.25">
      <c r="A412" s="115">
        <f>MONTH(TAB_HISTORICO_MANUT[[#This Row],[Hora Final]])-MONTH(TAB_HISTORICO_MANUT[[#This Row],[Hora Inicio]])</f>
        <v>0</v>
      </c>
      <c r="B412" s="116"/>
      <c r="C412" s="115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Inicio]]=Z411,TAB_HISTORICO_MANUT[[#This Row],[Equipamento]]=AA411,TAB_HISTORICO_MANUT[[#This Row],[Descricao Despacho]]=AD411),0,1)))</f>
        <v/>
      </c>
      <c r="O41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412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41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412" s="107" t="str">
        <f>IF($Q412="","",(TAB_HISTORICO_MANUT[[#This Row],[Hora Final]]-TAB_HISTORICO_MANUT[[#This Row],[Hora Inicio]])*24)</f>
        <v/>
      </c>
      <c r="S41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412" s="109" t="str">
        <f>IF(AND(TAB_HISTORICO_MANUT[[#This Row],[EXPURGO Mãe]]="SIM",TAB_HISTORICO_MANUT[[#This Row],[Tipo]]="MÃE"),"EXP.MAE",IF(TAB_HISTORICO_MANUT[[#This Row],[EXPURGO Mãe]]="NÃO","NÃO EXP.MAE",T411))</f>
        <v>NÃO EXP.MAE</v>
      </c>
      <c r="U41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412" s="110">
        <f>IF(TAB_HISTORICO_MANUT[[#This Row],[EXPURGO Filhas]]="SIM",MAX(TAB_HISTORICO_MANUT[[#This Row],[Hora Final]]-TAB_HISTORICO_MANUT[[#This Row],[Hora Inicio]],0),0)</f>
        <v>4.3749999997089617E-2</v>
      </c>
      <c r="W41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1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12" s="117">
        <v>46189.268750000003</v>
      </c>
      <c r="Z412" s="118">
        <v>46189.3125</v>
      </c>
      <c r="AA412" s="119" t="s">
        <v>232</v>
      </c>
      <c r="AB412" s="119">
        <v>202603078163</v>
      </c>
      <c r="AC412" s="115" t="s">
        <v>204</v>
      </c>
      <c r="AD412" s="117" t="s">
        <v>144</v>
      </c>
      <c r="AE412" s="117" t="s">
        <v>233</v>
      </c>
      <c r="AF412" s="122" t="s">
        <v>767</v>
      </c>
      <c r="AG412" s="123">
        <f>IF(TAB_HISTORICO_MANUT[[#This Row],[Hora Inicio]]="","",MONTH(TAB_HISTORICO_MANUT[[#This Row],[Hora Inicio]]))</f>
        <v>6</v>
      </c>
      <c r="AH412" s="120" t="s">
        <v>1312</v>
      </c>
      <c r="AI412" s="115" t="s">
        <v>23</v>
      </c>
      <c r="AJ412" s="115" t="s">
        <v>277</v>
      </c>
      <c r="AK412" s="115" t="s">
        <v>331</v>
      </c>
      <c r="AL412" s="115" t="s">
        <v>333</v>
      </c>
      <c r="AM412" s="121" t="s">
        <v>276</v>
      </c>
      <c r="AN412" s="115"/>
      <c r="AO412" s="115"/>
      <c r="AP412" s="115"/>
    </row>
    <row r="413" spans="1:42" ht="50.1" customHeight="1" x14ac:dyDescent="0.25">
      <c r="A413" s="43">
        <f>MONTH(TAB_HISTORICO_MANUT[[#This Row],[Hora Final]])-MONTH(TAB_HISTORICO_MANUT[[#This Row],[Hora Inicio]])</f>
        <v>0</v>
      </c>
      <c r="B413" s="42"/>
      <c r="C413" s="43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Inicio]]=Z412,TAB_HISTORICO_MANUT[[#This Row],[Equipamento]]=AA412,TAB_HISTORICO_MANUT[[#This Row],[Descricao Despacho]]=AD412),0,1)))</f>
        <v>1</v>
      </c>
      <c r="O41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413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41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Reparo Programado</v>
      </c>
      <c r="R413" s="50">
        <f>IF($Q413="","",(TAB_HISTORICO_MANUT[[#This Row],[Hora Final]]-TAB_HISTORICO_MANUT[[#This Row],[Hora Inicio]])*24)</f>
        <v>0.16638888884335756</v>
      </c>
      <c r="S41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13" s="54" t="str">
        <f>IF(AND(TAB_HISTORICO_MANUT[[#This Row],[EXPURGO Mãe]]="SIM",TAB_HISTORICO_MANUT[[#This Row],[Tipo]]="MÃE"),"EXP.MAE",IF(TAB_HISTORICO_MANUT[[#This Row],[EXPURGO Mãe]]="NÃO","NÃO EXP.MAE",T412))</f>
        <v>NÃO EXP.MAE</v>
      </c>
      <c r="U41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13" s="56">
        <f>IF(TAB_HISTORICO_MANUT[[#This Row],[EXPURGO Filhas]]="SIM",MAX(TAB_HISTORICO_MANUT[[#This Row],[Hora Final]]-TAB_HISTORICO_MANUT[[#This Row],[Hora Inicio]],0),0)</f>
        <v>0</v>
      </c>
      <c r="W41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1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13" s="46">
        <v>46189.590798611112</v>
      </c>
      <c r="Z413" s="47">
        <v>46189.597731481481</v>
      </c>
      <c r="AA413" s="48" t="s">
        <v>232</v>
      </c>
      <c r="AB413" s="48"/>
      <c r="AC413" s="43" t="s">
        <v>301</v>
      </c>
      <c r="AD413" s="46" t="s">
        <v>146</v>
      </c>
      <c r="AE413" s="46" t="s">
        <v>310</v>
      </c>
      <c r="AF413" s="122" t="s">
        <v>210</v>
      </c>
      <c r="AG413" s="105">
        <f>IF(TAB_HISTORICO_MANUT[[#This Row],[Hora Inicio]]="","",MONTH(TAB_HISTORICO_MANUT[[#This Row],[Hora Inicio]]))</f>
        <v>6</v>
      </c>
      <c r="AH413" s="58" t="s">
        <v>1165</v>
      </c>
      <c r="AI413" s="43" t="s">
        <v>23</v>
      </c>
      <c r="AJ413" s="43" t="s">
        <v>277</v>
      </c>
      <c r="AK413" s="43" t="s">
        <v>331</v>
      </c>
      <c r="AL413" s="43" t="s">
        <v>333</v>
      </c>
      <c r="AM413" s="114" t="s">
        <v>276</v>
      </c>
      <c r="AN413" s="43"/>
      <c r="AO413" s="43"/>
      <c r="AP413" s="43"/>
    </row>
    <row r="414" spans="1:42" ht="50.1" customHeight="1" x14ac:dyDescent="0.25">
      <c r="A414" s="43">
        <f>MONTH(TAB_HISTORICO_MANUT[[#This Row],[Hora Final]])-MONTH(TAB_HISTORICO_MANUT[[#This Row],[Hora Inicio]])</f>
        <v>0</v>
      </c>
      <c r="B414" s="42"/>
      <c r="C414" s="43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Inicio]]=Z413,TAB_HISTORICO_MANUT[[#This Row],[Equipamento]]=AA413,TAB_HISTORICO_MANUT[[#This Row],[Descricao Despacho]]=AD413),0,1)))</f>
        <v>0</v>
      </c>
      <c r="O41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414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41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414" s="50">
        <f>IF($Q414="","",(TAB_HISTORICO_MANUT[[#This Row],[Hora Final]]-TAB_HISTORICO_MANUT[[#This Row],[Hora Inicio]])*24)</f>
        <v>2.8047222221503034</v>
      </c>
      <c r="S41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14" s="54" t="str">
        <f>IF(AND(TAB_HISTORICO_MANUT[[#This Row],[EXPURGO Mãe]]="SIM",TAB_HISTORICO_MANUT[[#This Row],[Tipo]]="MÃE"),"EXP.MAE",IF(TAB_HISTORICO_MANUT[[#This Row],[EXPURGO Mãe]]="NÃO","NÃO EXP.MAE",T413))</f>
        <v>NÃO EXP.MAE</v>
      </c>
      <c r="U41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14" s="56">
        <f>IF(TAB_HISTORICO_MANUT[[#This Row],[EXPURGO Filhas]]="SIM",MAX(TAB_HISTORICO_MANUT[[#This Row],[Hora Final]]-TAB_HISTORICO_MANUT[[#This Row],[Hora Inicio]],0),0)</f>
        <v>0</v>
      </c>
      <c r="W41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1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14" s="46">
        <v>46189.597731481481</v>
      </c>
      <c r="Z414" s="47">
        <v>46189.714594907404</v>
      </c>
      <c r="AA414" s="48" t="s">
        <v>232</v>
      </c>
      <c r="AB414" s="48"/>
      <c r="AC414" s="43" t="s">
        <v>302</v>
      </c>
      <c r="AD414" s="46" t="s">
        <v>146</v>
      </c>
      <c r="AE414" s="46" t="s">
        <v>311</v>
      </c>
      <c r="AF414" s="122" t="s">
        <v>210</v>
      </c>
      <c r="AG414" s="105">
        <f>IF(TAB_HISTORICO_MANUT[[#This Row],[Hora Inicio]]="","",MONTH(TAB_HISTORICO_MANUT[[#This Row],[Hora Inicio]]))</f>
        <v>6</v>
      </c>
      <c r="AH414" s="58" t="s">
        <v>1172</v>
      </c>
      <c r="AI414" s="43" t="s">
        <v>340</v>
      </c>
      <c r="AJ414" s="43" t="s">
        <v>436</v>
      </c>
      <c r="AK414" s="43"/>
      <c r="AL414" s="43"/>
      <c r="AM414" s="114"/>
      <c r="AN414" s="43"/>
      <c r="AO414" s="43"/>
      <c r="AP414" s="43"/>
    </row>
    <row r="415" spans="1:42" ht="50.1" customHeight="1" x14ac:dyDescent="0.25">
      <c r="A415" s="43">
        <f>MONTH(TAB_HISTORICO_MANUT[[#This Row],[Hora Final]])-MONTH(TAB_HISTORICO_MANUT[[#This Row],[Hora Inicio]])</f>
        <v>0</v>
      </c>
      <c r="B415" s="42"/>
      <c r="C415" s="43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Inicio]]=Z414,TAB_HISTORICO_MANUT[[#This Row],[Equipamento]]=AA414,TAB_HISTORICO_MANUT[[#This Row],[Descricao Despacho]]=AD414),0,1)))</f>
        <v>0</v>
      </c>
      <c r="O41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415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41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415" s="50">
        <f>IF($Q415="","",(TAB_HISTORICO_MANUT[[#This Row],[Hora Final]]-TAB_HISTORICO_MANUT[[#This Row],[Hora Inicio]])*24)</f>
        <v>32.012777777854353</v>
      </c>
      <c r="S41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15" s="54" t="str">
        <f>IF(AND(TAB_HISTORICO_MANUT[[#This Row],[EXPURGO Mãe]]="SIM",TAB_HISTORICO_MANUT[[#This Row],[Tipo]]="MÃE"),"EXP.MAE",IF(TAB_HISTORICO_MANUT[[#This Row],[EXPURGO Mãe]]="NÃO","NÃO EXP.MAE",T414))</f>
        <v>NÃO EXP.MAE</v>
      </c>
      <c r="U41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15" s="56">
        <f>IF(TAB_HISTORICO_MANUT[[#This Row],[EXPURGO Filhas]]="SIM",MAX(TAB_HISTORICO_MANUT[[#This Row],[Hora Final]]-TAB_HISTORICO_MANUT[[#This Row],[Hora Inicio]],0),0)</f>
        <v>0</v>
      </c>
      <c r="W41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1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15" s="46">
        <v>46189.714594907404</v>
      </c>
      <c r="Z415" s="47">
        <v>46191.048460648148</v>
      </c>
      <c r="AA415" s="48" t="s">
        <v>232</v>
      </c>
      <c r="AB415" s="48"/>
      <c r="AC415" s="43" t="s">
        <v>301</v>
      </c>
      <c r="AD415" s="46" t="s">
        <v>146</v>
      </c>
      <c r="AE415" s="46" t="s">
        <v>310</v>
      </c>
      <c r="AF415" s="122" t="s">
        <v>210</v>
      </c>
      <c r="AG415" s="105">
        <f>IF(TAB_HISTORICO_MANUT[[#This Row],[Hora Inicio]]="","",MONTH(TAB_HISTORICO_MANUT[[#This Row],[Hora Inicio]]))</f>
        <v>6</v>
      </c>
      <c r="AH415" s="58" t="s">
        <v>1172</v>
      </c>
      <c r="AI415" s="43" t="s">
        <v>340</v>
      </c>
      <c r="AJ415" s="43" t="s">
        <v>436</v>
      </c>
      <c r="AK415" s="43"/>
      <c r="AL415" s="43"/>
      <c r="AM415" s="114"/>
      <c r="AN415" s="43"/>
      <c r="AO415" s="43"/>
      <c r="AP415" s="43"/>
    </row>
    <row r="416" spans="1:42" ht="50.1" customHeight="1" x14ac:dyDescent="0.25">
      <c r="A416" s="43">
        <f>MONTH(TAB_HISTORICO_MANUT[[#This Row],[Hora Final]])-MONTH(TAB_HISTORICO_MANUT[[#This Row],[Hora Inicio]])</f>
        <v>0</v>
      </c>
      <c r="B416" s="42"/>
      <c r="C416" s="43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Inicio]]=Z415,TAB_HISTORICO_MANUT[[#This Row],[Equipamento]]=AA415,TAB_HISTORICO_MANUT[[#This Row],[Descricao Despacho]]=AD415),0,1)))</f>
        <v>1</v>
      </c>
      <c r="O41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COMBATE INCENDIO</v>
      </c>
      <c r="P41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1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416" s="50">
        <f>IF($Q416="","",(TAB_HISTORICO_MANUT[[#This Row],[Hora Final]]-TAB_HISTORICO_MANUT[[#This Row],[Hora Inicio]])*24)</f>
        <v>2.2552777777891606</v>
      </c>
      <c r="S41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416" s="54" t="str">
        <f>IF(AND(TAB_HISTORICO_MANUT[[#This Row],[EXPURGO Mãe]]="SIM",TAB_HISTORICO_MANUT[[#This Row],[Tipo]]="MÃE"),"EXP.MAE",IF(TAB_HISTORICO_MANUT[[#This Row],[EXPURGO Mãe]]="NÃO","NÃO EXP.MAE",T415))</f>
        <v>EXP.MAE</v>
      </c>
      <c r="U41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16" s="56">
        <f>IF(TAB_HISTORICO_MANUT[[#This Row],[EXPURGO Filhas]]="SIM",MAX(TAB_HISTORICO_MANUT[[#This Row],[Hora Final]]-TAB_HISTORICO_MANUT[[#This Row],[Hora Inicio]],0),0)</f>
        <v>0</v>
      </c>
      <c r="W41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1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16" s="46">
        <v>46192.316712962966</v>
      </c>
      <c r="Z416" s="47">
        <v>46192.410682870373</v>
      </c>
      <c r="AA416" s="48" t="s">
        <v>232</v>
      </c>
      <c r="AB416" s="48" t="s">
        <v>1183</v>
      </c>
      <c r="AC416" s="43" t="s">
        <v>212</v>
      </c>
      <c r="AD416" s="46" t="s">
        <v>144</v>
      </c>
      <c r="AE416" s="46" t="s">
        <v>214</v>
      </c>
      <c r="AF416" s="122" t="s">
        <v>210</v>
      </c>
      <c r="AG416" s="105">
        <f>IF(TAB_HISTORICO_MANUT[[#This Row],[Hora Inicio]]="","",MONTH(TAB_HISTORICO_MANUT[[#This Row],[Hora Inicio]]))</f>
        <v>6</v>
      </c>
      <c r="AH416" s="58" t="s">
        <v>1194</v>
      </c>
      <c r="AI416" s="43" t="s">
        <v>152</v>
      </c>
      <c r="AJ416" s="43" t="s">
        <v>80</v>
      </c>
      <c r="AK416" s="43" t="s">
        <v>290</v>
      </c>
      <c r="AL416" s="43" t="s">
        <v>460</v>
      </c>
      <c r="AM416" s="114" t="s">
        <v>283</v>
      </c>
      <c r="AN416" s="43" t="s">
        <v>215</v>
      </c>
      <c r="AO416" s="43" t="s">
        <v>842</v>
      </c>
      <c r="AP416" s="43" t="s">
        <v>932</v>
      </c>
    </row>
    <row r="417" spans="1:42" ht="50.1" customHeight="1" x14ac:dyDescent="0.25">
      <c r="A417" s="43">
        <f>MONTH(TAB_HISTORICO_MANUT[[#This Row],[Hora Final]])-MONTH(TAB_HISTORICO_MANUT[[#This Row],[Hora Inicio]])</f>
        <v>0</v>
      </c>
      <c r="B417" s="42"/>
      <c r="C417" s="43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Inicio]]=Z416,TAB_HISTORICO_MANUT[[#This Row],[Equipamento]]=AA416,TAB_HISTORICO_MANUT[[#This Row],[Descricao Despacho]]=AD416),0,1)))</f>
        <v>1</v>
      </c>
      <c r="O41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417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1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17" s="50">
        <f>IF($Q417="","",(TAB_HISTORICO_MANUT[[#This Row],[Hora Final]]-TAB_HISTORICO_MANUT[[#This Row],[Hora Inicio]])*24)</f>
        <v>1.9961111111333594</v>
      </c>
      <c r="S41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17" s="54" t="str">
        <f>IF(AND(TAB_HISTORICO_MANUT[[#This Row],[EXPURGO Mãe]]="SIM",TAB_HISTORICO_MANUT[[#This Row],[Tipo]]="MÃE"),"EXP.MAE",IF(TAB_HISTORICO_MANUT[[#This Row],[EXPURGO Mãe]]="NÃO","NÃO EXP.MAE",T416))</f>
        <v>NÃO EXP.MAE</v>
      </c>
      <c r="U41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17" s="56">
        <f>IF(TAB_HISTORICO_MANUT[[#This Row],[EXPURGO Filhas]]="SIM",MAX(TAB_HISTORICO_MANUT[[#This Row],[Hora Final]]-TAB_HISTORICO_MANUT[[#This Row],[Hora Inicio]],0),0)</f>
        <v>0</v>
      </c>
      <c r="W41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1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17" s="46">
        <v>46193.069930555554</v>
      </c>
      <c r="Z417" s="47">
        <v>46193.153101851851</v>
      </c>
      <c r="AA417" s="48" t="s">
        <v>232</v>
      </c>
      <c r="AB417" s="48" t="s">
        <v>1186</v>
      </c>
      <c r="AC417" s="43" t="s">
        <v>204</v>
      </c>
      <c r="AD417" s="46" t="s">
        <v>144</v>
      </c>
      <c r="AE417" s="46" t="s">
        <v>172</v>
      </c>
      <c r="AF417" s="122" t="s">
        <v>210</v>
      </c>
      <c r="AG417" s="105">
        <f>IF(TAB_HISTORICO_MANUT[[#This Row],[Hora Inicio]]="","",MONTH(TAB_HISTORICO_MANUT[[#This Row],[Hora Inicio]]))</f>
        <v>6</v>
      </c>
      <c r="AH417" s="58" t="s">
        <v>1197</v>
      </c>
      <c r="AI417" s="43" t="s">
        <v>24</v>
      </c>
      <c r="AJ417" s="43" t="s">
        <v>223</v>
      </c>
      <c r="AK417" s="43" t="s">
        <v>422</v>
      </c>
      <c r="AL417" s="43" t="s">
        <v>279</v>
      </c>
      <c r="AM417" s="114" t="s">
        <v>280</v>
      </c>
      <c r="AN417" s="43" t="s">
        <v>217</v>
      </c>
      <c r="AO417" s="43" t="s">
        <v>405</v>
      </c>
      <c r="AP417" s="43" t="s">
        <v>403</v>
      </c>
    </row>
    <row r="418" spans="1:42" ht="50.1" customHeight="1" x14ac:dyDescent="0.25">
      <c r="A418" s="43">
        <f>MONTH(TAB_HISTORICO_MANUT[[#This Row],[Hora Final]])-MONTH(TAB_HISTORICO_MANUT[[#This Row],[Hora Inicio]])</f>
        <v>0</v>
      </c>
      <c r="B418" s="42"/>
      <c r="C418" s="43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Inicio]]=Z417,TAB_HISTORICO_MANUT[[#This Row],[Equipamento]]=AA417,TAB_HISTORICO_MANUT[[#This Row],[Descricao Despacho]]=AD417),0,1)))</f>
        <v/>
      </c>
      <c r="O41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418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41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418" s="50" t="str">
        <f>IF($Q418="","",(TAB_HISTORICO_MANUT[[#This Row],[Hora Final]]-TAB_HISTORICO_MANUT[[#This Row],[Hora Inicio]])*24)</f>
        <v/>
      </c>
      <c r="S41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418" s="54" t="str">
        <f>IF(AND(TAB_HISTORICO_MANUT[[#This Row],[EXPURGO Mãe]]="SIM",TAB_HISTORICO_MANUT[[#This Row],[Tipo]]="MÃE"),"EXP.MAE",IF(TAB_HISTORICO_MANUT[[#This Row],[EXPURGO Mãe]]="NÃO","NÃO EXP.MAE",T417))</f>
        <v>NÃO EXP.MAE</v>
      </c>
      <c r="U41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418" s="56">
        <f>IF(TAB_HISTORICO_MANUT[[#This Row],[EXPURGO Filhas]]="SIM",MAX(TAB_HISTORICO_MANUT[[#This Row],[Hora Final]]-TAB_HISTORICO_MANUT[[#This Row],[Hora Inicio]],0),0)</f>
        <v>2.6388888887595385E-2</v>
      </c>
      <c r="W41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1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18" s="46">
        <v>46193.09375</v>
      </c>
      <c r="Z418" s="47">
        <v>46193.120138888888</v>
      </c>
      <c r="AA418" s="48" t="s">
        <v>232</v>
      </c>
      <c r="AB418" s="48">
        <v>202603169162</v>
      </c>
      <c r="AC418" s="43"/>
      <c r="AD418" s="46" t="s">
        <v>144</v>
      </c>
      <c r="AE418" s="46" t="s">
        <v>765</v>
      </c>
      <c r="AF418" s="122" t="s">
        <v>767</v>
      </c>
      <c r="AG418" s="105">
        <f>IF(TAB_HISTORICO_MANUT[[#This Row],[Hora Inicio]]="","",MONTH(TAB_HISTORICO_MANUT[[#This Row],[Hora Inicio]]))</f>
        <v>6</v>
      </c>
      <c r="AH418" s="58" t="s">
        <v>1313</v>
      </c>
      <c r="AI418" s="43" t="s">
        <v>24</v>
      </c>
      <c r="AJ418" s="43" t="s">
        <v>223</v>
      </c>
      <c r="AK418" s="43" t="s">
        <v>422</v>
      </c>
      <c r="AL418" s="43" t="s">
        <v>279</v>
      </c>
      <c r="AM418" s="114" t="s">
        <v>280</v>
      </c>
      <c r="AN418" s="43"/>
      <c r="AO418" s="43"/>
      <c r="AP418" s="43"/>
    </row>
    <row r="419" spans="1:42" ht="50.1" customHeight="1" x14ac:dyDescent="0.25">
      <c r="A419" s="43">
        <f>MONTH(TAB_HISTORICO_MANUT[[#This Row],[Hora Final]])-MONTH(TAB_HISTORICO_MANUT[[#This Row],[Hora Inicio]])</f>
        <v>0</v>
      </c>
      <c r="B419" s="42"/>
      <c r="C419" s="43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Inicio]]=Z418,TAB_HISTORICO_MANUT[[#This Row],[Equipamento]]=AA418,TAB_HISTORICO_MANUT[[#This Row],[Descricao Despacho]]=AD418),0,1)))</f>
        <v>1</v>
      </c>
      <c r="O41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419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1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19" s="50">
        <f>IF($Q419="","",(TAB_HISTORICO_MANUT[[#This Row],[Hora Final]]-TAB_HISTORICO_MANUT[[#This Row],[Hora Inicio]])*24)</f>
        <v>5.1394444444449618</v>
      </c>
      <c r="S41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19" s="54" t="str">
        <f>IF(AND(TAB_HISTORICO_MANUT[[#This Row],[EXPURGO Mãe]]="SIM",TAB_HISTORICO_MANUT[[#This Row],[Tipo]]="MÃE"),"EXP.MAE",IF(TAB_HISTORICO_MANUT[[#This Row],[EXPURGO Mãe]]="NÃO","NÃO EXP.MAE",T418))</f>
        <v>NÃO EXP.MAE</v>
      </c>
      <c r="U41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19" s="56">
        <f>IF(TAB_HISTORICO_MANUT[[#This Row],[EXPURGO Filhas]]="SIM",MAX(TAB_HISTORICO_MANUT[[#This Row],[Hora Final]]-TAB_HISTORICO_MANUT[[#This Row],[Hora Inicio]],0),0)</f>
        <v>0</v>
      </c>
      <c r="W41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1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19" s="46">
        <v>46193.527789351851</v>
      </c>
      <c r="Z419" s="47">
        <v>46193.741932870369</v>
      </c>
      <c r="AA419" s="48" t="s">
        <v>232</v>
      </c>
      <c r="AB419" s="48" t="s">
        <v>1188</v>
      </c>
      <c r="AC419" s="43" t="s">
        <v>204</v>
      </c>
      <c r="AD419" s="46" t="s">
        <v>144</v>
      </c>
      <c r="AE419" s="46" t="s">
        <v>172</v>
      </c>
      <c r="AF419" s="122" t="s">
        <v>210</v>
      </c>
      <c r="AG419" s="105">
        <f>IF(TAB_HISTORICO_MANUT[[#This Row],[Hora Inicio]]="","",MONTH(TAB_HISTORICO_MANUT[[#This Row],[Hora Inicio]]))</f>
        <v>6</v>
      </c>
      <c r="AH419" s="58" t="s">
        <v>1200</v>
      </c>
      <c r="AI419" s="43" t="s">
        <v>22</v>
      </c>
      <c r="AJ419" s="43" t="s">
        <v>717</v>
      </c>
      <c r="AK419" s="43" t="s">
        <v>667</v>
      </c>
      <c r="AL419" s="43" t="s">
        <v>354</v>
      </c>
      <c r="AM419" s="114" t="s">
        <v>355</v>
      </c>
      <c r="AN419" s="43" t="s">
        <v>215</v>
      </c>
      <c r="AO419" s="43" t="s">
        <v>546</v>
      </c>
      <c r="AP419" s="43" t="s">
        <v>1193</v>
      </c>
    </row>
    <row r="420" spans="1:42" ht="50.1" customHeight="1" x14ac:dyDescent="0.25">
      <c r="A420" s="43">
        <f>MONTH(TAB_HISTORICO_MANUT[[#This Row],[Hora Final]])-MONTH(TAB_HISTORICO_MANUT[[#This Row],[Hora Inicio]])</f>
        <v>0</v>
      </c>
      <c r="B420" s="42"/>
      <c r="C420" s="43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Inicio]]=Z419,TAB_HISTORICO_MANUT[[#This Row],[Equipamento]]=AA419,TAB_HISTORICO_MANUT[[#This Row],[Descricao Despacho]]=AD419),0,1)))</f>
        <v/>
      </c>
      <c r="O42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420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42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420" s="50" t="str">
        <f>IF($Q420="","",(TAB_HISTORICO_MANUT[[#This Row],[Hora Final]]-TAB_HISTORICO_MANUT[[#This Row],[Hora Inicio]])*24)</f>
        <v/>
      </c>
      <c r="S42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420" s="54" t="str">
        <f>IF(AND(TAB_HISTORICO_MANUT[[#This Row],[EXPURGO Mãe]]="SIM",TAB_HISTORICO_MANUT[[#This Row],[Tipo]]="MÃE"),"EXP.MAE",IF(TAB_HISTORICO_MANUT[[#This Row],[EXPURGO Mãe]]="NÃO","NÃO EXP.MAE",T419))</f>
        <v>NÃO EXP.MAE</v>
      </c>
      <c r="U42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420" s="56">
        <f>IF(TAB_HISTORICO_MANUT[[#This Row],[EXPURGO Filhas]]="SIM",MAX(TAB_HISTORICO_MANUT[[#This Row],[Hora Final]]-TAB_HISTORICO_MANUT[[#This Row],[Hora Inicio]],0),0)</f>
        <v>2.7777777781011537E-2</v>
      </c>
      <c r="W42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2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20" s="46">
        <v>46193.625</v>
      </c>
      <c r="Z420" s="47">
        <v>46193.652777777781</v>
      </c>
      <c r="AA420" s="48" t="s">
        <v>232</v>
      </c>
      <c r="AB420" s="48">
        <v>202603176302</v>
      </c>
      <c r="AC420" s="43" t="s">
        <v>204</v>
      </c>
      <c r="AD420" s="46" t="s">
        <v>144</v>
      </c>
      <c r="AE420" s="46" t="s">
        <v>772</v>
      </c>
      <c r="AF420" s="122" t="s">
        <v>767</v>
      </c>
      <c r="AG420" s="105">
        <f>IF(TAB_HISTORICO_MANUT[[#This Row],[Hora Inicio]]="","",MONTH(TAB_HISTORICO_MANUT[[#This Row],[Hora Inicio]]))</f>
        <v>6</v>
      </c>
      <c r="AH420" s="58" t="s">
        <v>1285</v>
      </c>
      <c r="AI420" s="43" t="s">
        <v>22</v>
      </c>
      <c r="AJ420" s="43" t="s">
        <v>717</v>
      </c>
      <c r="AK420" s="43" t="s">
        <v>667</v>
      </c>
      <c r="AL420" s="43" t="s">
        <v>354</v>
      </c>
      <c r="AM420" s="114" t="s">
        <v>355</v>
      </c>
      <c r="AN420" s="43"/>
      <c r="AO420" s="43"/>
      <c r="AP420" s="43"/>
    </row>
    <row r="421" spans="1:42" ht="50.1" customHeight="1" x14ac:dyDescent="0.25">
      <c r="A421" s="43">
        <f>MONTH(TAB_HISTORICO_MANUT[[#This Row],[Hora Final]])-MONTH(TAB_HISTORICO_MANUT[[#This Row],[Hora Inicio]])</f>
        <v>0</v>
      </c>
      <c r="B421" s="42"/>
      <c r="C421" s="43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Inicio]]=Z420,TAB_HISTORICO_MANUT[[#This Row],[Equipamento]]=AA420,TAB_HISTORICO_MANUT[[#This Row],[Descricao Despacho]]=AD420),0,1)))</f>
        <v>1</v>
      </c>
      <c r="O42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421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2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21" s="50">
        <f>IF($Q421="","",(TAB_HISTORICO_MANUT[[#This Row],[Hora Final]]-TAB_HISTORICO_MANUT[[#This Row],[Hora Inicio]])*24)</f>
        <v>2.4475000000675209</v>
      </c>
      <c r="S42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21" s="54" t="str">
        <f>IF(AND(TAB_HISTORICO_MANUT[[#This Row],[EXPURGO Mãe]]="SIM",TAB_HISTORICO_MANUT[[#This Row],[Tipo]]="MÃE"),"EXP.MAE",IF(TAB_HISTORICO_MANUT[[#This Row],[EXPURGO Mãe]]="NÃO","NÃO EXP.MAE",T420))</f>
        <v>NÃO EXP.MAE</v>
      </c>
      <c r="U42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21" s="56">
        <f>IF(TAB_HISTORICO_MANUT[[#This Row],[EXPURGO Filhas]]="SIM",MAX(TAB_HISTORICO_MANUT[[#This Row],[Hora Final]]-TAB_HISTORICO_MANUT[[#This Row],[Hora Inicio]],0),0)</f>
        <v>0</v>
      </c>
      <c r="W42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2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21" s="46">
        <v>46194.098101851851</v>
      </c>
      <c r="Z421" s="47">
        <v>46194.20008101852</v>
      </c>
      <c r="AA421" s="48" t="s">
        <v>232</v>
      </c>
      <c r="AB421" s="48" t="s">
        <v>240</v>
      </c>
      <c r="AC421" s="43" t="s">
        <v>204</v>
      </c>
      <c r="AD421" s="46" t="s">
        <v>144</v>
      </c>
      <c r="AE421" s="46" t="s">
        <v>172</v>
      </c>
      <c r="AF421" s="122" t="s">
        <v>210</v>
      </c>
      <c r="AG421" s="105">
        <f>IF(TAB_HISTORICO_MANUT[[#This Row],[Hora Inicio]]="","",MONTH(TAB_HISTORICO_MANUT[[#This Row],[Hora Inicio]]))</f>
        <v>6</v>
      </c>
      <c r="AH421" s="58" t="s">
        <v>1202</v>
      </c>
      <c r="AI421" s="43" t="s">
        <v>23</v>
      </c>
      <c r="AJ421" s="43"/>
      <c r="AK421" s="43"/>
      <c r="AL421" s="43"/>
      <c r="AM421" s="114"/>
      <c r="AN421" s="43" t="s">
        <v>217</v>
      </c>
      <c r="AO421" s="43" t="s">
        <v>414</v>
      </c>
      <c r="AP421" s="43" t="s">
        <v>493</v>
      </c>
    </row>
    <row r="422" spans="1:42" ht="50.1" customHeight="1" x14ac:dyDescent="0.25">
      <c r="A422" s="43">
        <f>MONTH(TAB_HISTORICO_MANUT[[#This Row],[Hora Final]])-MONTH(TAB_HISTORICO_MANUT[[#This Row],[Hora Inicio]])</f>
        <v>0</v>
      </c>
      <c r="B422" s="42"/>
      <c r="C422" s="43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Inicio]]=Z421,TAB_HISTORICO_MANUT[[#This Row],[Equipamento]]=AA421,TAB_HISTORICO_MANUT[[#This Row],[Descricao Despacho]]=AD421),0,1)))</f>
        <v>1</v>
      </c>
      <c r="O42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422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2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22" s="50">
        <f>IF($Q422="","",(TAB_HISTORICO_MANUT[[#This Row],[Hora Final]]-TAB_HISTORICO_MANUT[[#This Row],[Hora Inicio]])*24)</f>
        <v>2.8805555555736646</v>
      </c>
      <c r="S42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22" s="54" t="str">
        <f>IF(AND(TAB_HISTORICO_MANUT[[#This Row],[EXPURGO Mãe]]="SIM",TAB_HISTORICO_MANUT[[#This Row],[Tipo]]="MÃE"),"EXP.MAE",IF(TAB_HISTORICO_MANUT[[#This Row],[EXPURGO Mãe]]="NÃO","NÃO EXP.MAE",T421))</f>
        <v>NÃO EXP.MAE</v>
      </c>
      <c r="U42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22" s="56">
        <f>IF(TAB_HISTORICO_MANUT[[#This Row],[EXPURGO Filhas]]="SIM",MAX(TAB_HISTORICO_MANUT[[#This Row],[Hora Final]]-TAB_HISTORICO_MANUT[[#This Row],[Hora Inicio]],0),0)</f>
        <v>0</v>
      </c>
      <c r="W42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2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22" s="46">
        <v>46194.947187500002</v>
      </c>
      <c r="Z422" s="47">
        <v>46195.067210648151</v>
      </c>
      <c r="AA422" s="48" t="s">
        <v>232</v>
      </c>
      <c r="AB422" s="48" t="s">
        <v>1192</v>
      </c>
      <c r="AC422" s="43" t="s">
        <v>204</v>
      </c>
      <c r="AD422" s="46" t="s">
        <v>144</v>
      </c>
      <c r="AE422" s="46" t="s">
        <v>172</v>
      </c>
      <c r="AF422" s="122" t="s">
        <v>210</v>
      </c>
      <c r="AG422" s="105">
        <f>IF(TAB_HISTORICO_MANUT[[#This Row],[Hora Inicio]]="","",MONTH(TAB_HISTORICO_MANUT[[#This Row],[Hora Inicio]]))</f>
        <v>6</v>
      </c>
      <c r="AH422" s="58" t="s">
        <v>1205</v>
      </c>
      <c r="AI422" s="43" t="s">
        <v>22</v>
      </c>
      <c r="AJ422" s="43" t="s">
        <v>1160</v>
      </c>
      <c r="AK422" s="43" t="s">
        <v>458</v>
      </c>
      <c r="AL422" s="43" t="s">
        <v>354</v>
      </c>
      <c r="AM422" s="114" t="s">
        <v>355</v>
      </c>
      <c r="AN422" s="43" t="s">
        <v>217</v>
      </c>
      <c r="AO422" s="43" t="s">
        <v>573</v>
      </c>
      <c r="AP422" s="43" t="s">
        <v>218</v>
      </c>
    </row>
    <row r="423" spans="1:42" ht="50.1" customHeight="1" x14ac:dyDescent="0.25">
      <c r="A423" s="43">
        <f>MONTH(TAB_HISTORICO_MANUT[[#This Row],[Hora Final]])-MONTH(TAB_HISTORICO_MANUT[[#This Row],[Hora Inicio]])</f>
        <v>0</v>
      </c>
      <c r="B423" s="42"/>
      <c r="C423" s="43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Inicio]]=Z422,TAB_HISTORICO_MANUT[[#This Row],[Equipamento]]=AA422,TAB_HISTORICO_MANUT[[#This Row],[Descricao Despacho]]=AD422),0,1)))</f>
        <v>1</v>
      </c>
      <c r="O42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423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2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23" s="50">
        <f>IF($Q423="","",(TAB_HISTORICO_MANUT[[#This Row],[Hora Final]]-TAB_HISTORICO_MANUT[[#This Row],[Hora Inicio]])*24)</f>
        <v>5.56388888892252</v>
      </c>
      <c r="S42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23" s="54" t="str">
        <f>IF(AND(TAB_HISTORICO_MANUT[[#This Row],[EXPURGO Mãe]]="SIM",TAB_HISTORICO_MANUT[[#This Row],[Tipo]]="MÃE"),"EXP.MAE",IF(TAB_HISTORICO_MANUT[[#This Row],[EXPURGO Mãe]]="NÃO","NÃO EXP.MAE",T422))</f>
        <v>NÃO EXP.MAE</v>
      </c>
      <c r="U42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23" s="56">
        <f>IF(TAB_HISTORICO_MANUT[[#This Row],[EXPURGO Filhas]]="SIM",MAX(TAB_HISTORICO_MANUT[[#This Row],[Hora Final]]-TAB_HISTORICO_MANUT[[#This Row],[Hora Inicio]],0),0)</f>
        <v>0</v>
      </c>
      <c r="W42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2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23" s="46">
        <v>46195.472442129627</v>
      </c>
      <c r="Z423" s="47">
        <v>46195.704270833332</v>
      </c>
      <c r="AA423" s="48" t="s">
        <v>232</v>
      </c>
      <c r="AB423" s="48"/>
      <c r="AC423" s="43" t="s">
        <v>204</v>
      </c>
      <c r="AD423" s="46" t="s">
        <v>144</v>
      </c>
      <c r="AE423" s="46" t="s">
        <v>172</v>
      </c>
      <c r="AF423" s="122" t="s">
        <v>210</v>
      </c>
      <c r="AG423" s="105">
        <f>IF(TAB_HISTORICO_MANUT[[#This Row],[Hora Inicio]]="","",MONTH(TAB_HISTORICO_MANUT[[#This Row],[Hora Inicio]]))</f>
        <v>6</v>
      </c>
      <c r="AH423" s="58" t="s">
        <v>1214</v>
      </c>
      <c r="AI423" s="43" t="s">
        <v>28</v>
      </c>
      <c r="AJ423" s="43" t="s">
        <v>614</v>
      </c>
      <c r="AK423" s="43" t="s">
        <v>1216</v>
      </c>
      <c r="AL423" s="43" t="s">
        <v>275</v>
      </c>
      <c r="AM423" s="114" t="s">
        <v>877</v>
      </c>
      <c r="AN423" s="43"/>
      <c r="AO423" s="43"/>
      <c r="AP423" s="43"/>
    </row>
    <row r="424" spans="1:42" ht="50.1" customHeight="1" x14ac:dyDescent="0.25">
      <c r="A424" s="115">
        <f>MONTH(TAB_HISTORICO_MANUT[[#This Row],[Hora Final]])-MONTH(TAB_HISTORICO_MANUT[[#This Row],[Hora Inicio]])</f>
        <v>0</v>
      </c>
      <c r="B424" s="116"/>
      <c r="C424" s="115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Inicio]]=Z423,TAB_HISTORICO_MANUT[[#This Row],[Equipamento]]=AA423,TAB_HISTORICO_MANUT[[#This Row],[Descricao Despacho]]=AD423),0,1)))</f>
        <v>1</v>
      </c>
      <c r="O42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42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2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424" s="107">
        <f>IF($Q424="","",(TAB_HISTORICO_MANUT[[#This Row],[Hora Final]]-TAB_HISTORICO_MANUT[[#This Row],[Hora Inicio]])*24)</f>
        <v>0.37000000005355105</v>
      </c>
      <c r="S42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424" s="109" t="str">
        <f>IF(AND(TAB_HISTORICO_MANUT[[#This Row],[EXPURGO Mãe]]="SIM",TAB_HISTORICO_MANUT[[#This Row],[Tipo]]="MÃE"),"EXP.MAE",IF(TAB_HISTORICO_MANUT[[#This Row],[EXPURGO Mãe]]="NÃO","NÃO EXP.MAE",T423))</f>
        <v>EXP.MAE</v>
      </c>
      <c r="U42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24" s="110">
        <f>IF(TAB_HISTORICO_MANUT[[#This Row],[EXPURGO Filhas]]="SIM",MAX(TAB_HISTORICO_MANUT[[#This Row],[Hora Final]]-TAB_HISTORICO_MANUT[[#This Row],[Hora Inicio]],0),0)</f>
        <v>0</v>
      </c>
      <c r="W42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2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24" s="117">
        <v>46196.429456018515</v>
      </c>
      <c r="Z424" s="118">
        <v>46196.444872685184</v>
      </c>
      <c r="AA424" s="119" t="s">
        <v>232</v>
      </c>
      <c r="AB424" s="119" t="s">
        <v>1219</v>
      </c>
      <c r="AC424" s="115" t="s">
        <v>1217</v>
      </c>
      <c r="AD424" s="117" t="s">
        <v>144</v>
      </c>
      <c r="AE424" s="117" t="s">
        <v>1218</v>
      </c>
      <c r="AF424" s="122" t="s">
        <v>210</v>
      </c>
      <c r="AG424" s="123">
        <f>IF(TAB_HISTORICO_MANUT[[#This Row],[Hora Inicio]]="","",MONTH(TAB_HISTORICO_MANUT[[#This Row],[Hora Inicio]]))</f>
        <v>6</v>
      </c>
      <c r="AH424" s="120" t="s">
        <v>1221</v>
      </c>
      <c r="AI424" s="115" t="s">
        <v>82</v>
      </c>
      <c r="AJ424" s="115" t="s">
        <v>49</v>
      </c>
      <c r="AK424" s="115" t="s">
        <v>1222</v>
      </c>
      <c r="AL424" s="115" t="s">
        <v>275</v>
      </c>
      <c r="AM424" s="121" t="s">
        <v>1210</v>
      </c>
      <c r="AN424" s="115" t="s">
        <v>241</v>
      </c>
      <c r="AO424" s="115" t="s">
        <v>1220</v>
      </c>
      <c r="AP424" s="115" t="s">
        <v>321</v>
      </c>
    </row>
    <row r="425" spans="1:42" ht="50.1" customHeight="1" x14ac:dyDescent="0.25">
      <c r="A425" s="43">
        <f>MONTH(TAB_HISTORICO_MANUT[[#This Row],[Hora Final]])-MONTH(TAB_HISTORICO_MANUT[[#This Row],[Hora Inicio]])</f>
        <v>0</v>
      </c>
      <c r="B425" s="42"/>
      <c r="C425" s="43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Inicio]]=Z424,TAB_HISTORICO_MANUT[[#This Row],[Equipamento]]=AA424,TAB_HISTORICO_MANUT[[#This Row],[Descricao Despacho]]=AD424),0,1)))</f>
        <v>1</v>
      </c>
      <c r="O42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425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2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25" s="50">
        <f>IF($Q425="","",(TAB_HISTORICO_MANUT[[#This Row],[Hora Final]]-TAB_HISTORICO_MANUT[[#This Row],[Hora Inicio]])*24)</f>
        <v>1.5574999999953434</v>
      </c>
      <c r="S42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25" s="54" t="str">
        <f>IF(AND(TAB_HISTORICO_MANUT[[#This Row],[EXPURGO Mãe]]="SIM",TAB_HISTORICO_MANUT[[#This Row],[Tipo]]="MÃE"),"EXP.MAE",IF(TAB_HISTORICO_MANUT[[#This Row],[EXPURGO Mãe]]="NÃO","NÃO EXP.MAE",T424))</f>
        <v>NÃO EXP.MAE</v>
      </c>
      <c r="U42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25" s="56">
        <f>IF(TAB_HISTORICO_MANUT[[#This Row],[EXPURGO Filhas]]="SIM",MAX(TAB_HISTORICO_MANUT[[#This Row],[Hora Final]]-TAB_HISTORICO_MANUT[[#This Row],[Hora Inicio]],0),0)</f>
        <v>0</v>
      </c>
      <c r="W42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2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25" s="46">
        <v>46198.357129629629</v>
      </c>
      <c r="Z425" s="47">
        <v>46198.422025462962</v>
      </c>
      <c r="AA425" s="48" t="s">
        <v>232</v>
      </c>
      <c r="AB425" s="48" t="s">
        <v>1223</v>
      </c>
      <c r="AC425" s="43" t="s">
        <v>204</v>
      </c>
      <c r="AD425" s="46" t="s">
        <v>144</v>
      </c>
      <c r="AE425" s="46" t="s">
        <v>172</v>
      </c>
      <c r="AF425" s="122" t="s">
        <v>210</v>
      </c>
      <c r="AG425" s="105">
        <f>IF(TAB_HISTORICO_MANUT[[#This Row],[Hora Inicio]]="","",MONTH(TAB_HISTORICO_MANUT[[#This Row],[Hora Inicio]]))</f>
        <v>6</v>
      </c>
      <c r="AH425" s="58" t="s">
        <v>1224</v>
      </c>
      <c r="AI425" s="43" t="s">
        <v>24</v>
      </c>
      <c r="AJ425" s="43" t="s">
        <v>223</v>
      </c>
      <c r="AK425" s="43" t="s">
        <v>422</v>
      </c>
      <c r="AL425" s="43" t="s">
        <v>279</v>
      </c>
      <c r="AM425" s="114" t="s">
        <v>280</v>
      </c>
      <c r="AN425" s="43" t="s">
        <v>217</v>
      </c>
      <c r="AO425" s="43" t="s">
        <v>405</v>
      </c>
      <c r="AP425" s="43" t="s">
        <v>403</v>
      </c>
    </row>
    <row r="426" spans="1:42" ht="50.1" customHeight="1" x14ac:dyDescent="0.25">
      <c r="A426" s="115">
        <f>MONTH(TAB_HISTORICO_MANUT[[#This Row],[Hora Final]])-MONTH(TAB_HISTORICO_MANUT[[#This Row],[Hora Inicio]])</f>
        <v>0</v>
      </c>
      <c r="B426" s="116"/>
      <c r="C426" s="115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Inicio]]=Z425,TAB_HISTORICO_MANUT[[#This Row],[Equipamento]]=AA425,TAB_HISTORICO_MANUT[[#This Row],[Descricao Despacho]]=AD425),0,1)))</f>
        <v>1</v>
      </c>
      <c r="O42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42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2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26" s="107">
        <f>IF($Q426="","",(TAB_HISTORICO_MANUT[[#This Row],[Hora Final]]-TAB_HISTORICO_MANUT[[#This Row],[Hora Inicio]])*24)</f>
        <v>0.69166666665114462</v>
      </c>
      <c r="S42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26" s="109" t="str">
        <f>IF(AND(TAB_HISTORICO_MANUT[[#This Row],[EXPURGO Mãe]]="SIM",TAB_HISTORICO_MANUT[[#This Row],[Tipo]]="MÃE"),"EXP.MAE",IF(TAB_HISTORICO_MANUT[[#This Row],[EXPURGO Mãe]]="NÃO","NÃO EXP.MAE",T425))</f>
        <v>NÃO EXP.MAE</v>
      </c>
      <c r="U42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26" s="110">
        <f>IF(TAB_HISTORICO_MANUT[[#This Row],[EXPURGO Filhas]]="SIM",MAX(TAB_HISTORICO_MANUT[[#This Row],[Hora Final]]-TAB_HISTORICO_MANUT[[#This Row],[Hora Inicio]],0),0)</f>
        <v>0</v>
      </c>
      <c r="W42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2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26" s="117">
        <v>46199.08666666667</v>
      </c>
      <c r="Z426" s="118">
        <v>46199.115486111114</v>
      </c>
      <c r="AA426" s="119" t="s">
        <v>232</v>
      </c>
      <c r="AB426" s="119" t="s">
        <v>1225</v>
      </c>
      <c r="AC426" s="115" t="s">
        <v>204</v>
      </c>
      <c r="AD426" s="117" t="s">
        <v>144</v>
      </c>
      <c r="AE426" s="117" t="s">
        <v>172</v>
      </c>
      <c r="AF426" s="122" t="s">
        <v>210</v>
      </c>
      <c r="AG426" s="123">
        <f>IF(TAB_HISTORICO_MANUT[[#This Row],[Hora Inicio]]="","",MONTH(TAB_HISTORICO_MANUT[[#This Row],[Hora Inicio]]))</f>
        <v>6</v>
      </c>
      <c r="AH426" s="120" t="s">
        <v>1228</v>
      </c>
      <c r="AI426" s="115" t="s">
        <v>24</v>
      </c>
      <c r="AJ426" s="115" t="s">
        <v>223</v>
      </c>
      <c r="AK426" s="115" t="s">
        <v>422</v>
      </c>
      <c r="AL426" s="115" t="s">
        <v>279</v>
      </c>
      <c r="AM426" s="121" t="s">
        <v>280</v>
      </c>
      <c r="AN426" s="115" t="s">
        <v>217</v>
      </c>
      <c r="AO426" s="115" t="s">
        <v>405</v>
      </c>
      <c r="AP426" s="115" t="s">
        <v>403</v>
      </c>
    </row>
    <row r="427" spans="1:42" ht="50.1" customHeight="1" x14ac:dyDescent="0.25">
      <c r="A427" s="115">
        <f>MONTH(TAB_HISTORICO_MANUT[[#This Row],[Hora Final]])-MONTH(TAB_HISTORICO_MANUT[[#This Row],[Hora Inicio]])</f>
        <v>0</v>
      </c>
      <c r="B427" s="116"/>
      <c r="C427" s="115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Inicio]]=Z426,TAB_HISTORICO_MANUT[[#This Row],[Equipamento]]=AA426,TAB_HISTORICO_MANUT[[#This Row],[Descricao Despacho]]=AD426),0,1)))</f>
        <v>1</v>
      </c>
      <c r="O42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42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2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27" s="107">
        <f>IF($Q427="","",(TAB_HISTORICO_MANUT[[#This Row],[Hora Final]]-TAB_HISTORICO_MANUT[[#This Row],[Hora Inicio]])*24)</f>
        <v>0.91777777770766988</v>
      </c>
      <c r="S42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27" s="109" t="str">
        <f>IF(AND(TAB_HISTORICO_MANUT[[#This Row],[EXPURGO Mãe]]="SIM",TAB_HISTORICO_MANUT[[#This Row],[Tipo]]="MÃE"),"EXP.MAE",IF(TAB_HISTORICO_MANUT[[#This Row],[EXPURGO Mãe]]="NÃO","NÃO EXP.MAE",T426))</f>
        <v>NÃO EXP.MAE</v>
      </c>
      <c r="U42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27" s="110">
        <f>IF(TAB_HISTORICO_MANUT[[#This Row],[EXPURGO Filhas]]="SIM",MAX(TAB_HISTORICO_MANUT[[#This Row],[Hora Final]]-TAB_HISTORICO_MANUT[[#This Row],[Hora Inicio]],0),0)</f>
        <v>0</v>
      </c>
      <c r="W42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2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27" s="117">
        <v>46201.132418981484</v>
      </c>
      <c r="Z427" s="118">
        <v>46201.170659722222</v>
      </c>
      <c r="AA427" s="119" t="s">
        <v>232</v>
      </c>
      <c r="AB427" s="119" t="s">
        <v>1227</v>
      </c>
      <c r="AC427" s="115" t="s">
        <v>204</v>
      </c>
      <c r="AD427" s="117" t="s">
        <v>144</v>
      </c>
      <c r="AE427" s="117" t="s">
        <v>172</v>
      </c>
      <c r="AF427" s="122" t="s">
        <v>210</v>
      </c>
      <c r="AG427" s="123">
        <f>IF(TAB_HISTORICO_MANUT[[#This Row],[Hora Inicio]]="","",MONTH(TAB_HISTORICO_MANUT[[#This Row],[Hora Inicio]]))</f>
        <v>6</v>
      </c>
      <c r="AH427" s="120" t="s">
        <v>1230</v>
      </c>
      <c r="AI427" s="115" t="s">
        <v>24</v>
      </c>
      <c r="AJ427" s="115" t="s">
        <v>223</v>
      </c>
      <c r="AK427" s="115" t="s">
        <v>422</v>
      </c>
      <c r="AL427" s="115" t="s">
        <v>279</v>
      </c>
      <c r="AM427" s="121" t="s">
        <v>280</v>
      </c>
      <c r="AN427" s="115" t="s">
        <v>217</v>
      </c>
      <c r="AO427" s="115" t="s">
        <v>405</v>
      </c>
      <c r="AP427" s="115" t="s">
        <v>403</v>
      </c>
    </row>
    <row r="428" spans="1:42" ht="50.1" customHeight="1" x14ac:dyDescent="0.25">
      <c r="A428" s="115">
        <f>MONTH(TAB_HISTORICO_MANUT[[#This Row],[Hora Final]])-MONTH(TAB_HISTORICO_MANUT[[#This Row],[Hora Inicio]])</f>
        <v>0</v>
      </c>
      <c r="B428" s="116"/>
      <c r="C428" s="115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Inicio]]=Z427,TAB_HISTORICO_MANUT[[#This Row],[Equipamento]]=AA427,TAB_HISTORICO_MANUT[[#This Row],[Descricao Despacho]]=AD427),0,1)))</f>
        <v/>
      </c>
      <c r="O42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428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42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428" s="107" t="str">
        <f>IF($Q428="","",(TAB_HISTORICO_MANUT[[#This Row],[Hora Final]]-TAB_HISTORICO_MANUT[[#This Row],[Hora Inicio]])*24)</f>
        <v/>
      </c>
      <c r="S42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428" s="109" t="str">
        <f>IF(AND(TAB_HISTORICO_MANUT[[#This Row],[EXPURGO Mãe]]="SIM",TAB_HISTORICO_MANUT[[#This Row],[Tipo]]="MÃE"),"EXP.MAE",IF(TAB_HISTORICO_MANUT[[#This Row],[EXPURGO Mãe]]="NÃO","NÃO EXP.MAE",T427))</f>
        <v>NÃO EXP.MAE</v>
      </c>
      <c r="U42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428" s="110">
        <f>IF(TAB_HISTORICO_MANUT[[#This Row],[EXPURGO Filhas]]="SIM",MAX(TAB_HISTORICO_MANUT[[#This Row],[Hora Final]]-TAB_HISTORICO_MANUT[[#This Row],[Hora Inicio]],0),0)</f>
        <v>3.4027777779556345E-2</v>
      </c>
      <c r="W42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2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28" s="117">
        <v>46201.134027777778</v>
      </c>
      <c r="Z428" s="118">
        <v>46201.168055555558</v>
      </c>
      <c r="AA428" s="119" t="s">
        <v>232</v>
      </c>
      <c r="AB428" s="119">
        <v>202603310395</v>
      </c>
      <c r="AC428" s="115" t="s">
        <v>204</v>
      </c>
      <c r="AD428" s="117" t="s">
        <v>144</v>
      </c>
      <c r="AE428" s="117" t="s">
        <v>765</v>
      </c>
      <c r="AF428" s="122" t="s">
        <v>767</v>
      </c>
      <c r="AG428" s="123">
        <f>IF(TAB_HISTORICO_MANUT[[#This Row],[Hora Inicio]]="","",MONTH(TAB_HISTORICO_MANUT[[#This Row],[Hora Inicio]]))</f>
        <v>6</v>
      </c>
      <c r="AH428" s="120" t="s">
        <v>1314</v>
      </c>
      <c r="AI428" s="115" t="s">
        <v>24</v>
      </c>
      <c r="AJ428" s="115" t="s">
        <v>223</v>
      </c>
      <c r="AK428" s="115" t="s">
        <v>422</v>
      </c>
      <c r="AL428" s="115" t="s">
        <v>279</v>
      </c>
      <c r="AM428" s="121" t="s">
        <v>280</v>
      </c>
      <c r="AN428" s="115"/>
      <c r="AO428" s="115"/>
      <c r="AP428" s="115"/>
    </row>
    <row r="429" spans="1:42" ht="50.1" customHeight="1" x14ac:dyDescent="0.25">
      <c r="A429" s="115">
        <f>MONTH(TAB_HISTORICO_MANUT[[#This Row],[Hora Final]])-MONTH(TAB_HISTORICO_MANUT[[#This Row],[Hora Inicio]])</f>
        <v>0</v>
      </c>
      <c r="B429" s="116"/>
      <c r="C429" s="115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Inicio]]=Z428,TAB_HISTORICO_MANUT[[#This Row],[Equipamento]]=AA428,TAB_HISTORICO_MANUT[[#This Row],[Descricao Despacho]]=AD428),0,1)))</f>
        <v>1</v>
      </c>
      <c r="O42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42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42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429" s="107">
        <f>IF($Q429="","",(TAB_HISTORICO_MANUT[[#This Row],[Hora Final]]-TAB_HISTORICO_MANUT[[#This Row],[Hora Inicio]])*24)</f>
        <v>1.028333333437331</v>
      </c>
      <c r="S42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29" s="109" t="str">
        <f>IF(AND(TAB_HISTORICO_MANUT[[#This Row],[EXPURGO Mãe]]="SIM",TAB_HISTORICO_MANUT[[#This Row],[Tipo]]="MÃE"),"EXP.MAE",IF(TAB_HISTORICO_MANUT[[#This Row],[EXPURGO Mãe]]="NÃO","NÃO EXP.MAE",T428))</f>
        <v>NÃO EXP.MAE</v>
      </c>
      <c r="U42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29" s="110">
        <f>IF(TAB_HISTORICO_MANUT[[#This Row],[EXPURGO Filhas]]="SIM",MAX(TAB_HISTORICO_MANUT[[#This Row],[Hora Final]]-TAB_HISTORICO_MANUT[[#This Row],[Hora Inicio]],0),0)</f>
        <v>0</v>
      </c>
      <c r="W42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2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29" s="117">
        <v>46202.503761574073</v>
      </c>
      <c r="Z429" s="118">
        <v>46202.5466087963</v>
      </c>
      <c r="AA429" s="119" t="s">
        <v>232</v>
      </c>
      <c r="AB429" s="119"/>
      <c r="AC429" s="115" t="s">
        <v>882</v>
      </c>
      <c r="AD429" s="117" t="s">
        <v>146</v>
      </c>
      <c r="AE429" s="117" t="s">
        <v>883</v>
      </c>
      <c r="AF429" s="122" t="s">
        <v>210</v>
      </c>
      <c r="AG429" s="123">
        <f>IF(TAB_HISTORICO_MANUT[[#This Row],[Hora Inicio]]="","",MONTH(TAB_HISTORICO_MANUT[[#This Row],[Hora Inicio]]))</f>
        <v>6</v>
      </c>
      <c r="AH429" s="120"/>
      <c r="AI429" s="115" t="s">
        <v>25</v>
      </c>
      <c r="AJ429" s="115" t="s">
        <v>25</v>
      </c>
      <c r="AK429" s="115" t="s">
        <v>25</v>
      </c>
      <c r="AL429" s="115" t="s">
        <v>25</v>
      </c>
      <c r="AM429" s="121" t="s">
        <v>25</v>
      </c>
      <c r="AN429" s="115"/>
      <c r="AO429" s="115"/>
      <c r="AP429" s="115"/>
    </row>
    <row r="430" spans="1:42" ht="50.1" customHeight="1" x14ac:dyDescent="0.25">
      <c r="A430" s="115">
        <f>MONTH(TAB_HISTORICO_MANUT[[#This Row],[Hora Final]])-MONTH(TAB_HISTORICO_MANUT[[#This Row],[Hora Inicio]])</f>
        <v>0</v>
      </c>
      <c r="B430" s="116"/>
      <c r="C430" s="115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Inicio]]=Z429,TAB_HISTORICO_MANUT[[#This Row],[Equipamento]]=AA429,TAB_HISTORICO_MANUT[[#This Row],[Descricao Despacho]]=AD429),0,1)))</f>
        <v>1</v>
      </c>
      <c r="O43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43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3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30" s="107">
        <f>IF($Q430="","",(TAB_HISTORICO_MANUT[[#This Row],[Hora Final]]-TAB_HISTORICO_MANUT[[#This Row],[Hora Inicio]])*24)</f>
        <v>8.7783333333791234</v>
      </c>
      <c r="S43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30" s="109" t="str">
        <f>IF(AND(TAB_HISTORICO_MANUT[[#This Row],[EXPURGO Mãe]]="SIM",TAB_HISTORICO_MANUT[[#This Row],[Tipo]]="MÃE"),"EXP.MAE",IF(TAB_HISTORICO_MANUT[[#This Row],[EXPURGO Mãe]]="NÃO","NÃO EXP.MAE",T429))</f>
        <v>NÃO EXP.MAE</v>
      </c>
      <c r="U43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30" s="110">
        <f>IF(TAB_HISTORICO_MANUT[[#This Row],[EXPURGO Filhas]]="SIM",MAX(TAB_HISTORICO_MANUT[[#This Row],[Hora Final]]-TAB_HISTORICO_MANUT[[#This Row],[Hora Inicio]],0),0)</f>
        <v>0</v>
      </c>
      <c r="W43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3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30" s="117">
        <v>46202.569363425922</v>
      </c>
      <c r="Z430" s="118">
        <v>46202.935127314813</v>
      </c>
      <c r="AA430" s="119" t="s">
        <v>232</v>
      </c>
      <c r="AB430" s="119" t="s">
        <v>1236</v>
      </c>
      <c r="AC430" s="115" t="s">
        <v>204</v>
      </c>
      <c r="AD430" s="117" t="s">
        <v>144</v>
      </c>
      <c r="AE430" s="117" t="s">
        <v>172</v>
      </c>
      <c r="AF430" s="122" t="s">
        <v>210</v>
      </c>
      <c r="AG430" s="123">
        <f>IF(TAB_HISTORICO_MANUT[[#This Row],[Hora Inicio]]="","",MONTH(TAB_HISTORICO_MANUT[[#This Row],[Hora Inicio]]))</f>
        <v>6</v>
      </c>
      <c r="AH430" s="120" t="s">
        <v>1235</v>
      </c>
      <c r="AI430" s="115" t="s">
        <v>22</v>
      </c>
      <c r="AJ430" s="115" t="s">
        <v>962</v>
      </c>
      <c r="AK430" s="115" t="s">
        <v>290</v>
      </c>
      <c r="AL430" s="115" t="s">
        <v>282</v>
      </c>
      <c r="AM430" s="121" t="s">
        <v>1210</v>
      </c>
      <c r="AN430" s="115" t="s">
        <v>215</v>
      </c>
      <c r="AO430" s="115" t="s">
        <v>222</v>
      </c>
      <c r="AP430" s="115" t="s">
        <v>1237</v>
      </c>
    </row>
    <row r="431" spans="1:42" ht="50.1" customHeight="1" x14ac:dyDescent="0.25">
      <c r="A431" s="43">
        <f>MONTH(TAB_HISTORICO_MANUT[[#This Row],[Hora Final]])-MONTH(TAB_HISTORICO_MANUT[[#This Row],[Hora Inicio]])</f>
        <v>0</v>
      </c>
      <c r="B431" s="42"/>
      <c r="C431" s="43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Inicio]]=Z430,TAB_HISTORICO_MANUT[[#This Row],[Equipamento]]=AA430,TAB_HISTORICO_MANUT[[#This Row],[Descricao Despacho]]=AD430),0,1)))</f>
        <v>1</v>
      </c>
      <c r="O43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431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3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31" s="50">
        <f>IF($Q431="","",(TAB_HISTORICO_MANUT[[#This Row],[Hora Final]]-TAB_HISTORICO_MANUT[[#This Row],[Hora Inicio]])*24)</f>
        <v>0.40916666662087664</v>
      </c>
      <c r="S43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31" s="54" t="str">
        <f>IF(AND(TAB_HISTORICO_MANUT[[#This Row],[EXPURGO Mãe]]="SIM",TAB_HISTORICO_MANUT[[#This Row],[Tipo]]="MÃE"),"EXP.MAE",IF(TAB_HISTORICO_MANUT[[#This Row],[EXPURGO Mãe]]="NÃO","NÃO EXP.MAE",T430))</f>
        <v>NÃO EXP.MAE</v>
      </c>
      <c r="U43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31" s="56">
        <f>IF(TAB_HISTORICO_MANUT[[#This Row],[EXPURGO Filhas]]="SIM",MAX(TAB_HISTORICO_MANUT[[#This Row],[Hora Final]]-TAB_HISTORICO_MANUT[[#This Row],[Hora Inicio]],0),0)</f>
        <v>0</v>
      </c>
      <c r="W43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3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31" s="46">
        <v>46203.211527777778</v>
      </c>
      <c r="Z431" s="47">
        <v>46203.228576388887</v>
      </c>
      <c r="AA431" s="48" t="s">
        <v>232</v>
      </c>
      <c r="AB431" s="48" t="s">
        <v>1239</v>
      </c>
      <c r="AC431" s="43" t="s">
        <v>204</v>
      </c>
      <c r="AD431" s="46" t="s">
        <v>144</v>
      </c>
      <c r="AE431" s="46" t="s">
        <v>172</v>
      </c>
      <c r="AF431" s="88" t="s">
        <v>210</v>
      </c>
      <c r="AG431" s="105">
        <f>IF(TAB_HISTORICO_MANUT[[#This Row],[Hora Inicio]]="","",MONTH(TAB_HISTORICO_MANUT[[#This Row],[Hora Inicio]]))</f>
        <v>6</v>
      </c>
      <c r="AH431" s="58" t="s">
        <v>1242</v>
      </c>
      <c r="AI431" s="43" t="s">
        <v>22</v>
      </c>
      <c r="AJ431" s="43" t="s">
        <v>1157</v>
      </c>
      <c r="AK431" s="43" t="s">
        <v>290</v>
      </c>
      <c r="AL431" s="43" t="s">
        <v>1245</v>
      </c>
      <c r="AM431" s="114" t="s">
        <v>283</v>
      </c>
      <c r="AN431" s="43" t="s">
        <v>215</v>
      </c>
      <c r="AO431" s="43" t="s">
        <v>1056</v>
      </c>
      <c r="AP431" s="43" t="s">
        <v>1244</v>
      </c>
    </row>
    <row r="432" spans="1:42" ht="50.1" customHeight="1" x14ac:dyDescent="0.25">
      <c r="A432" s="43">
        <f>MONTH(TAB_HISTORICO_MANUT[[#This Row],[Hora Final]])-MONTH(TAB_HISTORICO_MANUT[[#This Row],[Hora Inicio]])</f>
        <v>0</v>
      </c>
      <c r="B432" s="42"/>
      <c r="C432" s="43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Inicio]]=Z431,TAB_HISTORICO_MANUT[[#This Row],[Equipamento]]=AA431,TAB_HISTORICO_MANUT[[#This Row],[Descricao Despacho]]=AD431),0,1)))</f>
        <v>1</v>
      </c>
      <c r="O43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432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3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32" s="50">
        <f>IF($Q432="","",(TAB_HISTORICO_MANUT[[#This Row],[Hora Final]]-TAB_HISTORICO_MANUT[[#This Row],[Hora Inicio]])*24)</f>
        <v>3.1533333333791234</v>
      </c>
      <c r="S43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32" s="54" t="str">
        <f>IF(AND(TAB_HISTORICO_MANUT[[#This Row],[EXPURGO Mãe]]="SIM",TAB_HISTORICO_MANUT[[#This Row],[Tipo]]="MÃE"),"EXP.MAE",IF(TAB_HISTORICO_MANUT[[#This Row],[EXPURGO Mãe]]="NÃO","NÃO EXP.MAE",T431))</f>
        <v>NÃO EXP.MAE</v>
      </c>
      <c r="U43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32" s="56">
        <f>IF(TAB_HISTORICO_MANUT[[#This Row],[EXPURGO Filhas]]="SIM",MAX(TAB_HISTORICO_MANUT[[#This Row],[Hora Final]]-TAB_HISTORICO_MANUT[[#This Row],[Hora Inicio]],0),0)</f>
        <v>0</v>
      </c>
      <c r="W43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3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32" s="46">
        <v>46203.384918981479</v>
      </c>
      <c r="Z432" s="47">
        <v>46203.51630787037</v>
      </c>
      <c r="AA432" s="48" t="s">
        <v>232</v>
      </c>
      <c r="AB432" s="48" t="s">
        <v>1238</v>
      </c>
      <c r="AC432" s="43" t="s">
        <v>204</v>
      </c>
      <c r="AD432" s="46" t="s">
        <v>144</v>
      </c>
      <c r="AE432" s="46" t="s">
        <v>172</v>
      </c>
      <c r="AF432" s="88" t="s">
        <v>210</v>
      </c>
      <c r="AG432" s="105">
        <f>IF(TAB_HISTORICO_MANUT[[#This Row],[Hora Inicio]]="","",MONTH(TAB_HISTORICO_MANUT[[#This Row],[Hora Inicio]]))</f>
        <v>6</v>
      </c>
      <c r="AH432" s="58" t="s">
        <v>1241</v>
      </c>
      <c r="AI432" s="43" t="s">
        <v>24</v>
      </c>
      <c r="AJ432" s="43" t="s">
        <v>223</v>
      </c>
      <c r="AK432" s="43" t="s">
        <v>422</v>
      </c>
      <c r="AL432" s="43" t="s">
        <v>279</v>
      </c>
      <c r="AM432" s="114" t="s">
        <v>280</v>
      </c>
      <c r="AN432" s="43" t="s">
        <v>217</v>
      </c>
      <c r="AO432" s="43" t="s">
        <v>405</v>
      </c>
      <c r="AP432" s="43" t="s">
        <v>403</v>
      </c>
    </row>
    <row r="433" spans="1:42" ht="50.1" customHeight="1" x14ac:dyDescent="0.25">
      <c r="A433" s="115">
        <f>MONTH(TAB_HISTORICO_MANUT[[#This Row],[Hora Final]])-MONTH(TAB_HISTORICO_MANUT[[#This Row],[Hora Inicio]])</f>
        <v>0</v>
      </c>
      <c r="B433" s="116"/>
      <c r="C433" s="115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Inicio]]=Z432,TAB_HISTORICO_MANUT[[#This Row],[Equipamento]]=AA432,TAB_HISTORICO_MANUT[[#This Row],[Descricao Despacho]]=AD432),0,1)))</f>
        <v>1</v>
      </c>
      <c r="O43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43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3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433" s="107">
        <f>IF($Q433="","",(TAB_HISTORICO_MANUT[[#This Row],[Hora Final]]-TAB_HISTORICO_MANUT[[#This Row],[Hora Inicio]])*24)</f>
        <v>0.68055555538740009</v>
      </c>
      <c r="S43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433" s="109" t="str">
        <f>IF(AND(TAB_HISTORICO_MANUT[[#This Row],[EXPURGO Mãe]]="SIM",TAB_HISTORICO_MANUT[[#This Row],[Tipo]]="MÃE"),"EXP.MAE",IF(TAB_HISTORICO_MANUT[[#This Row],[EXPURGO Mãe]]="NÃO","NÃO EXP.MAE",T432))</f>
        <v>EXP.MAE</v>
      </c>
      <c r="U43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33" s="110">
        <f>IF(TAB_HISTORICO_MANUT[[#This Row],[EXPURGO Filhas]]="SIM",MAX(TAB_HISTORICO_MANUT[[#This Row],[Hora Final]]-TAB_HISTORICO_MANUT[[#This Row],[Hora Inicio]],0),0)</f>
        <v>0</v>
      </c>
      <c r="W43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3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33" s="117">
        <v>46204.916412037041</v>
      </c>
      <c r="Z433" s="118">
        <v>46204.944768518515</v>
      </c>
      <c r="AA433" s="119" t="s">
        <v>232</v>
      </c>
      <c r="AB433" s="119" t="s">
        <v>1246</v>
      </c>
      <c r="AC433" s="115" t="s">
        <v>204</v>
      </c>
      <c r="AD433" s="117" t="s">
        <v>144</v>
      </c>
      <c r="AE433" s="117" t="s">
        <v>172</v>
      </c>
      <c r="AF433" s="122" t="s">
        <v>210</v>
      </c>
      <c r="AG433" s="123">
        <f>IF(TAB_HISTORICO_MANUT[[#This Row],[Hora Inicio]]="","",MONTH(TAB_HISTORICO_MANUT[[#This Row],[Hora Inicio]]))</f>
        <v>7</v>
      </c>
      <c r="AH433" s="120" t="s">
        <v>1248</v>
      </c>
      <c r="AI433" s="115" t="s">
        <v>82</v>
      </c>
      <c r="AJ433" s="115" t="s">
        <v>1251</v>
      </c>
      <c r="AK433" s="115" t="s">
        <v>1252</v>
      </c>
      <c r="AL433" s="115" t="s">
        <v>540</v>
      </c>
      <c r="AM433" s="121" t="s">
        <v>541</v>
      </c>
      <c r="AN433" s="115" t="s">
        <v>215</v>
      </c>
      <c r="AO433" s="115" t="s">
        <v>222</v>
      </c>
      <c r="AP433" s="115" t="s">
        <v>1250</v>
      </c>
    </row>
    <row r="434" spans="1:42" ht="50.1" customHeight="1" x14ac:dyDescent="0.25">
      <c r="A434" s="115">
        <f>MONTH(TAB_HISTORICO_MANUT[[#This Row],[Hora Final]])-MONTH(TAB_HISTORICO_MANUT[[#This Row],[Hora Inicio]])</f>
        <v>0</v>
      </c>
      <c r="B434" s="116"/>
      <c r="C434" s="115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 t="s">
        <v>99</v>
      </c>
      <c r="N43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Inicio]]=Z433,TAB_HISTORICO_MANUT[[#This Row],[Equipamento]]=AA433,TAB_HISTORICO_MANUT[[#This Row],[Descricao Despacho]]=AD433),0,1)))</f>
        <v>1</v>
      </c>
      <c r="O43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43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43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434" s="107">
        <f>IF($Q434="","",(TAB_HISTORICO_MANUT[[#This Row],[Hora Final]]-TAB_HISTORICO_MANUT[[#This Row],[Hora Inicio]])*24)</f>
        <v>1.1180555555038154</v>
      </c>
      <c r="S43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34" s="109" t="str">
        <f>IF(AND(TAB_HISTORICO_MANUT[[#This Row],[EXPURGO Mãe]]="SIM",TAB_HISTORICO_MANUT[[#This Row],[Tipo]]="MÃE"),"EXP.MAE",IF(TAB_HISTORICO_MANUT[[#This Row],[EXPURGO Mãe]]="NÃO","NÃO EXP.MAE",T433))</f>
        <v>NÃO EXP.MAE</v>
      </c>
      <c r="U43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34" s="110">
        <f>IF(TAB_HISTORICO_MANUT[[#This Row],[EXPURGO Filhas]]="SIM",MAX(TAB_HISTORICO_MANUT[[#This Row],[Hora Final]]-TAB_HISTORICO_MANUT[[#This Row],[Hora Inicio]],0),0)</f>
        <v>0</v>
      </c>
      <c r="W43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3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34" s="117">
        <v>46205.305532407408</v>
      </c>
      <c r="Z434" s="118">
        <v>46205.352118055554</v>
      </c>
      <c r="AA434" s="119" t="s">
        <v>232</v>
      </c>
      <c r="AB434" s="119"/>
      <c r="AC434" s="115" t="s">
        <v>300</v>
      </c>
      <c r="AD434" s="117" t="s">
        <v>146</v>
      </c>
      <c r="AE434" s="117" t="s">
        <v>178</v>
      </c>
      <c r="AF434" s="122" t="s">
        <v>210</v>
      </c>
      <c r="AG434" s="123">
        <f>IF(TAB_HISTORICO_MANUT[[#This Row],[Hora Inicio]]="","",MONTH(TAB_HISTORICO_MANUT[[#This Row],[Hora Inicio]]))</f>
        <v>7</v>
      </c>
      <c r="AH434" s="120" t="s">
        <v>1255</v>
      </c>
      <c r="AI434" s="115" t="s">
        <v>340</v>
      </c>
      <c r="AJ434" s="115" t="s">
        <v>436</v>
      </c>
      <c r="AK434" s="115"/>
      <c r="AL434" s="115"/>
      <c r="AM434" s="121"/>
      <c r="AN434" s="115"/>
      <c r="AO434" s="115"/>
      <c r="AP434" s="115"/>
    </row>
    <row r="435" spans="1:42" ht="50.1" customHeight="1" x14ac:dyDescent="0.25">
      <c r="A435" s="115">
        <f>MONTH(TAB_HISTORICO_MANUT[[#This Row],[Hora Final]])-MONTH(TAB_HISTORICO_MANUT[[#This Row],[Hora Inicio]])</f>
        <v>0</v>
      </c>
      <c r="B435" s="116"/>
      <c r="C435" s="115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Inicio]]=Z434,TAB_HISTORICO_MANUT[[#This Row],[Equipamento]]=AA434,TAB_HISTORICO_MANUT[[#This Row],[Descricao Despacho]]=AD434),0,1)))</f>
        <v/>
      </c>
      <c r="O43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435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43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435" s="107" t="str">
        <f>IF($Q435="","",(TAB_HISTORICO_MANUT[[#This Row],[Hora Final]]-TAB_HISTORICO_MANUT[[#This Row],[Hora Inicio]])*24)</f>
        <v/>
      </c>
      <c r="S43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435" s="109" t="str">
        <f>IF(AND(TAB_HISTORICO_MANUT[[#This Row],[EXPURGO Mãe]]="SIM",TAB_HISTORICO_MANUT[[#This Row],[Tipo]]="MÃE"),"EXP.MAE",IF(TAB_HISTORICO_MANUT[[#This Row],[EXPURGO Mãe]]="NÃO","NÃO EXP.MAE",T434))</f>
        <v>NÃO EXP.MAE</v>
      </c>
      <c r="U43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435" s="110">
        <f>IF(TAB_HISTORICO_MANUT[[#This Row],[EXPURGO Filhas]]="SIM",MAX(TAB_HISTORICO_MANUT[[#This Row],[Hora Final]]-TAB_HISTORICO_MANUT[[#This Row],[Hora Inicio]],0),0)</f>
        <v>4.9189814817509614E-3</v>
      </c>
      <c r="W43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3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35" s="117">
        <v>46205.347199074073</v>
      </c>
      <c r="Z435" s="118">
        <v>46205.352118055554</v>
      </c>
      <c r="AA435" s="119" t="s">
        <v>232</v>
      </c>
      <c r="AB435" s="119"/>
      <c r="AC435" s="115">
        <v>7116</v>
      </c>
      <c r="AD435" s="117" t="s">
        <v>146</v>
      </c>
      <c r="AE435" s="117" t="s">
        <v>178</v>
      </c>
      <c r="AF435" s="122" t="s">
        <v>767</v>
      </c>
      <c r="AG435" s="123">
        <f>IF(TAB_HISTORICO_MANUT[[#This Row],[Hora Inicio]]="","",MONTH(TAB_HISTORICO_MANUT[[#This Row],[Hora Inicio]]))</f>
        <v>7</v>
      </c>
      <c r="AH435" s="120" t="s">
        <v>1556</v>
      </c>
      <c r="AI435" s="115" t="s">
        <v>340</v>
      </c>
      <c r="AJ435" s="115" t="s">
        <v>436</v>
      </c>
      <c r="AK435" s="115"/>
      <c r="AL435" s="115"/>
      <c r="AM435" s="121"/>
      <c r="AN435" s="115"/>
      <c r="AO435" s="115"/>
      <c r="AP435" s="115"/>
    </row>
    <row r="436" spans="1:42" ht="50.1" customHeight="1" x14ac:dyDescent="0.25">
      <c r="A436" s="43">
        <f>MONTH(TAB_HISTORICO_MANUT[[#This Row],[Hora Final]])-MONTH(TAB_HISTORICO_MANUT[[#This Row],[Hora Inicio]])</f>
        <v>0</v>
      </c>
      <c r="B436" s="42"/>
      <c r="C436" s="43"/>
      <c r="D436" s="42"/>
      <c r="E436" s="42"/>
      <c r="F436" s="42"/>
      <c r="G436" s="42"/>
      <c r="H436" s="42"/>
      <c r="I436" s="116"/>
      <c r="J436" s="116"/>
      <c r="K436" s="116"/>
      <c r="L436" s="116"/>
      <c r="M436" s="116"/>
      <c r="N43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Inicio]]=Z435,TAB_HISTORICO_MANUT[[#This Row],[Equipamento]]=AA435,TAB_HISTORICO_MANUT[[#This Row],[Descricao Despacho]]=AD435),0,1)))</f>
        <v>0</v>
      </c>
      <c r="O43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436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43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436" s="50">
        <f>IF($Q436="","",(TAB_HISTORICO_MANUT[[#This Row],[Hora Final]]-TAB_HISTORICO_MANUT[[#This Row],[Hora Inicio]])*24)</f>
        <v>19.380277777730953</v>
      </c>
      <c r="S43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36" s="54" t="str">
        <f>IF(AND(TAB_HISTORICO_MANUT[[#This Row],[EXPURGO Mãe]]="SIM",TAB_HISTORICO_MANUT[[#This Row],[Tipo]]="MÃE"),"EXP.MAE",IF(TAB_HISTORICO_MANUT[[#This Row],[EXPURGO Mãe]]="NÃO","NÃO EXP.MAE",T435))</f>
        <v>NÃO EXP.MAE</v>
      </c>
      <c r="U43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36" s="56">
        <f>IF(TAB_HISTORICO_MANUT[[#This Row],[EXPURGO Filhas]]="SIM",MAX(TAB_HISTORICO_MANUT[[#This Row],[Hora Final]]-TAB_HISTORICO_MANUT[[#This Row],[Hora Inicio]],0),0)</f>
        <v>0</v>
      </c>
      <c r="W43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3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36" s="46">
        <v>46205.352118055554</v>
      </c>
      <c r="Z436" s="47">
        <v>46206.159629629627</v>
      </c>
      <c r="AA436" s="48" t="s">
        <v>232</v>
      </c>
      <c r="AB436" s="48"/>
      <c r="AC436" s="43" t="s">
        <v>301</v>
      </c>
      <c r="AD436" s="46" t="s">
        <v>146</v>
      </c>
      <c r="AE436" s="46" t="s">
        <v>310</v>
      </c>
      <c r="AF436" s="88" t="s">
        <v>210</v>
      </c>
      <c r="AG436" s="105">
        <f>IF(TAB_HISTORICO_MANUT[[#This Row],[Hora Inicio]]="","",MONTH(TAB_HISTORICO_MANUT[[#This Row],[Hora Inicio]]))</f>
        <v>7</v>
      </c>
      <c r="AH436" s="58" t="s">
        <v>1255</v>
      </c>
      <c r="AI436" s="43" t="s">
        <v>340</v>
      </c>
      <c r="AJ436" s="43" t="s">
        <v>436</v>
      </c>
      <c r="AK436" s="43"/>
      <c r="AL436" s="43"/>
      <c r="AM436" s="114"/>
      <c r="AN436" s="43"/>
      <c r="AO436" s="43"/>
      <c r="AP436" s="43"/>
    </row>
    <row r="437" spans="1:42" ht="50.1" customHeight="1" x14ac:dyDescent="0.25">
      <c r="A437" s="115">
        <f>MONTH(TAB_HISTORICO_MANUT[[#This Row],[Hora Final]])-MONTH(TAB_HISTORICO_MANUT[[#This Row],[Hora Inicio]])</f>
        <v>0</v>
      </c>
      <c r="B437" s="116"/>
      <c r="C437" s="115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Inicio]]=Z436,TAB_HISTORICO_MANUT[[#This Row],[Equipamento]]=AA436,TAB_HISTORICO_MANUT[[#This Row],[Descricao Despacho]]=AD436),0,1)))</f>
        <v>1</v>
      </c>
      <c r="O43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43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43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437" s="107">
        <f>IF($Q437="","",(TAB_HISTORICO_MANUT[[#This Row],[Hora Final]]-TAB_HISTORICO_MANUT[[#This Row],[Hora Inicio]])*24)</f>
        <v>0.48500000004423782</v>
      </c>
      <c r="S43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37" s="109" t="str">
        <f>IF(AND(TAB_HISTORICO_MANUT[[#This Row],[EXPURGO Mãe]]="SIM",TAB_HISTORICO_MANUT[[#This Row],[Tipo]]="MÃE"),"EXP.MAE",IF(TAB_HISTORICO_MANUT[[#This Row],[EXPURGO Mãe]]="NÃO","NÃO EXP.MAE",T436))</f>
        <v>NÃO EXP.MAE</v>
      </c>
      <c r="U43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37" s="110">
        <f>IF(TAB_HISTORICO_MANUT[[#This Row],[EXPURGO Filhas]]="SIM",MAX(TAB_HISTORICO_MANUT[[#This Row],[Hora Final]]-TAB_HISTORICO_MANUT[[#This Row],[Hora Inicio]],0),0)</f>
        <v>0</v>
      </c>
      <c r="W43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3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37" s="117">
        <v>46207.086435185185</v>
      </c>
      <c r="Z437" s="118">
        <v>46207.10664351852</v>
      </c>
      <c r="AA437" s="119" t="s">
        <v>232</v>
      </c>
      <c r="AB437" s="119"/>
      <c r="AC437" s="115" t="s">
        <v>205</v>
      </c>
      <c r="AD437" s="117" t="s">
        <v>145</v>
      </c>
      <c r="AE437" s="117" t="s">
        <v>173</v>
      </c>
      <c r="AF437" s="122" t="s">
        <v>210</v>
      </c>
      <c r="AG437" s="123">
        <f>IF(TAB_HISTORICO_MANUT[[#This Row],[Hora Inicio]]="","",MONTH(TAB_HISTORICO_MANUT[[#This Row],[Hora Inicio]]))</f>
        <v>7</v>
      </c>
      <c r="AH437" s="120" t="s">
        <v>326</v>
      </c>
      <c r="AI437" s="115" t="s">
        <v>21</v>
      </c>
      <c r="AJ437" s="115" t="s">
        <v>21</v>
      </c>
      <c r="AK437" s="115" t="s">
        <v>21</v>
      </c>
      <c r="AL437" s="115" t="s">
        <v>21</v>
      </c>
      <c r="AM437" s="121" t="s">
        <v>21</v>
      </c>
      <c r="AN437" s="115"/>
      <c r="AO437" s="115"/>
      <c r="AP437" s="115"/>
    </row>
    <row r="438" spans="1:42" ht="50.1" customHeight="1" x14ac:dyDescent="0.25">
      <c r="A438" s="115">
        <f>MONTH(TAB_HISTORICO_MANUT[[#This Row],[Hora Final]])-MONTH(TAB_HISTORICO_MANUT[[#This Row],[Hora Inicio]])</f>
        <v>0</v>
      </c>
      <c r="B438" s="116"/>
      <c r="C438" s="115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Inicio]]=Z437,TAB_HISTORICO_MANUT[[#This Row],[Equipamento]]=AA437,TAB_HISTORICO_MANUT[[#This Row],[Descricao Despacho]]=AD437),0,1)))</f>
        <v>1</v>
      </c>
      <c r="O43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ACIDENTE</v>
      </c>
      <c r="P43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HAC - Hora Acidente</v>
      </c>
      <c r="Q43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Acidente operacional</v>
      </c>
      <c r="R438" s="107">
        <f>IF($Q438="","",(TAB_HISTORICO_MANUT[[#This Row],[Hora Final]]-TAB_HISTORICO_MANUT[[#This Row],[Hora Inicio]])*24)</f>
        <v>618.98999999987427</v>
      </c>
      <c r="S43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438" s="109" t="str">
        <f>IF(AND(TAB_HISTORICO_MANUT[[#This Row],[EXPURGO Mãe]]="SIM",TAB_HISTORICO_MANUT[[#This Row],[Tipo]]="MÃE"),"EXP.MAE",IF(TAB_HISTORICO_MANUT[[#This Row],[EXPURGO Mãe]]="NÃO","NÃO EXP.MAE",T437))</f>
        <v>EXP.MAE</v>
      </c>
      <c r="U43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38" s="110">
        <f>IF(TAB_HISTORICO_MANUT[[#This Row],[EXPURGO Filhas]]="SIM",MAX(TAB_HISTORICO_MANUT[[#This Row],[Hora Final]]-TAB_HISTORICO_MANUT[[#This Row],[Hora Inicio]],0),0)</f>
        <v>0</v>
      </c>
      <c r="W43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3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38" s="117">
        <v>46209.208738425928</v>
      </c>
      <c r="Z438" s="131">
        <v>46234.999988425923</v>
      </c>
      <c r="AA438" s="119" t="s">
        <v>232</v>
      </c>
      <c r="AB438" s="119">
        <v>202603456835</v>
      </c>
      <c r="AC438" s="115" t="s">
        <v>243</v>
      </c>
      <c r="AD438" s="117" t="s">
        <v>147</v>
      </c>
      <c r="AE438" s="117" t="s">
        <v>244</v>
      </c>
      <c r="AF438" s="122" t="s">
        <v>210</v>
      </c>
      <c r="AG438" s="123">
        <f>IF(TAB_HISTORICO_MANUT[[#This Row],[Hora Inicio]]="","",MONTH(TAB_HISTORICO_MANUT[[#This Row],[Hora Inicio]]))</f>
        <v>7</v>
      </c>
      <c r="AH438" s="120" t="s">
        <v>1410</v>
      </c>
      <c r="AI438" s="115" t="s">
        <v>70</v>
      </c>
      <c r="AJ438" s="115" t="s">
        <v>70</v>
      </c>
      <c r="AK438" s="115" t="s">
        <v>70</v>
      </c>
      <c r="AL438" s="115" t="s">
        <v>70</v>
      </c>
      <c r="AM438" s="121"/>
      <c r="AN438" s="115" t="s">
        <v>1272</v>
      </c>
      <c r="AO438" s="115" t="s">
        <v>1272</v>
      </c>
      <c r="AP438" s="115" t="s">
        <v>1272</v>
      </c>
    </row>
    <row r="439" spans="1:42" ht="50.1" customHeight="1" x14ac:dyDescent="0.25">
      <c r="A439" s="43">
        <f>MONTH(TAB_HISTORICO_MANUT[[#This Row],[Hora Final]])-MONTH(TAB_HISTORICO_MANUT[[#This Row],[Hora Inicio]])</f>
        <v>0</v>
      </c>
      <c r="B439" s="42"/>
      <c r="C439" s="43"/>
      <c r="D439" s="42"/>
      <c r="E439" s="42"/>
      <c r="F439" s="42"/>
      <c r="G439" s="42"/>
      <c r="H439" s="42"/>
      <c r="I439" s="116"/>
      <c r="J439" s="116"/>
      <c r="K439" s="116"/>
      <c r="L439" s="116"/>
      <c r="M439" s="116"/>
      <c r="N439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Inicio]]=Z438,TAB_HISTORICO_MANUT[[#This Row],[Equipamento]]=AA438,TAB_HISTORICO_MANUT[[#This Row],[Descricao Despacho]]=AD438),0,1)))</f>
        <v/>
      </c>
      <c r="O43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439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43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439" s="50" t="str">
        <f>IF($Q439="","",(TAB_HISTORICO_MANUT[[#This Row],[Hora Final]]-TAB_HISTORICO_MANUT[[#This Row],[Hora Inicio]])*24)</f>
        <v/>
      </c>
      <c r="S43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439" s="54" t="str">
        <f>IF(AND(TAB_HISTORICO_MANUT[[#This Row],[EXPURGO Mãe]]="SIM",TAB_HISTORICO_MANUT[[#This Row],[Tipo]]="MÃE"),"EXP.MAE",IF(TAB_HISTORICO_MANUT[[#This Row],[EXPURGO Mãe]]="NÃO","NÃO EXP.MAE",T438))</f>
        <v>EXP.MAE</v>
      </c>
      <c r="U43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39" s="56">
        <f>IF(TAB_HISTORICO_MANUT[[#This Row],[EXPURGO Filhas]]="SIM",MAX(TAB_HISTORICO_MANUT[[#This Row],[Hora Final]]-TAB_HISTORICO_MANUT[[#This Row],[Hora Inicio]],0),0)</f>
        <v>0</v>
      </c>
      <c r="W43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3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39" s="46">
        <v>46213.811111111114</v>
      </c>
      <c r="Z439" s="47">
        <v>46213.897222222222</v>
      </c>
      <c r="AA439" s="48" t="s">
        <v>232</v>
      </c>
      <c r="AB439" s="48" t="s">
        <v>1498</v>
      </c>
      <c r="AC439" s="43">
        <v>1090</v>
      </c>
      <c r="AD439" s="46" t="s">
        <v>147</v>
      </c>
      <c r="AE439" s="46" t="s">
        <v>768</v>
      </c>
      <c r="AF439" s="88" t="s">
        <v>767</v>
      </c>
      <c r="AG439" s="105">
        <f>IF(TAB_HISTORICO_MANUT[[#This Row],[Hora Inicio]]="","",MONTH(TAB_HISTORICO_MANUT[[#This Row],[Hora Inicio]]))</f>
        <v>7</v>
      </c>
      <c r="AH439" s="58" t="s">
        <v>1553</v>
      </c>
      <c r="AI439" s="43" t="s">
        <v>70</v>
      </c>
      <c r="AJ439" s="43" t="s">
        <v>70</v>
      </c>
      <c r="AK439" s="43" t="s">
        <v>70</v>
      </c>
      <c r="AL439" s="43" t="s">
        <v>70</v>
      </c>
      <c r="AM439" s="114"/>
      <c r="AN439" s="43"/>
      <c r="AO439" s="43"/>
      <c r="AP439" s="43"/>
    </row>
    <row r="440" spans="1:42" ht="50.1" customHeight="1" x14ac:dyDescent="0.25">
      <c r="A440" s="115">
        <f>MONTH(TAB_HISTORICO_MANUT[[#This Row],[Hora Final]])-MONTH(TAB_HISTORICO_MANUT[[#This Row],[Hora Inicio]])</f>
        <v>0</v>
      </c>
      <c r="B440" s="116"/>
      <c r="C440" s="115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Inicio]]=Z439,TAB_HISTORICO_MANUT[[#This Row],[Equipamento]]=AA439,TAB_HISTORICO_MANUT[[#This Row],[Descricao Despacho]]=AD439),0,1)))</f>
        <v/>
      </c>
      <c r="O44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440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44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440" s="107" t="str">
        <f>IF($Q440="","",(TAB_HISTORICO_MANUT[[#This Row],[Hora Final]]-TAB_HISTORICO_MANUT[[#This Row],[Hora Inicio]])*24)</f>
        <v/>
      </c>
      <c r="S44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440" s="109" t="str">
        <f>IF(AND(TAB_HISTORICO_MANUT[[#This Row],[EXPURGO Mãe]]="SIM",TAB_HISTORICO_MANUT[[#This Row],[Tipo]]="MÃE"),"EXP.MAE",IF(TAB_HISTORICO_MANUT[[#This Row],[EXPURGO Mãe]]="NÃO","NÃO EXP.MAE",T439))</f>
        <v>EXP.MAE</v>
      </c>
      <c r="U44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40" s="110">
        <f>IF(TAB_HISTORICO_MANUT[[#This Row],[EXPURGO Filhas]]="SIM",MAX(TAB_HISTORICO_MANUT[[#This Row],[Hora Final]]-TAB_HISTORICO_MANUT[[#This Row],[Hora Inicio]],0),0)</f>
        <v>0</v>
      </c>
      <c r="W44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4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40" s="117">
        <v>46213.811111111114</v>
      </c>
      <c r="Z440" s="118">
        <v>46213.897222222222</v>
      </c>
      <c r="AA440" s="119" t="s">
        <v>232</v>
      </c>
      <c r="AB440" s="119" t="s">
        <v>1498</v>
      </c>
      <c r="AC440" s="115">
        <v>1090</v>
      </c>
      <c r="AD440" s="117" t="s">
        <v>147</v>
      </c>
      <c r="AE440" s="117" t="s">
        <v>768</v>
      </c>
      <c r="AF440" s="122" t="s">
        <v>767</v>
      </c>
      <c r="AG440" s="123">
        <f>IF(TAB_HISTORICO_MANUT[[#This Row],[Hora Inicio]]="","",MONTH(TAB_HISTORICO_MANUT[[#This Row],[Hora Inicio]]))</f>
        <v>7</v>
      </c>
      <c r="AH440" s="120" t="s">
        <v>1553</v>
      </c>
      <c r="AI440" s="115" t="s">
        <v>70</v>
      </c>
      <c r="AJ440" s="115" t="s">
        <v>70</v>
      </c>
      <c r="AK440" s="115" t="s">
        <v>70</v>
      </c>
      <c r="AL440" s="115" t="s">
        <v>70</v>
      </c>
      <c r="AM440" s="121"/>
      <c r="AN440" s="115"/>
      <c r="AO440" s="115"/>
      <c r="AP440" s="115"/>
    </row>
    <row r="441" spans="1:42" ht="50.1" customHeight="1" x14ac:dyDescent="0.25">
      <c r="A441" s="115">
        <f>MONTH(TAB_HISTORICO_MANUT[[#This Row],[Hora Final]])-MONTH(TAB_HISTORICO_MANUT[[#This Row],[Hora Inicio]])</f>
        <v>0</v>
      </c>
      <c r="B441" s="116"/>
      <c r="C441" s="115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Inicio]]=Z440,TAB_HISTORICO_MANUT[[#This Row],[Equipamento]]=AA440,TAB_HISTORICO_MANUT[[#This Row],[Descricao Despacho]]=AD440),0,1)))</f>
        <v/>
      </c>
      <c r="O44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441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44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441" s="107" t="str">
        <f>IF($Q441="","",(TAB_HISTORICO_MANUT[[#This Row],[Hora Final]]-TAB_HISTORICO_MANUT[[#This Row],[Hora Inicio]])*24)</f>
        <v/>
      </c>
      <c r="S44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441" s="109" t="str">
        <f>IF(AND(TAB_HISTORICO_MANUT[[#This Row],[EXPURGO Mãe]]="SIM",TAB_HISTORICO_MANUT[[#This Row],[Tipo]]="MÃE"),"EXP.MAE",IF(TAB_HISTORICO_MANUT[[#This Row],[EXPURGO Mãe]]="NÃO","NÃO EXP.MAE",T440))</f>
        <v>EXP.MAE</v>
      </c>
      <c r="U44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41" s="110">
        <f>IF(TAB_HISTORICO_MANUT[[#This Row],[EXPURGO Filhas]]="SIM",MAX(TAB_HISTORICO_MANUT[[#This Row],[Hora Final]]-TAB_HISTORICO_MANUT[[#This Row],[Hora Inicio]],0),0)</f>
        <v>0</v>
      </c>
      <c r="W44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4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41" s="117">
        <v>46216.694444444445</v>
      </c>
      <c r="Z441" s="118">
        <v>46216.736111111109</v>
      </c>
      <c r="AA441" s="119" t="s">
        <v>232</v>
      </c>
      <c r="AB441" s="119" t="s">
        <v>1498</v>
      </c>
      <c r="AC441" s="115">
        <v>1090</v>
      </c>
      <c r="AD441" s="117" t="s">
        <v>147</v>
      </c>
      <c r="AE441" s="117" t="s">
        <v>772</v>
      </c>
      <c r="AF441" s="122" t="s">
        <v>767</v>
      </c>
      <c r="AG441" s="123">
        <f>IF(TAB_HISTORICO_MANUT[[#This Row],[Hora Inicio]]="","",MONTH(TAB_HISTORICO_MANUT[[#This Row],[Hora Inicio]]))</f>
        <v>7</v>
      </c>
      <c r="AH441" s="120" t="s">
        <v>1554</v>
      </c>
      <c r="AI441" s="115" t="s">
        <v>70</v>
      </c>
      <c r="AJ441" s="115" t="s">
        <v>70</v>
      </c>
      <c r="AK441" s="115" t="s">
        <v>70</v>
      </c>
      <c r="AL441" s="115" t="s">
        <v>70</v>
      </c>
      <c r="AM441" s="121"/>
      <c r="AN441" s="115"/>
      <c r="AO441" s="115"/>
      <c r="AP441" s="115"/>
    </row>
    <row r="442" spans="1:42" ht="50.1" customHeight="1" x14ac:dyDescent="0.25">
      <c r="A442" s="115">
        <f>MONTH(TAB_HISTORICO_MANUT[[#This Row],[Hora Final]])-MONTH(TAB_HISTORICO_MANUT[[#This Row],[Hora Inicio]])</f>
        <v>0</v>
      </c>
      <c r="B442" s="116"/>
      <c r="C442" s="115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Inicio]]=Z441,TAB_HISTORICO_MANUT[[#This Row],[Equipamento]]=AA441,TAB_HISTORICO_MANUT[[#This Row],[Descricao Despacho]]=AD441),0,1)))</f>
        <v/>
      </c>
      <c r="O44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442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44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442" s="107" t="str">
        <f>IF($Q442="","",(TAB_HISTORICO_MANUT[[#This Row],[Hora Final]]-TAB_HISTORICO_MANUT[[#This Row],[Hora Inicio]])*24)</f>
        <v/>
      </c>
      <c r="S44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442" s="109" t="str">
        <f>IF(AND(TAB_HISTORICO_MANUT[[#This Row],[EXPURGO Mãe]]="SIM",TAB_HISTORICO_MANUT[[#This Row],[Tipo]]="MÃE"),"EXP.MAE",IF(TAB_HISTORICO_MANUT[[#This Row],[EXPURGO Mãe]]="NÃO","NÃO EXP.MAE",T441))</f>
        <v>EXP.MAE</v>
      </c>
      <c r="U44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42" s="110">
        <f>IF(TAB_HISTORICO_MANUT[[#This Row],[EXPURGO Filhas]]="SIM",MAX(TAB_HISTORICO_MANUT[[#This Row],[Hora Final]]-TAB_HISTORICO_MANUT[[#This Row],[Hora Inicio]],0),0)</f>
        <v>0</v>
      </c>
      <c r="W44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4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42" s="117">
        <v>46216.694444444445</v>
      </c>
      <c r="Z442" s="118">
        <v>46216.736111111109</v>
      </c>
      <c r="AA442" s="119" t="s">
        <v>232</v>
      </c>
      <c r="AB442" s="119" t="s">
        <v>1498</v>
      </c>
      <c r="AC442" s="115">
        <v>1090</v>
      </c>
      <c r="AD442" s="117" t="s">
        <v>147</v>
      </c>
      <c r="AE442" s="117" t="s">
        <v>772</v>
      </c>
      <c r="AF442" s="122" t="s">
        <v>767</v>
      </c>
      <c r="AG442" s="123">
        <f>IF(TAB_HISTORICO_MANUT[[#This Row],[Hora Inicio]]="","",MONTH(TAB_HISTORICO_MANUT[[#This Row],[Hora Inicio]]))</f>
        <v>7</v>
      </c>
      <c r="AH442" s="120" t="s">
        <v>1554</v>
      </c>
      <c r="AI442" s="115" t="s">
        <v>70</v>
      </c>
      <c r="AJ442" s="115" t="s">
        <v>70</v>
      </c>
      <c r="AK442" s="115" t="s">
        <v>70</v>
      </c>
      <c r="AL442" s="115" t="s">
        <v>70</v>
      </c>
      <c r="AM442" s="121"/>
      <c r="AN442" s="115"/>
      <c r="AO442" s="115"/>
      <c r="AP442" s="115"/>
    </row>
    <row r="443" spans="1:42" ht="50.1" customHeight="1" x14ac:dyDescent="0.25">
      <c r="A443" s="115">
        <f>MONTH(TAB_HISTORICO_MANUT[[#This Row],[Hora Final]])-MONTH(TAB_HISTORICO_MANUT[[#This Row],[Hora Inicio]])</f>
        <v>0</v>
      </c>
      <c r="B443" s="116"/>
      <c r="C443" s="115"/>
      <c r="D443" s="116"/>
      <c r="E443" s="116"/>
      <c r="F443" s="116"/>
      <c r="G443" s="116"/>
      <c r="H443" s="116"/>
      <c r="I443" s="116"/>
      <c r="J443" s="116"/>
      <c r="K443" s="116"/>
      <c r="L443" s="116">
        <v>0</v>
      </c>
      <c r="M443" s="116"/>
      <c r="N44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Inicio]]=Z442,TAB_HISTORICO_MANUT[[#This Row],[Equipamento]]=AA442,TAB_HISTORICO_MANUT[[#This Row],[Descricao Despacho]]=AD442),0,1)))</f>
        <v>0</v>
      </c>
      <c r="O44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ACIDENTE</v>
      </c>
      <c r="P44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HAC - Hora Acidente</v>
      </c>
      <c r="Q44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Acidente operacional</v>
      </c>
      <c r="R443" s="107">
        <f>IF($Q443="","",(TAB_HISTORICO_MANUT[[#This Row],[Hora Final]]-TAB_HISTORICO_MANUT[[#This Row],[Hora Inicio]])*24)</f>
        <v>10.920277777709998</v>
      </c>
      <c r="S44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443" s="109" t="str">
        <f>IF(AND(TAB_HISTORICO_MANUT[[#This Row],[EXPURGO Mãe]]="SIM",TAB_HISTORICO_MANUT[[#This Row],[Tipo]]="MÃE"),"EXP.MAE",IF(TAB_HISTORICO_MANUT[[#This Row],[EXPURGO Mãe]]="NÃO","NÃO EXP.MAE",T442))</f>
        <v>EXP.MAE</v>
      </c>
      <c r="U44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43" s="110">
        <f>IF(TAB_HISTORICO_MANUT[[#This Row],[EXPURGO Filhas]]="SIM",MAX(TAB_HISTORICO_MANUT[[#This Row],[Hora Final]]-TAB_HISTORICO_MANUT[[#This Row],[Hora Inicio]],0),0)</f>
        <v>0</v>
      </c>
      <c r="W44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4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43" s="131">
        <v>46235</v>
      </c>
      <c r="Z443" s="118">
        <v>46235.455011574071</v>
      </c>
      <c r="AA443" s="119" t="s">
        <v>232</v>
      </c>
      <c r="AB443" s="119"/>
      <c r="AC443" s="115" t="s">
        <v>243</v>
      </c>
      <c r="AD443" s="117" t="s">
        <v>147</v>
      </c>
      <c r="AE443" s="117" t="s">
        <v>244</v>
      </c>
      <c r="AF443" s="122" t="s">
        <v>210</v>
      </c>
      <c r="AG443" s="123">
        <f>IF(TAB_HISTORICO_MANUT[[#This Row],[Hora Inicio]]="","",MONTH(TAB_HISTORICO_MANUT[[#This Row],[Hora Inicio]]))</f>
        <v>8</v>
      </c>
      <c r="AH443" s="120" t="s">
        <v>1410</v>
      </c>
      <c r="AI443" s="115" t="s">
        <v>70</v>
      </c>
      <c r="AJ443" s="115" t="s">
        <v>70</v>
      </c>
      <c r="AK443" s="115" t="s">
        <v>70</v>
      </c>
      <c r="AL443" s="115" t="s">
        <v>70</v>
      </c>
      <c r="AM443" s="121"/>
      <c r="AN443" s="115"/>
      <c r="AO443" s="115"/>
      <c r="AP443" s="115"/>
    </row>
    <row r="444" spans="1:42" ht="50.1" customHeight="1" x14ac:dyDescent="0.25">
      <c r="A444" s="43">
        <f>MONTH(TAB_HISTORICO_MANUT[[#This Row],[Hora Final]])-MONTH(TAB_HISTORICO_MANUT[[#This Row],[Hora Inicio]])</f>
        <v>0</v>
      </c>
      <c r="B444" s="42"/>
      <c r="C444" s="43"/>
      <c r="D444" s="42"/>
      <c r="E444" s="42"/>
      <c r="F444" s="42"/>
      <c r="G444" s="42"/>
      <c r="H444" s="42"/>
      <c r="I444" s="116"/>
      <c r="J444" s="116"/>
      <c r="K444" s="116"/>
      <c r="L444" s="116">
        <v>0</v>
      </c>
      <c r="M444" s="116"/>
      <c r="N44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Inicio]]=Z443,TAB_HISTORICO_MANUT[[#This Row],[Equipamento]]=AA443,TAB_HISTORICO_MANUT[[#This Row],[Descricao Despacho]]=AD443),0,1)))</f>
        <v>0</v>
      </c>
      <c r="O44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ACIDENTE</v>
      </c>
      <c r="P44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HAC - Hora Acidente</v>
      </c>
      <c r="Q44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Acidente operacional</v>
      </c>
      <c r="R444" s="107">
        <f>IF($Q444="","",(TAB_HISTORICO_MANUT[[#This Row],[Hora Final]]-TAB_HISTORICO_MANUT[[#This Row],[Hora Inicio]])*24)</f>
        <v>733.07944444444729</v>
      </c>
      <c r="S44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444" s="109" t="str">
        <f>IF(AND(TAB_HISTORICO_MANUT[[#This Row],[EXPURGO Mãe]]="SIM",TAB_HISTORICO_MANUT[[#This Row],[Tipo]]="MÃE"),"EXP.MAE",IF(TAB_HISTORICO_MANUT[[#This Row],[EXPURGO Mãe]]="NÃO","NÃO EXP.MAE",T443))</f>
        <v>EXP.MAE</v>
      </c>
      <c r="U44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44" s="110">
        <f>IF(TAB_HISTORICO_MANUT[[#This Row],[EXPURGO Filhas]]="SIM",MAX(TAB_HISTORICO_MANUT[[#This Row],[Hora Final]]-TAB_HISTORICO_MANUT[[#This Row],[Hora Inicio]],0),0)</f>
        <v>0</v>
      </c>
      <c r="W44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4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44" s="46">
        <v>46235.455011574071</v>
      </c>
      <c r="Z444" s="136">
        <v>46265.999988425923</v>
      </c>
      <c r="AA444" s="48" t="s">
        <v>232</v>
      </c>
      <c r="AB444" s="48"/>
      <c r="AC444" s="43" t="s">
        <v>243</v>
      </c>
      <c r="AD444" s="46" t="s">
        <v>147</v>
      </c>
      <c r="AE444" s="46" t="s">
        <v>244</v>
      </c>
      <c r="AF444" s="88" t="s">
        <v>210</v>
      </c>
      <c r="AG444" s="105">
        <f>IF(TAB_HISTORICO_MANUT[[#This Row],[Hora Inicio]]="","",MONTH(TAB_HISTORICO_MANUT[[#This Row],[Hora Inicio]]))</f>
        <v>8</v>
      </c>
      <c r="AH444" s="58" t="s">
        <v>1410</v>
      </c>
      <c r="AI444" s="43" t="s">
        <v>70</v>
      </c>
      <c r="AJ444" s="43" t="s">
        <v>70</v>
      </c>
      <c r="AK444" s="43" t="s">
        <v>70</v>
      </c>
      <c r="AL444" s="43" t="s">
        <v>70</v>
      </c>
      <c r="AM444" s="114"/>
      <c r="AN444" s="43"/>
      <c r="AO444" s="43"/>
      <c r="AP444" s="43"/>
    </row>
    <row r="445" spans="1:42" ht="50.1" customHeight="1" x14ac:dyDescent="0.25">
      <c r="A445" s="115">
        <f>MONTH(TAB_HISTORICO_MANUT[[#This Row],[Hora Final]])-MONTH(TAB_HISTORICO_MANUT[[#This Row],[Hora Inicio]])</f>
        <v>0</v>
      </c>
      <c r="B445" s="116"/>
      <c r="C445" s="115"/>
      <c r="D445" s="116"/>
      <c r="E445" s="116"/>
      <c r="F445" s="116"/>
      <c r="G445" s="116"/>
      <c r="H445" s="116"/>
      <c r="I445" s="116"/>
      <c r="J445" s="116"/>
      <c r="K445" s="116"/>
      <c r="L445" s="116">
        <v>0</v>
      </c>
      <c r="M445" s="116"/>
      <c r="N44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Inicio]]=Z444,TAB_HISTORICO_MANUT[[#This Row],[Equipamento]]=AA444,TAB_HISTORICO_MANUT[[#This Row],[Descricao Despacho]]=AD444),0,1)))</f>
        <v>0</v>
      </c>
      <c r="O44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ACIDENTE</v>
      </c>
      <c r="P44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HAC - Hora Acidente</v>
      </c>
      <c r="Q44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Acidente operacional</v>
      </c>
      <c r="R445" s="107">
        <f>IF($Q445="","",(TAB_HISTORICO_MANUT[[#This Row],[Hora Final]]-TAB_HISTORICO_MANUT[[#This Row],[Hora Inicio]])*24)</f>
        <v>0</v>
      </c>
      <c r="S44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445" s="109" t="str">
        <f>IF(AND(TAB_HISTORICO_MANUT[[#This Row],[EXPURGO Mãe]]="SIM",TAB_HISTORICO_MANUT[[#This Row],[Tipo]]="MÃE"),"EXP.MAE",IF(TAB_HISTORICO_MANUT[[#This Row],[EXPURGO Mãe]]="NÃO","NÃO EXP.MAE",T444))</f>
        <v>EXP.MAE</v>
      </c>
      <c r="U44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45" s="110">
        <f>IF(TAB_HISTORICO_MANUT[[#This Row],[EXPURGO Filhas]]="SIM",MAX(TAB_HISTORICO_MANUT[[#This Row],[Hora Final]]-TAB_HISTORICO_MANUT[[#This Row],[Hora Inicio]],0),0)</f>
        <v>0</v>
      </c>
      <c r="W44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4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45" s="137">
        <v>46266</v>
      </c>
      <c r="Z445" s="118">
        <v>46266</v>
      </c>
      <c r="AA445" s="119" t="s">
        <v>232</v>
      </c>
      <c r="AB445" s="119" t="s">
        <v>1498</v>
      </c>
      <c r="AC445" s="115" t="s">
        <v>243</v>
      </c>
      <c r="AD445" s="117" t="s">
        <v>147</v>
      </c>
      <c r="AE445" s="117" t="s">
        <v>244</v>
      </c>
      <c r="AF445" s="122" t="s">
        <v>210</v>
      </c>
      <c r="AG445" s="123">
        <f>IF(TAB_HISTORICO_MANUT[[#This Row],[Hora Inicio]]="","",MONTH(TAB_HISTORICO_MANUT[[#This Row],[Hora Inicio]]))</f>
        <v>9</v>
      </c>
      <c r="AH445" s="120" t="s">
        <v>1500</v>
      </c>
      <c r="AI445" s="115" t="s">
        <v>70</v>
      </c>
      <c r="AJ445" s="115" t="s">
        <v>70</v>
      </c>
      <c r="AK445" s="115" t="s">
        <v>70</v>
      </c>
      <c r="AL445" s="115" t="s">
        <v>70</v>
      </c>
      <c r="AM445" s="121" t="s">
        <v>1272</v>
      </c>
      <c r="AN445" s="115" t="s">
        <v>217</v>
      </c>
      <c r="AO445" s="115" t="s">
        <v>842</v>
      </c>
      <c r="AP445" s="115" t="s">
        <v>868</v>
      </c>
    </row>
    <row r="446" spans="1:42" ht="50.1" customHeight="1" x14ac:dyDescent="0.25">
      <c r="A446" s="115">
        <f>MONTH(TAB_HISTORICO_MANUT[[#This Row],[Hora Final]])-MONTH(TAB_HISTORICO_MANUT[[#This Row],[Hora Inicio]])</f>
        <v>0</v>
      </c>
      <c r="B446" s="116"/>
      <c r="C446" s="115"/>
      <c r="D446" s="116"/>
      <c r="E446" s="116"/>
      <c r="F446" s="116"/>
      <c r="G446" s="116"/>
      <c r="H446" s="116"/>
      <c r="I446" s="116"/>
      <c r="J446" s="116"/>
      <c r="K446" s="116"/>
      <c r="L446" s="116">
        <v>0</v>
      </c>
      <c r="M446" s="116"/>
      <c r="N44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Inicio]]=Z445,TAB_HISTORICO_MANUT[[#This Row],[Equipamento]]=AA445,TAB_HISTORICO_MANUT[[#This Row],[Descricao Despacho]]=AD445),0,1)))</f>
        <v>0</v>
      </c>
      <c r="O44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ACIDENTE</v>
      </c>
      <c r="P44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HAC - Hora Acidente</v>
      </c>
      <c r="Q44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Acidente operacional</v>
      </c>
      <c r="R446" s="107">
        <f>IF($Q446="","",(TAB_HISTORICO_MANUT[[#This Row],[Hora Final]]-TAB_HISTORICO_MANUT[[#This Row],[Hora Inicio]])*24)</f>
        <v>9.7819444444030523</v>
      </c>
      <c r="S44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446" s="109" t="str">
        <f>IF(AND(TAB_HISTORICO_MANUT[[#This Row],[EXPURGO Mãe]]="SIM",TAB_HISTORICO_MANUT[[#This Row],[Tipo]]="MÃE"),"EXP.MAE",IF(TAB_HISTORICO_MANUT[[#This Row],[EXPURGO Mãe]]="NÃO","NÃO EXP.MAE",T445))</f>
        <v>EXP.MAE</v>
      </c>
      <c r="U44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46" s="110">
        <f>IF(TAB_HISTORICO_MANUT[[#This Row],[EXPURGO Filhas]]="SIM",MAX(TAB_HISTORICO_MANUT[[#This Row],[Hora Final]]-TAB_HISTORICO_MANUT[[#This Row],[Hora Inicio]],0),0)</f>
        <v>0</v>
      </c>
      <c r="W44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4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46" s="117">
        <v>46266</v>
      </c>
      <c r="Z446" s="118">
        <v>46266.407581018517</v>
      </c>
      <c r="AA446" s="119" t="s">
        <v>232</v>
      </c>
      <c r="AB446" s="119" t="s">
        <v>1498</v>
      </c>
      <c r="AC446" s="115" t="s">
        <v>243</v>
      </c>
      <c r="AD446" s="117" t="s">
        <v>147</v>
      </c>
      <c r="AE446" s="117" t="s">
        <v>244</v>
      </c>
      <c r="AF446" s="122" t="s">
        <v>210</v>
      </c>
      <c r="AG446" s="123">
        <f>IF(TAB_HISTORICO_MANUT[[#This Row],[Hora Inicio]]="","",MONTH(TAB_HISTORICO_MANUT[[#This Row],[Hora Inicio]]))</f>
        <v>9</v>
      </c>
      <c r="AH446" s="120" t="s">
        <v>1500</v>
      </c>
      <c r="AI446" s="115" t="s">
        <v>70</v>
      </c>
      <c r="AJ446" s="115" t="s">
        <v>70</v>
      </c>
      <c r="AK446" s="115" t="s">
        <v>70</v>
      </c>
      <c r="AL446" s="115" t="s">
        <v>70</v>
      </c>
      <c r="AM446" s="121" t="s">
        <v>1272</v>
      </c>
      <c r="AN446" s="115" t="s">
        <v>217</v>
      </c>
      <c r="AO446" s="115" t="s">
        <v>842</v>
      </c>
      <c r="AP446" s="115" t="s">
        <v>868</v>
      </c>
    </row>
    <row r="447" spans="1:42" ht="50.1" customHeight="1" x14ac:dyDescent="0.25">
      <c r="A447" s="115">
        <f>MONTH(TAB_HISTORICO_MANUT[[#This Row],[Hora Final]])-MONTH(TAB_HISTORICO_MANUT[[#This Row],[Hora Inicio]])</f>
        <v>0</v>
      </c>
      <c r="B447" s="116"/>
      <c r="C447" s="115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Inicio]]=Z446,TAB_HISTORICO_MANUT[[#This Row],[Equipamento]]=AA446,TAB_HISTORICO_MANUT[[#This Row],[Descricao Despacho]]=AD446),0,1)))</f>
        <v>0</v>
      </c>
      <c r="O44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ACIDENTE</v>
      </c>
      <c r="P44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HAC - Hora Acidente</v>
      </c>
      <c r="Q44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Acidente operacional</v>
      </c>
      <c r="R447" s="107">
        <f>IF($Q447="","",(TAB_HISTORICO_MANUT[[#This Row],[Hora Final]]-TAB_HISTORICO_MANUT[[#This Row],[Hora Inicio]])*24)</f>
        <v>90.073333333362825</v>
      </c>
      <c r="S44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447" s="109" t="str">
        <f>IF(AND(TAB_HISTORICO_MANUT[[#This Row],[EXPURGO Mãe]]="SIM",TAB_HISTORICO_MANUT[[#This Row],[Tipo]]="MÃE"),"EXP.MAE",IF(TAB_HISTORICO_MANUT[[#This Row],[EXPURGO Mãe]]="NÃO","NÃO EXP.MAE",T446))</f>
        <v>EXP.MAE</v>
      </c>
      <c r="U44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47" s="110">
        <f>IF(TAB_HISTORICO_MANUT[[#This Row],[EXPURGO Filhas]]="SIM",MAX(TAB_HISTORICO_MANUT[[#This Row],[Hora Final]]-TAB_HISTORICO_MANUT[[#This Row],[Hora Inicio]],0),0)</f>
        <v>0</v>
      </c>
      <c r="W44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4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47" s="117">
        <v>46266.407581018517</v>
      </c>
      <c r="Z447" s="118">
        <v>46270.160636574074</v>
      </c>
      <c r="AA447" s="119" t="s">
        <v>232</v>
      </c>
      <c r="AB447" s="119" t="s">
        <v>1498</v>
      </c>
      <c r="AC447" s="115" t="s">
        <v>243</v>
      </c>
      <c r="AD447" s="117" t="s">
        <v>147</v>
      </c>
      <c r="AE447" s="117" t="s">
        <v>244</v>
      </c>
      <c r="AF447" s="122" t="s">
        <v>210</v>
      </c>
      <c r="AG447" s="123">
        <f>IF(TAB_HISTORICO_MANUT[[#This Row],[Hora Inicio]]="","",MONTH(TAB_HISTORICO_MANUT[[#This Row],[Hora Inicio]]))</f>
        <v>9</v>
      </c>
      <c r="AH447" s="120" t="s">
        <v>1500</v>
      </c>
      <c r="AI447" s="115" t="s">
        <v>70</v>
      </c>
      <c r="AJ447" s="115" t="s">
        <v>70</v>
      </c>
      <c r="AK447" s="115" t="s">
        <v>70</v>
      </c>
      <c r="AL447" s="115" t="s">
        <v>70</v>
      </c>
      <c r="AM447" s="121" t="s">
        <v>1272</v>
      </c>
      <c r="AN447" s="115" t="s">
        <v>217</v>
      </c>
      <c r="AO447" s="115" t="s">
        <v>842</v>
      </c>
      <c r="AP447" s="115" t="s">
        <v>868</v>
      </c>
    </row>
    <row r="448" spans="1:42" ht="50.1" customHeight="1" x14ac:dyDescent="0.25">
      <c r="A448" s="115">
        <f>MONTH(TAB_HISTORICO_MANUT[[#This Row],[Hora Final]])-MONTH(TAB_HISTORICO_MANUT[[#This Row],[Hora Inicio]])</f>
        <v>0</v>
      </c>
      <c r="B448" s="116"/>
      <c r="C448" s="115"/>
      <c r="D448" s="116"/>
      <c r="E448" s="116"/>
      <c r="F448" s="116"/>
      <c r="G448" s="116"/>
      <c r="H448" s="116" t="s">
        <v>1545</v>
      </c>
      <c r="I448" s="116"/>
      <c r="J448" s="116" t="s">
        <v>81</v>
      </c>
      <c r="K448" s="116"/>
      <c r="L448" s="116"/>
      <c r="M448" s="116"/>
      <c r="N44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Inicio]]=Z447,TAB_HISTORICO_MANUT[[#This Row],[Equipamento]]=AA447,TAB_HISTORICO_MANUT[[#This Row],[Descricao Despacho]]=AD447),0,1)))</f>
        <v>1</v>
      </c>
      <c r="O44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44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4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Componente (Major e Minor)</v>
      </c>
      <c r="R448" s="107">
        <f>IF($Q448="","",(TAB_HISTORICO_MANUT[[#This Row],[Hora Final]]-TAB_HISTORICO_MANUT[[#This Row],[Hora Inicio]])*24)</f>
        <v>49.644722222175915</v>
      </c>
      <c r="S44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48" s="109" t="str">
        <f>IF(AND(TAB_HISTORICO_MANUT[[#This Row],[EXPURGO Mãe]]="SIM",TAB_HISTORICO_MANUT[[#This Row],[Tipo]]="MÃE"),"EXP.MAE",IF(TAB_HISTORICO_MANUT[[#This Row],[EXPURGO Mãe]]="NÃO","NÃO EXP.MAE",T447))</f>
        <v>NÃO EXP.MAE</v>
      </c>
      <c r="U44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48" s="110">
        <f>IF(TAB_HISTORICO_MANUT[[#This Row],[EXPURGO Filhas]]="SIM",MAX(TAB_HISTORICO_MANUT[[#This Row],[Hora Final]]-TAB_HISTORICO_MANUT[[#This Row],[Hora Inicio]],0),0)</f>
        <v>0</v>
      </c>
      <c r="W44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4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48" s="117">
        <v>46270.160636574074</v>
      </c>
      <c r="Z448" s="118">
        <v>46272.229166666664</v>
      </c>
      <c r="AA448" s="119" t="s">
        <v>232</v>
      </c>
      <c r="AB448" s="119" t="s">
        <v>1498</v>
      </c>
      <c r="AC448" s="115" t="s">
        <v>212</v>
      </c>
      <c r="AD448" s="117" t="s">
        <v>144</v>
      </c>
      <c r="AE448" s="117" t="s">
        <v>214</v>
      </c>
      <c r="AF448" s="122" t="s">
        <v>210</v>
      </c>
      <c r="AG448" s="123">
        <f>IF(TAB_HISTORICO_MANUT[[#This Row],[Hora Inicio]]="","",MONTH(TAB_HISTORICO_MANUT[[#This Row],[Hora Inicio]]))</f>
        <v>9</v>
      </c>
      <c r="AH448" s="120" t="s">
        <v>1519</v>
      </c>
      <c r="AI448" s="115" t="s">
        <v>235</v>
      </c>
      <c r="AJ448" s="115" t="s">
        <v>717</v>
      </c>
      <c r="AK448" s="115" t="s">
        <v>1544</v>
      </c>
      <c r="AL448" s="115" t="s">
        <v>282</v>
      </c>
      <c r="AM448" s="121" t="s">
        <v>276</v>
      </c>
      <c r="AN448" s="115" t="s">
        <v>217</v>
      </c>
      <c r="AO448" s="115" t="s">
        <v>1520</v>
      </c>
      <c r="AP448" s="115" t="s">
        <v>1521</v>
      </c>
    </row>
    <row r="449" spans="1:42" ht="50.1" customHeight="1" x14ac:dyDescent="0.25">
      <c r="A449" s="115">
        <f>MONTH(TAB_HISTORICO_MANUT[[#This Row],[Hora Final]])-MONTH(TAB_HISTORICO_MANUT[[#This Row],[Hora Inicio]])</f>
        <v>0</v>
      </c>
      <c r="B449" s="116"/>
      <c r="C449" s="115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Inicio]]=Z448,TAB_HISTORICO_MANUT[[#This Row],[Equipamento]]=AA448,TAB_HISTORICO_MANUT[[#This Row],[Descricao Despacho]]=AD448),0,1)))</f>
        <v>1</v>
      </c>
      <c r="O44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449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4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449" s="50">
        <f>IF($Q449="","",(TAB_HISTORICO_MANUT[[#This Row],[Hora Final]]-TAB_HISTORICO_MANUT[[#This Row],[Hora Inicio]])*24)</f>
        <v>0.56333333335351199</v>
      </c>
      <c r="S44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49" s="54" t="str">
        <f>IF(AND(TAB_HISTORICO_MANUT[[#This Row],[EXPURGO Mãe]]="SIM",TAB_HISTORICO_MANUT[[#This Row],[Tipo]]="MÃE"),"EXP.MAE",IF(TAB_HISTORICO_MANUT[[#This Row],[EXPURGO Mãe]]="NÃO","NÃO EXP.MAE",T448))</f>
        <v>NÃO EXP.MAE</v>
      </c>
      <c r="U44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49" s="56">
        <f>IF(TAB_HISTORICO_MANUT[[#This Row],[EXPURGO Filhas]]="SIM",MAX(TAB_HISTORICO_MANUT[[#This Row],[Hora Final]]-TAB_HISTORICO_MANUT[[#This Row],[Hora Inicio]],0),0)</f>
        <v>0</v>
      </c>
      <c r="W44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4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49" s="117">
        <v>46272.367662037039</v>
      </c>
      <c r="Z449" s="118">
        <v>46272.391134259262</v>
      </c>
      <c r="AA449" s="119" t="s">
        <v>232</v>
      </c>
      <c r="AB449" s="119" t="s">
        <v>1514</v>
      </c>
      <c r="AC449" s="115" t="s">
        <v>211</v>
      </c>
      <c r="AD449" s="117" t="s">
        <v>144</v>
      </c>
      <c r="AE449" s="117" t="s">
        <v>213</v>
      </c>
      <c r="AF449" s="122" t="s">
        <v>210</v>
      </c>
      <c r="AG449" s="123">
        <f>IF(TAB_HISTORICO_MANUT[[#This Row],[Hora Inicio]]="","",MONTH(TAB_HISTORICO_MANUT[[#This Row],[Hora Inicio]]))</f>
        <v>9</v>
      </c>
      <c r="AH449" s="120" t="s">
        <v>1528</v>
      </c>
      <c r="AI449" s="115" t="s">
        <v>21</v>
      </c>
      <c r="AJ449" s="115" t="s">
        <v>1541</v>
      </c>
      <c r="AK449" s="115" t="s">
        <v>291</v>
      </c>
      <c r="AL449" s="115" t="s">
        <v>292</v>
      </c>
      <c r="AM449" s="121" t="s">
        <v>294</v>
      </c>
      <c r="AN449" s="115" t="s">
        <v>229</v>
      </c>
      <c r="AO449" s="115" t="s">
        <v>404</v>
      </c>
      <c r="AP449" s="115" t="s">
        <v>242</v>
      </c>
    </row>
    <row r="450" spans="1:42" ht="50.1" customHeight="1" x14ac:dyDescent="0.25">
      <c r="A450" s="115">
        <f>MONTH(TAB_HISTORICO_MANUT[[#This Row],[Hora Final]])-MONTH(TAB_HISTORICO_MANUT[[#This Row],[Hora Inicio]])</f>
        <v>0</v>
      </c>
      <c r="B450" s="116"/>
      <c r="C450" s="115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Inicio]]=Z449,TAB_HISTORICO_MANUT[[#This Row],[Equipamento]]=AA449,TAB_HISTORICO_MANUT[[#This Row],[Descricao Despacho]]=AD449),0,1)))</f>
        <v>1</v>
      </c>
      <c r="O45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45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45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Reparo Programado</v>
      </c>
      <c r="R450" s="107">
        <f>IF($Q450="","",(TAB_HISTORICO_MANUT[[#This Row],[Hora Final]]-TAB_HISTORICO_MANUT[[#This Row],[Hora Inicio]])*24)</f>
        <v>2.8616666666348465</v>
      </c>
      <c r="S45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50" s="109" t="str">
        <f>IF(AND(TAB_HISTORICO_MANUT[[#This Row],[EXPURGO Mãe]]="SIM",TAB_HISTORICO_MANUT[[#This Row],[Tipo]]="MÃE"),"EXP.MAE",IF(TAB_HISTORICO_MANUT[[#This Row],[EXPURGO Mãe]]="NÃO","NÃO EXP.MAE",T449))</f>
        <v>NÃO EXP.MAE</v>
      </c>
      <c r="U45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50" s="110">
        <f>IF(TAB_HISTORICO_MANUT[[#This Row],[EXPURGO Filhas]]="SIM",MAX(TAB_HISTORICO_MANUT[[#This Row],[Hora Final]]-TAB_HISTORICO_MANUT[[#This Row],[Hora Inicio]],0),0)</f>
        <v>0</v>
      </c>
      <c r="W45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5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50" s="117">
        <v>46273.329305555555</v>
      </c>
      <c r="Z450" s="118">
        <v>46273.448541666665</v>
      </c>
      <c r="AA450" s="119" t="s">
        <v>232</v>
      </c>
      <c r="AB450" s="119"/>
      <c r="AC450" s="115" t="s">
        <v>363</v>
      </c>
      <c r="AD450" s="117" t="s">
        <v>145</v>
      </c>
      <c r="AE450" s="117" t="s">
        <v>359</v>
      </c>
      <c r="AF450" s="122" t="s">
        <v>210</v>
      </c>
      <c r="AG450" s="123">
        <f>IF(TAB_HISTORICO_MANUT[[#This Row],[Hora Inicio]]="","",MONTH(TAB_HISTORICO_MANUT[[#This Row],[Hora Inicio]]))</f>
        <v>9</v>
      </c>
      <c r="AH450" s="120" t="s">
        <v>1624</v>
      </c>
      <c r="AI450" s="115" t="s">
        <v>23</v>
      </c>
      <c r="AJ450" s="115" t="s">
        <v>277</v>
      </c>
      <c r="AK450" s="115"/>
      <c r="AL450" s="115" t="s">
        <v>1272</v>
      </c>
      <c r="AM450" s="121" t="s">
        <v>1272</v>
      </c>
      <c r="AN450" s="115"/>
      <c r="AO450" s="115"/>
      <c r="AP450" s="115"/>
    </row>
    <row r="451" spans="1:42" ht="50.1" customHeight="1" x14ac:dyDescent="0.25">
      <c r="A451" s="115">
        <f>MONTH(TAB_HISTORICO_MANUT[[#This Row],[Hora Final]])-MONTH(TAB_HISTORICO_MANUT[[#This Row],[Hora Inicio]])</f>
        <v>0</v>
      </c>
      <c r="B451" s="116"/>
      <c r="C451" s="115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Inicio]]=Z450,TAB_HISTORICO_MANUT[[#This Row],[Equipamento]]=AA450,TAB_HISTORICO_MANUT[[#This Row],[Descricao Despacho]]=AD450),0,1)))</f>
        <v>1</v>
      </c>
      <c r="O45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45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5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51" s="107">
        <f>IF($Q451="","",(TAB_HISTORICO_MANUT[[#This Row],[Hora Final]]-TAB_HISTORICO_MANUT[[#This Row],[Hora Inicio]])*24)</f>
        <v>28.74805555556668</v>
      </c>
      <c r="S45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51" s="109" t="str">
        <f>IF(AND(TAB_HISTORICO_MANUT[[#This Row],[EXPURGO Mãe]]="SIM",TAB_HISTORICO_MANUT[[#This Row],[Tipo]]="MÃE"),"EXP.MAE",IF(TAB_HISTORICO_MANUT[[#This Row],[EXPURGO Mãe]]="NÃO","NÃO EXP.MAE",T450))</f>
        <v>NÃO EXP.MAE</v>
      </c>
      <c r="U45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51" s="110">
        <f>IF(TAB_HISTORICO_MANUT[[#This Row],[EXPURGO Filhas]]="SIM",MAX(TAB_HISTORICO_MANUT[[#This Row],[Hora Final]]-TAB_HISTORICO_MANUT[[#This Row],[Hora Inicio]],0),0)</f>
        <v>0</v>
      </c>
      <c r="W45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5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51" s="117">
        <v>46273.536481481482</v>
      </c>
      <c r="Z451" s="118">
        <v>46274.734317129631</v>
      </c>
      <c r="AA451" s="119" t="s">
        <v>232</v>
      </c>
      <c r="AB451" s="119" t="s">
        <v>1517</v>
      </c>
      <c r="AC451" s="115" t="s">
        <v>204</v>
      </c>
      <c r="AD451" s="117" t="s">
        <v>144</v>
      </c>
      <c r="AE451" s="117" t="s">
        <v>172</v>
      </c>
      <c r="AF451" s="122" t="s">
        <v>210</v>
      </c>
      <c r="AG451" s="123">
        <f>IF(TAB_HISTORICO_MANUT[[#This Row],[Hora Inicio]]="","",MONTH(TAB_HISTORICO_MANUT[[#This Row],[Hora Inicio]]))</f>
        <v>9</v>
      </c>
      <c r="AH451" s="120" t="s">
        <v>1534</v>
      </c>
      <c r="AI451" s="115" t="s">
        <v>22</v>
      </c>
      <c r="AJ451" s="115" t="s">
        <v>717</v>
      </c>
      <c r="AK451" s="115" t="s">
        <v>613</v>
      </c>
      <c r="AL451" s="115" t="s">
        <v>282</v>
      </c>
      <c r="AM451" s="121" t="s">
        <v>276</v>
      </c>
      <c r="AN451" s="115" t="s">
        <v>215</v>
      </c>
      <c r="AO451" s="115" t="s">
        <v>546</v>
      </c>
      <c r="AP451" s="115" t="s">
        <v>1535</v>
      </c>
    </row>
    <row r="452" spans="1:42" ht="50.1" customHeight="1" x14ac:dyDescent="0.25">
      <c r="A452" s="115">
        <f>MONTH(TAB_HISTORICO_MANUT[[#This Row],[Hora Final]])-MONTH(TAB_HISTORICO_MANUT[[#This Row],[Hora Inicio]])</f>
        <v>0</v>
      </c>
      <c r="B452" s="116"/>
      <c r="C452" s="115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Inicio]]=Z451,TAB_HISTORICO_MANUT[[#This Row],[Equipamento]]=AA451,TAB_HISTORICO_MANUT[[#This Row],[Descricao Despacho]]=AD451),0,1)))</f>
        <v>1</v>
      </c>
      <c r="O45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COMBATE INCENDIO</v>
      </c>
      <c r="P45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5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452" s="107">
        <f>IF($Q452="","",(TAB_HISTORICO_MANUT[[#This Row],[Hora Final]]-TAB_HISTORICO_MANUT[[#This Row],[Hora Inicio]])*24)</f>
        <v>1.1302777777891606</v>
      </c>
      <c r="S45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452" s="109" t="str">
        <f>IF(AND(TAB_HISTORICO_MANUT[[#This Row],[EXPURGO Mãe]]="SIM",TAB_HISTORICO_MANUT[[#This Row],[Tipo]]="MÃE"),"EXP.MAE",IF(TAB_HISTORICO_MANUT[[#This Row],[EXPURGO Mãe]]="NÃO","NÃO EXP.MAE",T451))</f>
        <v>EXP.MAE</v>
      </c>
      <c r="U45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52" s="110">
        <f>IF(TAB_HISTORICO_MANUT[[#This Row],[EXPURGO Filhas]]="SIM",MAX(TAB_HISTORICO_MANUT[[#This Row],[Hora Final]]-TAB_HISTORICO_MANUT[[#This Row],[Hora Inicio]],0),0)</f>
        <v>0</v>
      </c>
      <c r="W45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5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52" s="117">
        <v>46280.791064814817</v>
      </c>
      <c r="Z452" s="118">
        <v>46280.838159722225</v>
      </c>
      <c r="AA452" s="119" t="s">
        <v>232</v>
      </c>
      <c r="AB452" s="119" t="s">
        <v>1578</v>
      </c>
      <c r="AC452" s="115" t="s">
        <v>212</v>
      </c>
      <c r="AD452" s="117" t="s">
        <v>144</v>
      </c>
      <c r="AE452" s="117" t="s">
        <v>214</v>
      </c>
      <c r="AF452" s="122" t="s">
        <v>210</v>
      </c>
      <c r="AG452" s="123">
        <f>IF(TAB_HISTORICO_MANUT[[#This Row],[Hora Inicio]]="","",MONTH(TAB_HISTORICO_MANUT[[#This Row],[Hora Inicio]]))</f>
        <v>9</v>
      </c>
      <c r="AH452" s="120" t="s">
        <v>1591</v>
      </c>
      <c r="AI452" s="115" t="s">
        <v>152</v>
      </c>
      <c r="AJ452" s="115" t="s">
        <v>80</v>
      </c>
      <c r="AK452" s="115" t="s">
        <v>1252</v>
      </c>
      <c r="AL452" s="115" t="s">
        <v>540</v>
      </c>
      <c r="AM452" s="121" t="s">
        <v>541</v>
      </c>
      <c r="AN452" s="115" t="s">
        <v>215</v>
      </c>
      <c r="AO452" s="115" t="s">
        <v>842</v>
      </c>
      <c r="AP452" s="115" t="s">
        <v>932</v>
      </c>
    </row>
    <row r="453" spans="1:42" ht="50.1" customHeight="1" x14ac:dyDescent="0.25">
      <c r="A453" s="115">
        <f>MONTH(TAB_HISTORICO_MANUT[[#This Row],[Hora Final]])-MONTH(TAB_HISTORICO_MANUT[[#This Row],[Hora Inicio]])</f>
        <v>0</v>
      </c>
      <c r="B453" s="116"/>
      <c r="C453" s="115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Inicio]]=Z452,TAB_HISTORICO_MANUT[[#This Row],[Equipamento]]=AA452,TAB_HISTORICO_MANUT[[#This Row],[Descricao Despacho]]=AD452),0,1)))</f>
        <v>1</v>
      </c>
      <c r="O45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SUSPENSÃO</v>
      </c>
      <c r="P45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5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53" s="107">
        <f>IF($Q453="","",(TAB_HISTORICO_MANUT[[#This Row],[Hora Final]]-TAB_HISTORICO_MANUT[[#This Row],[Hora Inicio]])*24)</f>
        <v>10.159722222131677</v>
      </c>
      <c r="S45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53" s="109" t="str">
        <f>IF(AND(TAB_HISTORICO_MANUT[[#This Row],[EXPURGO Mãe]]="SIM",TAB_HISTORICO_MANUT[[#This Row],[Tipo]]="MÃE"),"EXP.MAE",IF(TAB_HISTORICO_MANUT[[#This Row],[EXPURGO Mãe]]="NÃO","NÃO EXP.MAE",T452))</f>
        <v>NÃO EXP.MAE</v>
      </c>
      <c r="U45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53" s="110">
        <f>IF(TAB_HISTORICO_MANUT[[#This Row],[EXPURGO Filhas]]="SIM",MAX(TAB_HISTORICO_MANUT[[#This Row],[Hora Final]]-TAB_HISTORICO_MANUT[[#This Row],[Hora Inicio]],0),0)</f>
        <v>0</v>
      </c>
      <c r="W45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5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53" s="117">
        <v>46283.476412037038</v>
      </c>
      <c r="Z453" s="118">
        <v>46283.899733796294</v>
      </c>
      <c r="AA453" s="119" t="s">
        <v>232</v>
      </c>
      <c r="AB453" s="119" t="s">
        <v>1581</v>
      </c>
      <c r="AC453" s="115" t="s">
        <v>204</v>
      </c>
      <c r="AD453" s="117" t="s">
        <v>144</v>
      </c>
      <c r="AE453" s="117" t="s">
        <v>172</v>
      </c>
      <c r="AF453" s="122" t="s">
        <v>210</v>
      </c>
      <c r="AG453" s="123">
        <f>IF(TAB_HISTORICO_MANUT[[#This Row],[Hora Inicio]]="","",MONTH(TAB_HISTORICO_MANUT[[#This Row],[Hora Inicio]]))</f>
        <v>9</v>
      </c>
      <c r="AH453" s="120" t="s">
        <v>1595</v>
      </c>
      <c r="AI453" s="115" t="s">
        <v>39</v>
      </c>
      <c r="AJ453" s="115" t="s">
        <v>762</v>
      </c>
      <c r="AK453" s="115" t="s">
        <v>762</v>
      </c>
      <c r="AL453" s="115" t="s">
        <v>1048</v>
      </c>
      <c r="AM453" s="121" t="s">
        <v>294</v>
      </c>
      <c r="AN453" s="115" t="s">
        <v>217</v>
      </c>
      <c r="AO453" s="115" t="s">
        <v>755</v>
      </c>
      <c r="AP453" s="115" t="s">
        <v>756</v>
      </c>
    </row>
    <row r="454" spans="1:42" ht="50.1" customHeight="1" x14ac:dyDescent="0.25">
      <c r="A454" s="43">
        <f>MONTH(TAB_HISTORICO_MANUT[[#This Row],[Hora Final]])-MONTH(TAB_HISTORICO_MANUT[[#This Row],[Hora Inicio]])</f>
        <v>0</v>
      </c>
      <c r="B454" s="42"/>
      <c r="C454" s="43"/>
      <c r="D454" s="42"/>
      <c r="E454" s="42"/>
      <c r="F454" s="42"/>
      <c r="G454" s="42"/>
      <c r="H454" s="42"/>
      <c r="I454" s="116"/>
      <c r="J454" s="116"/>
      <c r="K454" s="116"/>
      <c r="L454" s="116"/>
      <c r="M454" s="116"/>
      <c r="N45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Inicio]]=Z453,TAB_HISTORICO_MANUT[[#This Row],[Equipamento]]=AA453,TAB_HISTORICO_MANUT[[#This Row],[Descricao Despacho]]=AD453),0,1)))</f>
        <v>1</v>
      </c>
      <c r="O45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SUSPENSÃO</v>
      </c>
      <c r="P45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5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54" s="107">
        <f>IF($Q454="","",(TAB_HISTORICO_MANUT[[#This Row],[Hora Final]]-TAB_HISTORICO_MANUT[[#This Row],[Hora Inicio]])*24)</f>
        <v>14.586388888943475</v>
      </c>
      <c r="S45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54" s="109" t="str">
        <f>IF(AND(TAB_HISTORICO_MANUT[[#This Row],[EXPURGO Mãe]]="SIM",TAB_HISTORICO_MANUT[[#This Row],[Tipo]]="MÃE"),"EXP.MAE",IF(TAB_HISTORICO_MANUT[[#This Row],[EXPURGO Mãe]]="NÃO","NÃO EXP.MAE",T453))</f>
        <v>NÃO EXP.MAE</v>
      </c>
      <c r="U45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54" s="110">
        <f>IF(TAB_HISTORICO_MANUT[[#This Row],[EXPURGO Filhas]]="SIM",MAX(TAB_HISTORICO_MANUT[[#This Row],[Hora Final]]-TAB_HISTORICO_MANUT[[#This Row],[Hora Inicio]],0),0)</f>
        <v>0</v>
      </c>
      <c r="W45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5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54" s="46">
        <v>46283.947650462964</v>
      </c>
      <c r="Z454" s="47">
        <v>46284.55541666667</v>
      </c>
      <c r="AA454" s="48" t="s">
        <v>232</v>
      </c>
      <c r="AB454" s="48" t="s">
        <v>1583</v>
      </c>
      <c r="AC454" s="43" t="s">
        <v>204</v>
      </c>
      <c r="AD454" s="46" t="s">
        <v>144</v>
      </c>
      <c r="AE454" s="46" t="s">
        <v>172</v>
      </c>
      <c r="AF454" s="88" t="s">
        <v>210</v>
      </c>
      <c r="AG454" s="105">
        <f>IF(TAB_HISTORICO_MANUT[[#This Row],[Hora Inicio]]="","",MONTH(TAB_HISTORICO_MANUT[[#This Row],[Hora Inicio]]))</f>
        <v>9</v>
      </c>
      <c r="AH454" s="58" t="s">
        <v>1597</v>
      </c>
      <c r="AI454" s="43" t="s">
        <v>39</v>
      </c>
      <c r="AJ454" s="43" t="s">
        <v>762</v>
      </c>
      <c r="AK454" s="43" t="s">
        <v>762</v>
      </c>
      <c r="AL454" s="43" t="s">
        <v>1048</v>
      </c>
      <c r="AM454" s="114" t="s">
        <v>294</v>
      </c>
      <c r="AN454" s="43" t="s">
        <v>217</v>
      </c>
      <c r="AO454" s="43" t="s">
        <v>755</v>
      </c>
      <c r="AP454" s="43" t="s">
        <v>756</v>
      </c>
    </row>
    <row r="455" spans="1:42" ht="50.1" customHeight="1" x14ac:dyDescent="0.25">
      <c r="A455" s="115">
        <f>MONTH(TAB_HISTORICO_MANUT[[#This Row],[Hora Final]])-MONTH(TAB_HISTORICO_MANUT[[#This Row],[Hora Inicio]])</f>
        <v>0</v>
      </c>
      <c r="B455" s="116"/>
      <c r="C455" s="115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Inicio]]=Z454,TAB_HISTORICO_MANUT[[#This Row],[Equipamento]]=AA454,TAB_HISTORICO_MANUT[[#This Row],[Descricao Despacho]]=AD454),0,1)))</f>
        <v>1</v>
      </c>
      <c r="O45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45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5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55" s="107">
        <f>IF($Q455="","",(TAB_HISTORICO_MANUT[[#This Row],[Hora Final]]-TAB_HISTORICO_MANUT[[#This Row],[Hora Inicio]])*24)</f>
        <v>2.0494444443611428</v>
      </c>
      <c r="S45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55" s="109" t="str">
        <f>IF(AND(TAB_HISTORICO_MANUT[[#This Row],[EXPURGO Mãe]]="SIM",TAB_HISTORICO_MANUT[[#This Row],[Tipo]]="MÃE"),"EXP.MAE",IF(TAB_HISTORICO_MANUT[[#This Row],[EXPURGO Mãe]]="NÃO","NÃO EXP.MAE",T454))</f>
        <v>NÃO EXP.MAE</v>
      </c>
      <c r="U45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55" s="110">
        <f>IF(TAB_HISTORICO_MANUT[[#This Row],[EXPURGO Filhas]]="SIM",MAX(TAB_HISTORICO_MANUT[[#This Row],[Hora Final]]-TAB_HISTORICO_MANUT[[#This Row],[Hora Inicio]],0),0)</f>
        <v>0</v>
      </c>
      <c r="W45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5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55" s="117">
        <v>46292.268125000002</v>
      </c>
      <c r="Z455" s="118">
        <v>46292.353518518517</v>
      </c>
      <c r="AA455" s="119" t="s">
        <v>232</v>
      </c>
      <c r="AB455" s="119" t="s">
        <v>1612</v>
      </c>
      <c r="AC455" s="115" t="s">
        <v>204</v>
      </c>
      <c r="AD455" s="117" t="s">
        <v>144</v>
      </c>
      <c r="AE455" s="117" t="s">
        <v>172</v>
      </c>
      <c r="AF455" s="122" t="s">
        <v>210</v>
      </c>
      <c r="AG455" s="123">
        <f>IF(TAB_HISTORICO_MANUT[[#This Row],[Hora Inicio]]="","",MONTH(TAB_HISTORICO_MANUT[[#This Row],[Hora Inicio]]))</f>
        <v>9</v>
      </c>
      <c r="AH455" s="120" t="s">
        <v>1622</v>
      </c>
      <c r="AI455" s="115" t="s">
        <v>28</v>
      </c>
      <c r="AJ455" s="115" t="s">
        <v>1364</v>
      </c>
      <c r="AK455" s="115" t="s">
        <v>1629</v>
      </c>
      <c r="AL455" s="115" t="s">
        <v>282</v>
      </c>
      <c r="AM455" s="121" t="s">
        <v>276</v>
      </c>
      <c r="AN455" s="115" t="s">
        <v>217</v>
      </c>
      <c r="AO455" s="115" t="s">
        <v>349</v>
      </c>
      <c r="AP455" s="115" t="s">
        <v>319</v>
      </c>
    </row>
    <row r="456" spans="1:42" ht="50.1" customHeight="1" x14ac:dyDescent="0.25">
      <c r="A456" s="115">
        <f>MONTH(TAB_HISTORICO_MANUT[[#This Row],[Hora Final]])-MONTH(TAB_HISTORICO_MANUT[[#This Row],[Hora Inicio]])</f>
        <v>0</v>
      </c>
      <c r="B456" s="116"/>
      <c r="C456" s="115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Inicio]]=Z455,TAB_HISTORICO_MANUT[[#This Row],[Equipamento]]=AA455,TAB_HISTORICO_MANUT[[#This Row],[Descricao Despacho]]=AD455),0,1)))</f>
        <v>1</v>
      </c>
      <c r="O45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45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45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456" s="107">
        <f>IF($Q456="","",(TAB_HISTORICO_MANUT[[#This Row],[Hora Final]]-TAB_HISTORICO_MANUT[[#This Row],[Hora Inicio]])*24)</f>
        <v>0.19916666677454486</v>
      </c>
      <c r="S45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456" s="109" t="str">
        <f>IF(AND(TAB_HISTORICO_MANUT[[#This Row],[EXPURGO Mãe]]="SIM",TAB_HISTORICO_MANUT[[#This Row],[Tipo]]="MÃE"),"EXP.MAE",IF(TAB_HISTORICO_MANUT[[#This Row],[EXPURGO Mãe]]="NÃO","NÃO EXP.MAE",T455))</f>
        <v>EXP.MAE</v>
      </c>
      <c r="U45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56" s="110">
        <f>IF(TAB_HISTORICO_MANUT[[#This Row],[EXPURGO Filhas]]="SIM",MAX(TAB_HISTORICO_MANUT[[#This Row],[Hora Final]]-TAB_HISTORICO_MANUT[[#This Row],[Hora Inicio]],0),0)</f>
        <v>0</v>
      </c>
      <c r="W45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5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56" s="117">
        <v>46293.358807870369</v>
      </c>
      <c r="Z456" s="118">
        <v>46293.367106481484</v>
      </c>
      <c r="AA456" s="119" t="s">
        <v>232</v>
      </c>
      <c r="AB456" s="119"/>
      <c r="AC456" s="115" t="s">
        <v>300</v>
      </c>
      <c r="AD456" s="117" t="s">
        <v>146</v>
      </c>
      <c r="AE456" s="117" t="s">
        <v>178</v>
      </c>
      <c r="AF456" s="122" t="s">
        <v>210</v>
      </c>
      <c r="AG456" s="123">
        <f>IF(TAB_HISTORICO_MANUT[[#This Row],[Hora Inicio]]="","",MONTH(TAB_HISTORICO_MANUT[[#This Row],[Hora Inicio]]))</f>
        <v>9</v>
      </c>
      <c r="AH456" s="120" t="s">
        <v>1630</v>
      </c>
      <c r="AI456" s="115" t="s">
        <v>340</v>
      </c>
      <c r="AJ456" s="115" t="s">
        <v>341</v>
      </c>
      <c r="AK456" s="115" t="s">
        <v>1272</v>
      </c>
      <c r="AL456" s="115" t="s">
        <v>1272</v>
      </c>
      <c r="AM456" s="121" t="s">
        <v>1272</v>
      </c>
      <c r="AN456" s="115"/>
      <c r="AO456" s="115"/>
      <c r="AP456" s="115"/>
    </row>
    <row r="457" spans="1:42" ht="50.1" customHeight="1" x14ac:dyDescent="0.25">
      <c r="A457" s="115">
        <f>MONTH(TAB_HISTORICO_MANUT[[#This Row],[Hora Final]])-MONTH(TAB_HISTORICO_MANUT[[#This Row],[Hora Inicio]])</f>
        <v>0</v>
      </c>
      <c r="B457" s="116"/>
      <c r="C457" s="115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Inicio]]=Z456,TAB_HISTORICO_MANUT[[#This Row],[Equipamento]]=AA456,TAB_HISTORICO_MANUT[[#This Row],[Descricao Despacho]]=AD456),0,1)))</f>
        <v>0</v>
      </c>
      <c r="O45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45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45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457" s="107">
        <f>IF($Q457="","",(TAB_HISTORICO_MANUT[[#This Row],[Hora Final]]-TAB_HISTORICO_MANUT[[#This Row],[Hora Inicio]])*24)</f>
        <v>4.661111111054197</v>
      </c>
      <c r="S45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57" s="109" t="str">
        <f>IF(AND(TAB_HISTORICO_MANUT[[#This Row],[EXPURGO Mãe]]="SIM",TAB_HISTORICO_MANUT[[#This Row],[Tipo]]="MÃE"),"EXP.MAE",IF(TAB_HISTORICO_MANUT[[#This Row],[EXPURGO Mãe]]="NÃO","NÃO EXP.MAE",T456))</f>
        <v>NÃO EXP.MAE</v>
      </c>
      <c r="U45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57" s="110">
        <f>IF(TAB_HISTORICO_MANUT[[#This Row],[EXPURGO Filhas]]="SIM",MAX(TAB_HISTORICO_MANUT[[#This Row],[Hora Final]]-TAB_HISTORICO_MANUT[[#This Row],[Hora Inicio]],0),0)</f>
        <v>0</v>
      </c>
      <c r="W45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5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57" s="117">
        <v>46293.367106481484</v>
      </c>
      <c r="Z457" s="118">
        <v>46293.561319444445</v>
      </c>
      <c r="AA457" s="119" t="s">
        <v>232</v>
      </c>
      <c r="AB457" s="119"/>
      <c r="AC457" s="115" t="s">
        <v>301</v>
      </c>
      <c r="AD457" s="117" t="s">
        <v>146</v>
      </c>
      <c r="AE457" s="117" t="s">
        <v>310</v>
      </c>
      <c r="AF457" s="122" t="s">
        <v>210</v>
      </c>
      <c r="AG457" s="123">
        <f>IF(TAB_HISTORICO_MANUT[[#This Row],[Hora Inicio]]="","",MONTH(TAB_HISTORICO_MANUT[[#This Row],[Hora Inicio]]))</f>
        <v>9</v>
      </c>
      <c r="AH457" s="120" t="s">
        <v>1630</v>
      </c>
      <c r="AI457" s="115" t="s">
        <v>340</v>
      </c>
      <c r="AJ457" s="115" t="s">
        <v>341</v>
      </c>
      <c r="AK457" s="115" t="s">
        <v>1272</v>
      </c>
      <c r="AL457" s="115" t="s">
        <v>1272</v>
      </c>
      <c r="AM457" s="121" t="s">
        <v>1272</v>
      </c>
      <c r="AN457" s="115"/>
      <c r="AO457" s="115"/>
      <c r="AP457" s="115"/>
    </row>
    <row r="458" spans="1:42" ht="50.1" customHeight="1" x14ac:dyDescent="0.25">
      <c r="A458" s="115">
        <f>MONTH(TAB_HISTORICO_MANUT[[#This Row],[Hora Final]])-MONTH(TAB_HISTORICO_MANUT[[#This Row],[Hora Inicio]])</f>
        <v>0</v>
      </c>
      <c r="B458" s="116"/>
      <c r="C458" s="115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Inicio]]=Z457,TAB_HISTORICO_MANUT[[#This Row],[Equipamento]]=AA457,TAB_HISTORICO_MANUT[[#This Row],[Descricao Despacho]]=AD457),0,1)))</f>
        <v>0</v>
      </c>
      <c r="O45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45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45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458" s="107">
        <f>IF($Q458="","",(TAB_HISTORICO_MANUT[[#This Row],[Hora Final]]-TAB_HISTORICO_MANUT[[#This Row],[Hora Inicio]])*24)</f>
        <v>4.063055555569008</v>
      </c>
      <c r="S45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58" s="109" t="str">
        <f>IF(AND(TAB_HISTORICO_MANUT[[#This Row],[EXPURGO Mãe]]="SIM",TAB_HISTORICO_MANUT[[#This Row],[Tipo]]="MÃE"),"EXP.MAE",IF(TAB_HISTORICO_MANUT[[#This Row],[EXPURGO Mãe]]="NÃO","NÃO EXP.MAE",T457))</f>
        <v>NÃO EXP.MAE</v>
      </c>
      <c r="U45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58" s="110">
        <f>IF(TAB_HISTORICO_MANUT[[#This Row],[EXPURGO Filhas]]="SIM",MAX(TAB_HISTORICO_MANUT[[#This Row],[Hora Final]]-TAB_HISTORICO_MANUT[[#This Row],[Hora Inicio]],0),0)</f>
        <v>0</v>
      </c>
      <c r="W45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5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58" s="117">
        <v>46293.561319444445</v>
      </c>
      <c r="Z458" s="118">
        <v>46293.730613425927</v>
      </c>
      <c r="AA458" s="119" t="s">
        <v>232</v>
      </c>
      <c r="AB458" s="119"/>
      <c r="AC458" s="115" t="s">
        <v>302</v>
      </c>
      <c r="AD458" s="117" t="s">
        <v>146</v>
      </c>
      <c r="AE458" s="117" t="s">
        <v>311</v>
      </c>
      <c r="AF458" s="122" t="s">
        <v>210</v>
      </c>
      <c r="AG458" s="123">
        <f>IF(TAB_HISTORICO_MANUT[[#This Row],[Hora Inicio]]="","",MONTH(TAB_HISTORICO_MANUT[[#This Row],[Hora Inicio]]))</f>
        <v>9</v>
      </c>
      <c r="AH458" s="120" t="s">
        <v>1630</v>
      </c>
      <c r="AI458" s="115" t="s">
        <v>340</v>
      </c>
      <c r="AJ458" s="115" t="s">
        <v>341</v>
      </c>
      <c r="AK458" s="115" t="s">
        <v>1272</v>
      </c>
      <c r="AL458" s="115" t="s">
        <v>1272</v>
      </c>
      <c r="AM458" s="121" t="s">
        <v>1272</v>
      </c>
      <c r="AN458" s="115"/>
      <c r="AO458" s="115"/>
      <c r="AP458" s="115"/>
    </row>
    <row r="459" spans="1:42" ht="50.1" customHeight="1" x14ac:dyDescent="0.25">
      <c r="A459" s="43">
        <f>MONTH(TAB_HISTORICO_MANUT[[#This Row],[Hora Final]])-MONTH(TAB_HISTORICO_MANUT[[#This Row],[Hora Inicio]])</f>
        <v>0</v>
      </c>
      <c r="B459" s="42"/>
      <c r="C459" s="43"/>
      <c r="D459" s="42"/>
      <c r="E459" s="42"/>
      <c r="F459" s="42"/>
      <c r="G459" s="42"/>
      <c r="H459" s="42"/>
      <c r="I459" s="116"/>
      <c r="J459" s="116"/>
      <c r="K459" s="116"/>
      <c r="L459" s="116"/>
      <c r="M459" s="116"/>
      <c r="N45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Inicio]]=Z458,TAB_HISTORICO_MANUT[[#This Row],[Equipamento]]=AA458,TAB_HISTORICO_MANUT[[#This Row],[Descricao Despacho]]=AD458),0,1)))</f>
        <v>0</v>
      </c>
      <c r="O45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459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45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459" s="50">
        <f>IF($Q459="","",(TAB_HISTORICO_MANUT[[#This Row],[Hora Final]]-TAB_HISTORICO_MANUT[[#This Row],[Hora Inicio]])*24)</f>
        <v>33.969722222245764</v>
      </c>
      <c r="S45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59" s="54" t="str">
        <f>IF(AND(TAB_HISTORICO_MANUT[[#This Row],[EXPURGO Mãe]]="SIM",TAB_HISTORICO_MANUT[[#This Row],[Tipo]]="MÃE"),"EXP.MAE",IF(TAB_HISTORICO_MANUT[[#This Row],[EXPURGO Mãe]]="NÃO","NÃO EXP.MAE",T458))</f>
        <v>NÃO EXP.MAE</v>
      </c>
      <c r="U45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59" s="56">
        <f>IF(TAB_HISTORICO_MANUT[[#This Row],[EXPURGO Filhas]]="SIM",MAX(TAB_HISTORICO_MANUT[[#This Row],[Hora Final]]-TAB_HISTORICO_MANUT[[#This Row],[Hora Inicio]],0),0)</f>
        <v>0</v>
      </c>
      <c r="W45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5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59" s="46">
        <v>46293.730613425927</v>
      </c>
      <c r="Z459" s="47">
        <v>46295.146018518521</v>
      </c>
      <c r="AA459" s="48" t="s">
        <v>232</v>
      </c>
      <c r="AB459" s="48"/>
      <c r="AC459" s="43" t="s">
        <v>301</v>
      </c>
      <c r="AD459" s="46" t="s">
        <v>146</v>
      </c>
      <c r="AE459" s="46" t="s">
        <v>310</v>
      </c>
      <c r="AF459" s="88" t="s">
        <v>210</v>
      </c>
      <c r="AG459" s="105">
        <f>IF(TAB_HISTORICO_MANUT[[#This Row],[Hora Inicio]]="","",MONTH(TAB_HISTORICO_MANUT[[#This Row],[Hora Inicio]]))</f>
        <v>9</v>
      </c>
      <c r="AH459" s="58" t="s">
        <v>1630</v>
      </c>
      <c r="AI459" s="43" t="s">
        <v>340</v>
      </c>
      <c r="AJ459" s="43" t="s">
        <v>341</v>
      </c>
      <c r="AK459" s="43" t="s">
        <v>1272</v>
      </c>
      <c r="AL459" s="43" t="s">
        <v>1272</v>
      </c>
      <c r="AM459" s="114" t="s">
        <v>1272</v>
      </c>
      <c r="AN459" s="43"/>
      <c r="AO459" s="43"/>
      <c r="AP459" s="43"/>
    </row>
    <row r="460" spans="1:42" ht="50.1" customHeight="1" x14ac:dyDescent="0.25">
      <c r="A460" s="115">
        <f>MONTH(TAB_HISTORICO_MANUT[[#This Row],[Hora Final]])-MONTH(TAB_HISTORICO_MANUT[[#This Row],[Hora Inicio]])</f>
        <v>0</v>
      </c>
      <c r="B460" s="116"/>
      <c r="C460" s="115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Inicio]]=Z459,TAB_HISTORICO_MANUT[[#This Row],[Equipamento]]=AA459,TAB_HISTORICO_MANUT[[#This Row],[Descricao Despacho]]=AD459),0,1)))</f>
        <v>1</v>
      </c>
      <c r="O46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46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HAC - Hora Acidente</v>
      </c>
      <c r="Q46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Acidente operacional</v>
      </c>
      <c r="R460" s="107">
        <f>IF($Q460="","",(TAB_HISTORICO_MANUT[[#This Row],[Hora Final]]-TAB_HISTORICO_MANUT[[#This Row],[Hora Inicio]])*24)</f>
        <v>30.561666666821111</v>
      </c>
      <c r="S46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460" s="109" t="str">
        <f>IF(AND(TAB_HISTORICO_MANUT[[#This Row],[EXPURGO Mãe]]="SIM",TAB_HISTORICO_MANUT[[#This Row],[Tipo]]="MÃE"),"EXP.MAE",IF(TAB_HISTORICO_MANUT[[#This Row],[EXPURGO Mãe]]="NÃO","NÃO EXP.MAE",T459))</f>
        <v>EXP.MAE</v>
      </c>
      <c r="U46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60" s="110">
        <f>IF(TAB_HISTORICO_MANUT[[#This Row],[EXPURGO Filhas]]="SIM",MAX(TAB_HISTORICO_MANUT[[#This Row],[Hora Final]]-TAB_HISTORICO_MANUT[[#This Row],[Hora Inicio]],0),0)</f>
        <v>0</v>
      </c>
      <c r="W46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6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60" s="117">
        <v>46296.440381944441</v>
      </c>
      <c r="Z460" s="118">
        <v>46297.713784722226</v>
      </c>
      <c r="AA460" s="119" t="s">
        <v>232</v>
      </c>
      <c r="AB460" s="119"/>
      <c r="AC460" s="115" t="s">
        <v>243</v>
      </c>
      <c r="AD460" s="117" t="s">
        <v>147</v>
      </c>
      <c r="AE460" s="117" t="s">
        <v>244</v>
      </c>
      <c r="AF460" s="122" t="s">
        <v>210</v>
      </c>
      <c r="AG460" s="123">
        <f>IF(TAB_HISTORICO_MANUT[[#This Row],[Hora Inicio]]="","",MONTH(TAB_HISTORICO_MANUT[[#This Row],[Hora Inicio]]))</f>
        <v>10</v>
      </c>
      <c r="AH460" s="120" t="s">
        <v>1646</v>
      </c>
      <c r="AI460" s="115" t="s">
        <v>23</v>
      </c>
      <c r="AJ460" s="43" t="s">
        <v>277</v>
      </c>
      <c r="AK460" s="115" t="s">
        <v>1252</v>
      </c>
      <c r="AL460" s="115" t="s">
        <v>275</v>
      </c>
      <c r="AM460" s="121" t="s">
        <v>276</v>
      </c>
      <c r="AN460" s="115"/>
      <c r="AO460" s="115"/>
      <c r="AP460" s="115"/>
    </row>
    <row r="461" spans="1:42" ht="50.1" customHeight="1" x14ac:dyDescent="0.25">
      <c r="A461" s="115">
        <f>MONTH(TAB_HISTORICO_MANUT[[#This Row],[Hora Final]])-MONTH(TAB_HISTORICO_MANUT[[#This Row],[Hora Inicio]])</f>
        <v>0</v>
      </c>
      <c r="B461" s="116"/>
      <c r="C461" s="115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Inicio]]=Z460,TAB_HISTORICO_MANUT[[#This Row],[Equipamento]]=AA460,TAB_HISTORICO_MANUT[[#This Row],[Descricao Despacho]]=AD460),0,1)))</f>
        <v>1</v>
      </c>
      <c r="O46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46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6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61" s="107">
        <f>IF($Q461="","",(TAB_HISTORICO_MANUT[[#This Row],[Hora Final]]-TAB_HISTORICO_MANUT[[#This Row],[Hora Inicio]])*24)</f>
        <v>4.8605555556714535</v>
      </c>
      <c r="S46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61" s="109" t="str">
        <f>IF(AND(TAB_HISTORICO_MANUT[[#This Row],[EXPURGO Mãe]]="SIM",TAB_HISTORICO_MANUT[[#This Row],[Tipo]]="MÃE"),"EXP.MAE",IF(TAB_HISTORICO_MANUT[[#This Row],[EXPURGO Mãe]]="NÃO","NÃO EXP.MAE",T460))</f>
        <v>NÃO EXP.MAE</v>
      </c>
      <c r="U46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61" s="110">
        <f>IF(TAB_HISTORICO_MANUT[[#This Row],[EXPURGO Filhas]]="SIM",MAX(TAB_HISTORICO_MANUT[[#This Row],[Hora Final]]-TAB_HISTORICO_MANUT[[#This Row],[Hora Inicio]],0),0)</f>
        <v>0</v>
      </c>
      <c r="W46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6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61" s="117">
        <v>46298.886874999997</v>
      </c>
      <c r="Z461" s="118">
        <v>46299.089398148149</v>
      </c>
      <c r="AA461" s="119" t="s">
        <v>232</v>
      </c>
      <c r="AB461" s="119" t="s">
        <v>1649</v>
      </c>
      <c r="AC461" s="115" t="s">
        <v>204</v>
      </c>
      <c r="AD461" s="117" t="s">
        <v>144</v>
      </c>
      <c r="AE461" s="117" t="s">
        <v>172</v>
      </c>
      <c r="AF461" s="122" t="s">
        <v>210</v>
      </c>
      <c r="AG461" s="123">
        <f>IF(TAB_HISTORICO_MANUT[[#This Row],[Hora Inicio]]="","",MONTH(TAB_HISTORICO_MANUT[[#This Row],[Hora Inicio]]))</f>
        <v>10</v>
      </c>
      <c r="AH461" s="120" t="s">
        <v>1654</v>
      </c>
      <c r="AI461" s="115" t="s">
        <v>235</v>
      </c>
      <c r="AJ461" s="115" t="s">
        <v>717</v>
      </c>
      <c r="AK461" s="115" t="s">
        <v>644</v>
      </c>
      <c r="AL461" s="115" t="s">
        <v>275</v>
      </c>
      <c r="AM461" s="121" t="s">
        <v>276</v>
      </c>
      <c r="AN461" s="115" t="s">
        <v>217</v>
      </c>
      <c r="AO461" s="115" t="s">
        <v>573</v>
      </c>
      <c r="AP461" s="115" t="s">
        <v>469</v>
      </c>
    </row>
    <row r="462" spans="1:42" ht="50.1" customHeight="1" x14ac:dyDescent="0.25">
      <c r="A462" s="115">
        <f>MONTH(TAB_HISTORICO_MANUT[[#This Row],[Hora Final]])-MONTH(TAB_HISTORICO_MANUT[[#This Row],[Hora Inicio]])</f>
        <v>0</v>
      </c>
      <c r="B462" s="116"/>
      <c r="C462" s="115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Inicio]]=Z461,TAB_HISTORICO_MANUT[[#This Row],[Equipamento]]=AA461,TAB_HISTORICO_MANUT[[#This Row],[Descricao Despacho]]=AD461),0,1)))</f>
        <v>1</v>
      </c>
      <c r="O46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46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6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462" s="107">
        <f>IF($Q462="","",(TAB_HISTORICO_MANUT[[#This Row],[Hora Final]]-TAB_HISTORICO_MANUT[[#This Row],[Hora Inicio]])*24)</f>
        <v>5.4997222222737037</v>
      </c>
      <c r="S46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62" s="109" t="str">
        <f>IF(AND(TAB_HISTORICO_MANUT[[#This Row],[EXPURGO Mãe]]="SIM",TAB_HISTORICO_MANUT[[#This Row],[Tipo]]="MÃE"),"EXP.MAE",IF(TAB_HISTORICO_MANUT[[#This Row],[EXPURGO Mãe]]="NÃO","NÃO EXP.MAE",T461))</f>
        <v>NÃO EXP.MAE</v>
      </c>
      <c r="U46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62" s="110">
        <f>IF(TAB_HISTORICO_MANUT[[#This Row],[EXPURGO Filhas]]="SIM",MAX(TAB_HISTORICO_MANUT[[#This Row],[Hora Final]]-TAB_HISTORICO_MANUT[[#This Row],[Hora Inicio]],0),0)</f>
        <v>0</v>
      </c>
      <c r="W46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6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62" s="117">
        <v>46300.226504629631</v>
      </c>
      <c r="Z462" s="118">
        <v>46300.455659722225</v>
      </c>
      <c r="AA462" s="119" t="s">
        <v>232</v>
      </c>
      <c r="AB462" s="119" t="s">
        <v>1661</v>
      </c>
      <c r="AC462" s="115" t="s">
        <v>211</v>
      </c>
      <c r="AD462" s="117" t="s">
        <v>144</v>
      </c>
      <c r="AE462" s="117" t="s">
        <v>213</v>
      </c>
      <c r="AF462" s="122" t="s">
        <v>210</v>
      </c>
      <c r="AG462" s="123">
        <f>IF(TAB_HISTORICO_MANUT[[#This Row],[Hora Inicio]]="","",MONTH(TAB_HISTORICO_MANUT[[#This Row],[Hora Inicio]]))</f>
        <v>10</v>
      </c>
      <c r="AH462" s="120" t="s">
        <v>1662</v>
      </c>
      <c r="AI462" s="115" t="s">
        <v>21</v>
      </c>
      <c r="AJ462" s="115" t="s">
        <v>1272</v>
      </c>
      <c r="AK462" s="115" t="s">
        <v>1272</v>
      </c>
      <c r="AL462" s="115" t="s">
        <v>1272</v>
      </c>
      <c r="AM462" s="121" t="s">
        <v>1272</v>
      </c>
      <c r="AN462" s="115" t="s">
        <v>229</v>
      </c>
      <c r="AO462" s="115" t="s">
        <v>411</v>
      </c>
      <c r="AP462" s="115" t="s">
        <v>1663</v>
      </c>
    </row>
    <row r="463" spans="1:42" ht="50.1" customHeight="1" x14ac:dyDescent="0.25">
      <c r="A463" s="115">
        <f>MONTH(TAB_HISTORICO_MANUT[[#This Row],[Hora Final]])-MONTH(TAB_HISTORICO_MANUT[[#This Row],[Hora Inicio]])</f>
        <v>0</v>
      </c>
      <c r="B463" s="116"/>
      <c r="C463" s="115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Inicio]]=Z462,TAB_HISTORICO_MANUT[[#This Row],[Equipamento]]=AA462,TAB_HISTORICO_MANUT[[#This Row],[Descricao Despacho]]=AD462),0,1)))</f>
        <v>1</v>
      </c>
      <c r="O46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46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6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63" s="107">
        <f>IF($Q463="","",(TAB_HISTORICO_MANUT[[#This Row],[Hora Final]]-TAB_HISTORICO_MANUT[[#This Row],[Hora Inicio]])*24)</f>
        <v>4.7547222222201526</v>
      </c>
      <c r="S46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63" s="109" t="str">
        <f>IF(AND(TAB_HISTORICO_MANUT[[#This Row],[EXPURGO Mãe]]="SIM",TAB_HISTORICO_MANUT[[#This Row],[Tipo]]="MÃE"),"EXP.MAE",IF(TAB_HISTORICO_MANUT[[#This Row],[EXPURGO Mãe]]="NÃO","NÃO EXP.MAE",T462))</f>
        <v>NÃO EXP.MAE</v>
      </c>
      <c r="U46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63" s="110">
        <f>IF(TAB_HISTORICO_MANUT[[#This Row],[EXPURGO Filhas]]="SIM",MAX(TAB_HISTORICO_MANUT[[#This Row],[Hora Final]]-TAB_HISTORICO_MANUT[[#This Row],[Hora Inicio]],0),0)</f>
        <v>0</v>
      </c>
      <c r="W46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6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63" s="117">
        <v>46031.712395833332</v>
      </c>
      <c r="Z463" s="118">
        <v>46031.910509259258</v>
      </c>
      <c r="AA463" s="119" t="s">
        <v>208</v>
      </c>
      <c r="AB463" s="119" t="s">
        <v>307</v>
      </c>
      <c r="AC463" s="115" t="s">
        <v>204</v>
      </c>
      <c r="AD463" s="117" t="s">
        <v>144</v>
      </c>
      <c r="AE463" s="117" t="s">
        <v>172</v>
      </c>
      <c r="AF463" s="122" t="s">
        <v>210</v>
      </c>
      <c r="AG463" s="123">
        <f>IF(TAB_HISTORICO_MANUT[[#This Row],[Hora Inicio]]="","",MONTH(TAB_HISTORICO_MANUT[[#This Row],[Hora Inicio]]))</f>
        <v>1</v>
      </c>
      <c r="AH463" s="120" t="s">
        <v>325</v>
      </c>
      <c r="AI463" s="115" t="s">
        <v>22</v>
      </c>
      <c r="AJ463" s="115" t="s">
        <v>284</v>
      </c>
      <c r="AK463" s="115" t="s">
        <v>284</v>
      </c>
      <c r="AL463" s="115" t="s">
        <v>336</v>
      </c>
      <c r="AM463" s="121" t="s">
        <v>337</v>
      </c>
      <c r="AN463" s="115" t="s">
        <v>215</v>
      </c>
      <c r="AO463" s="115" t="s">
        <v>224</v>
      </c>
      <c r="AP463" s="115" t="s">
        <v>253</v>
      </c>
    </row>
    <row r="464" spans="1:42" ht="50.1" customHeight="1" x14ac:dyDescent="0.25">
      <c r="A464" s="43">
        <f>MONTH(TAB_HISTORICO_MANUT[[#This Row],[Hora Final]])-MONTH(TAB_HISTORICO_MANUT[[#This Row],[Hora Inicio]])</f>
        <v>0</v>
      </c>
      <c r="B464" s="42"/>
      <c r="C464" s="43"/>
      <c r="D464" s="42"/>
      <c r="E464" s="42"/>
      <c r="F464" s="42"/>
      <c r="G464" s="42"/>
      <c r="H464" s="42"/>
      <c r="I464" s="116"/>
      <c r="J464" s="116"/>
      <c r="K464" s="116"/>
      <c r="L464" s="116"/>
      <c r="M464" s="116"/>
      <c r="N46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Inicio]]=Z463,TAB_HISTORICO_MANUT[[#This Row],[Equipamento]]=AA463,TAB_HISTORICO_MANUT[[#This Row],[Descricao Despacho]]=AD463),0,1)))</f>
        <v>1</v>
      </c>
      <c r="O46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464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6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64" s="50">
        <f>IF($Q464="","",(TAB_HISTORICO_MANUT[[#This Row],[Hora Final]]-TAB_HISTORICO_MANUT[[#This Row],[Hora Inicio]])*24)</f>
        <v>1.7794444444589317</v>
      </c>
      <c r="S46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64" s="54" t="str">
        <f>IF(AND(TAB_HISTORICO_MANUT[[#This Row],[EXPURGO Mãe]]="SIM",TAB_HISTORICO_MANUT[[#This Row],[Tipo]]="MÃE"),"EXP.MAE",IF(TAB_HISTORICO_MANUT[[#This Row],[EXPURGO Mãe]]="NÃO","NÃO EXP.MAE",T463))</f>
        <v>NÃO EXP.MAE</v>
      </c>
      <c r="U46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64" s="56">
        <f>IF(TAB_HISTORICO_MANUT[[#This Row],[EXPURGO Filhas]]="SIM",MAX(TAB_HISTORICO_MANUT[[#This Row],[Hora Final]]-TAB_HISTORICO_MANUT[[#This Row],[Hora Inicio]],0),0)</f>
        <v>0</v>
      </c>
      <c r="W46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6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64" s="46">
        <v>46032.87537037037</v>
      </c>
      <c r="Z464" s="47">
        <v>46032.949513888889</v>
      </c>
      <c r="AA464" s="48" t="s">
        <v>208</v>
      </c>
      <c r="AB464" s="48" t="s">
        <v>308</v>
      </c>
      <c r="AC464" s="43" t="s">
        <v>204</v>
      </c>
      <c r="AD464" s="46" t="s">
        <v>144</v>
      </c>
      <c r="AE464" s="46" t="s">
        <v>172</v>
      </c>
      <c r="AF464" s="88" t="s">
        <v>210</v>
      </c>
      <c r="AG464" s="105">
        <f>IF(TAB_HISTORICO_MANUT[[#This Row],[Hora Inicio]]="","",MONTH(TAB_HISTORICO_MANUT[[#This Row],[Hora Inicio]]))</f>
        <v>1</v>
      </c>
      <c r="AH464" s="58" t="s">
        <v>327</v>
      </c>
      <c r="AI464" s="43" t="s">
        <v>22</v>
      </c>
      <c r="AJ464" s="43" t="s">
        <v>284</v>
      </c>
      <c r="AK464" s="43" t="s">
        <v>284</v>
      </c>
      <c r="AL464" s="43" t="s">
        <v>336</v>
      </c>
      <c r="AM464" s="114" t="s">
        <v>337</v>
      </c>
      <c r="AN464" s="43" t="s">
        <v>215</v>
      </c>
      <c r="AO464" s="43" t="s">
        <v>224</v>
      </c>
      <c r="AP464" s="43" t="s">
        <v>225</v>
      </c>
    </row>
    <row r="465" spans="1:42" ht="50.1" customHeight="1" x14ac:dyDescent="0.25">
      <c r="A465" s="115">
        <f>MONTH(TAB_HISTORICO_MANUT[[#This Row],[Hora Final]])-MONTH(TAB_HISTORICO_MANUT[[#This Row],[Hora Inicio]])</f>
        <v>0</v>
      </c>
      <c r="B465" s="116"/>
      <c r="C465" s="115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 t="s">
        <v>99</v>
      </c>
      <c r="N46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Inicio]]=Z464,TAB_HISTORICO_MANUT[[#This Row],[Equipamento]]=AA464,TAB_HISTORICO_MANUT[[#This Row],[Descricao Despacho]]=AD464),0,1)))</f>
        <v>1</v>
      </c>
      <c r="O46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46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46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465" s="107">
        <f>IF($Q465="","",(TAB_HISTORICO_MANUT[[#This Row],[Hora Final]]-TAB_HISTORICO_MANUT[[#This Row],[Hora Inicio]])*24)</f>
        <v>0.74166666663950309</v>
      </c>
      <c r="S46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65" s="109" t="str">
        <f>IF(AND(TAB_HISTORICO_MANUT[[#This Row],[EXPURGO Mãe]]="SIM",TAB_HISTORICO_MANUT[[#This Row],[Tipo]]="MÃE"),"EXP.MAE",IF(TAB_HISTORICO_MANUT[[#This Row],[EXPURGO Mãe]]="NÃO","NÃO EXP.MAE",T464))</f>
        <v>NÃO EXP.MAE</v>
      </c>
      <c r="U46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65" s="110">
        <f>IF(TAB_HISTORICO_MANUT[[#This Row],[EXPURGO Filhas]]="SIM",MAX(TAB_HISTORICO_MANUT[[#This Row],[Hora Final]]-TAB_HISTORICO_MANUT[[#This Row],[Hora Inicio]],0),0)</f>
        <v>0</v>
      </c>
      <c r="W46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6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65" s="117">
        <v>46033.085740740738</v>
      </c>
      <c r="Z465" s="118">
        <v>46033.116643518515</v>
      </c>
      <c r="AA465" s="119" t="s">
        <v>208</v>
      </c>
      <c r="AB465" s="119"/>
      <c r="AC465" s="115" t="s">
        <v>300</v>
      </c>
      <c r="AD465" s="117" t="s">
        <v>146</v>
      </c>
      <c r="AE465" s="117" t="s">
        <v>178</v>
      </c>
      <c r="AF465" s="122" t="s">
        <v>210</v>
      </c>
      <c r="AG465" s="123">
        <f>IF(TAB_HISTORICO_MANUT[[#This Row],[Hora Inicio]]="","",MONTH(TAB_HISTORICO_MANUT[[#This Row],[Hora Inicio]]))</f>
        <v>1</v>
      </c>
      <c r="AH465" s="120" t="s">
        <v>342</v>
      </c>
      <c r="AI465" s="115" t="s">
        <v>340</v>
      </c>
      <c r="AJ465" s="115" t="s">
        <v>341</v>
      </c>
      <c r="AK465" s="115"/>
      <c r="AL465" s="115"/>
      <c r="AM465" s="121"/>
      <c r="AN465" s="115"/>
      <c r="AO465" s="115"/>
      <c r="AP465" s="115"/>
    </row>
    <row r="466" spans="1:42" ht="50.1" customHeight="1" x14ac:dyDescent="0.25">
      <c r="A466" s="43">
        <f>MONTH(TAB_HISTORICO_MANUT[[#This Row],[Hora Final]])-MONTH(TAB_HISTORICO_MANUT[[#This Row],[Hora Inicio]])</f>
        <v>0</v>
      </c>
      <c r="B466" s="42"/>
      <c r="C466" s="43"/>
      <c r="D466" s="42"/>
      <c r="E466" s="42"/>
      <c r="F466" s="42"/>
      <c r="G466" s="42"/>
      <c r="H466" s="42"/>
      <c r="I466" s="116"/>
      <c r="J466" s="116"/>
      <c r="K466" s="116"/>
      <c r="L466" s="116"/>
      <c r="M466" s="116"/>
      <c r="N46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Inicio]]=Z465,TAB_HISTORICO_MANUT[[#This Row],[Equipamento]]=AA465,TAB_HISTORICO_MANUT[[#This Row],[Descricao Despacho]]=AD465),0,1)))</f>
        <v>0</v>
      </c>
      <c r="O46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466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46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466" s="50">
        <f>IF($Q466="","",(TAB_HISTORICO_MANUT[[#This Row],[Hora Final]]-TAB_HISTORICO_MANUT[[#This Row],[Hora Inicio]])*24)</f>
        <v>1.969166666676756</v>
      </c>
      <c r="S46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66" s="54" t="str">
        <f>IF(AND(TAB_HISTORICO_MANUT[[#This Row],[EXPURGO Mãe]]="SIM",TAB_HISTORICO_MANUT[[#This Row],[Tipo]]="MÃE"),"EXP.MAE",IF(TAB_HISTORICO_MANUT[[#This Row],[EXPURGO Mãe]]="NÃO","NÃO EXP.MAE",T465))</f>
        <v>NÃO EXP.MAE</v>
      </c>
      <c r="U46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66" s="56">
        <f>IF(TAB_HISTORICO_MANUT[[#This Row],[EXPURGO Filhas]]="SIM",MAX(TAB_HISTORICO_MANUT[[#This Row],[Hora Final]]-TAB_HISTORICO_MANUT[[#This Row],[Hora Inicio]],0),0)</f>
        <v>0</v>
      </c>
      <c r="W46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6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66" s="46">
        <v>46033.116643518515</v>
      </c>
      <c r="Z466" s="47">
        <v>46033.198692129627</v>
      </c>
      <c r="AA466" s="48" t="s">
        <v>208</v>
      </c>
      <c r="AB466" s="48"/>
      <c r="AC466" s="43" t="s">
        <v>301</v>
      </c>
      <c r="AD466" s="46" t="s">
        <v>146</v>
      </c>
      <c r="AE466" s="46" t="s">
        <v>310</v>
      </c>
      <c r="AF466" s="88" t="s">
        <v>210</v>
      </c>
      <c r="AG466" s="105">
        <f>IF(TAB_HISTORICO_MANUT[[#This Row],[Hora Inicio]]="","",MONTH(TAB_HISTORICO_MANUT[[#This Row],[Hora Inicio]]))</f>
        <v>1</v>
      </c>
      <c r="AH466" s="58" t="s">
        <v>342</v>
      </c>
      <c r="AI466" s="43" t="s">
        <v>340</v>
      </c>
      <c r="AJ466" s="43" t="s">
        <v>341</v>
      </c>
      <c r="AK466" s="43"/>
      <c r="AL466" s="43"/>
      <c r="AM466" s="114"/>
      <c r="AN466" s="43"/>
      <c r="AO466" s="43"/>
      <c r="AP466" s="43"/>
    </row>
    <row r="467" spans="1:42" ht="50.1" customHeight="1" x14ac:dyDescent="0.25">
      <c r="A467" s="115">
        <f>MONTH(TAB_HISTORICO_MANUT[[#This Row],[Hora Final]])-MONTH(TAB_HISTORICO_MANUT[[#This Row],[Hora Inicio]])</f>
        <v>0</v>
      </c>
      <c r="B467" s="116"/>
      <c r="C467" s="115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Inicio]]=Z466,TAB_HISTORICO_MANUT[[#This Row],[Equipamento]]=AA466,TAB_HISTORICO_MANUT[[#This Row],[Descricao Despacho]]=AD466),0,1)))</f>
        <v>0</v>
      </c>
      <c r="O46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46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46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467" s="107">
        <f>IF($Q467="","",(TAB_HISTORICO_MANUT[[#This Row],[Hora Final]]-TAB_HISTORICO_MANUT[[#This Row],[Hora Inicio]])*24)</f>
        <v>4.0000000001164153</v>
      </c>
      <c r="S46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67" s="109" t="str">
        <f>IF(AND(TAB_HISTORICO_MANUT[[#This Row],[EXPURGO Mãe]]="SIM",TAB_HISTORICO_MANUT[[#This Row],[Tipo]]="MÃE"),"EXP.MAE",IF(TAB_HISTORICO_MANUT[[#This Row],[EXPURGO Mãe]]="NÃO","NÃO EXP.MAE",T466))</f>
        <v>NÃO EXP.MAE</v>
      </c>
      <c r="U46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67" s="110">
        <f>IF(TAB_HISTORICO_MANUT[[#This Row],[EXPURGO Filhas]]="SIM",MAX(TAB_HISTORICO_MANUT[[#This Row],[Hora Final]]-TAB_HISTORICO_MANUT[[#This Row],[Hora Inicio]],0),0)</f>
        <v>0</v>
      </c>
      <c r="W46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6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67" s="117">
        <v>46033.198692129627</v>
      </c>
      <c r="Z467" s="118">
        <v>46033.365358796298</v>
      </c>
      <c r="AA467" s="119" t="s">
        <v>208</v>
      </c>
      <c r="AB467" s="119"/>
      <c r="AC467" s="115" t="s">
        <v>302</v>
      </c>
      <c r="AD467" s="117" t="s">
        <v>146</v>
      </c>
      <c r="AE467" s="117" t="s">
        <v>311</v>
      </c>
      <c r="AF467" s="122" t="s">
        <v>210</v>
      </c>
      <c r="AG467" s="123">
        <f>IF(TAB_HISTORICO_MANUT[[#This Row],[Hora Inicio]]="","",MONTH(TAB_HISTORICO_MANUT[[#This Row],[Hora Inicio]]))</f>
        <v>1</v>
      </c>
      <c r="AH467" s="120" t="s">
        <v>342</v>
      </c>
      <c r="AI467" s="115" t="s">
        <v>340</v>
      </c>
      <c r="AJ467" s="115" t="s">
        <v>341</v>
      </c>
      <c r="AK467" s="115"/>
      <c r="AL467" s="115"/>
      <c r="AM467" s="121"/>
      <c r="AN467" s="115"/>
      <c r="AO467" s="115"/>
      <c r="AP467" s="115"/>
    </row>
    <row r="468" spans="1:42" ht="50.1" customHeight="1" x14ac:dyDescent="0.25">
      <c r="A468" s="115">
        <f>MONTH(TAB_HISTORICO_MANUT[[#This Row],[Hora Final]])-MONTH(TAB_HISTORICO_MANUT[[#This Row],[Hora Inicio]])</f>
        <v>0</v>
      </c>
      <c r="B468" s="116"/>
      <c r="C468" s="115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 t="s">
        <v>98</v>
      </c>
      <c r="N46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Inicio]]=Z467,TAB_HISTORICO_MANUT[[#This Row],[Equipamento]]=AA467,TAB_HISTORICO_MANUT[[#This Row],[Descricao Despacho]]=AD467),0,1)))</f>
        <v>0</v>
      </c>
      <c r="O46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46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46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468" s="107">
        <f>IF($Q468="","",(TAB_HISTORICO_MANUT[[#This Row],[Hora Final]]-TAB_HISTORICO_MANUT[[#This Row],[Hora Inicio]])*24)</f>
        <v>7.0380555554875173</v>
      </c>
      <c r="S46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468" s="109" t="str">
        <f>IF(AND(TAB_HISTORICO_MANUT[[#This Row],[EXPURGO Mãe]]="SIM",TAB_HISTORICO_MANUT[[#This Row],[Tipo]]="MÃE"),"EXP.MAE",IF(TAB_HISTORICO_MANUT[[#This Row],[EXPURGO Mãe]]="NÃO","NÃO EXP.MAE",T467))</f>
        <v>EXP.MAE</v>
      </c>
      <c r="U46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68" s="110">
        <f>IF(TAB_HISTORICO_MANUT[[#This Row],[EXPURGO Filhas]]="SIM",MAX(TAB_HISTORICO_MANUT[[#This Row],[Hora Final]]-TAB_HISTORICO_MANUT[[#This Row],[Hora Inicio]],0),0)</f>
        <v>0</v>
      </c>
      <c r="W46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6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68" s="117">
        <v>46033.365358796298</v>
      </c>
      <c r="Z468" s="118">
        <v>46033.65861111111</v>
      </c>
      <c r="AA468" s="119" t="s">
        <v>208</v>
      </c>
      <c r="AB468" s="48"/>
      <c r="AC468" s="115" t="s">
        <v>302</v>
      </c>
      <c r="AD468" s="117" t="s">
        <v>146</v>
      </c>
      <c r="AE468" s="117" t="s">
        <v>311</v>
      </c>
      <c r="AF468" s="122" t="s">
        <v>210</v>
      </c>
      <c r="AG468" s="123">
        <f>IF(TAB_HISTORICO_MANUT[[#This Row],[Hora Inicio]]="","",MONTH(TAB_HISTORICO_MANUT[[#This Row],[Hora Inicio]]))</f>
        <v>1</v>
      </c>
      <c r="AH468" s="120" t="s">
        <v>342</v>
      </c>
      <c r="AI468" s="115" t="s">
        <v>340</v>
      </c>
      <c r="AJ468" s="115" t="s">
        <v>341</v>
      </c>
      <c r="AK468" s="115"/>
      <c r="AL468" s="115"/>
      <c r="AM468" s="121"/>
      <c r="AN468" s="115"/>
      <c r="AO468" s="115"/>
      <c r="AP468" s="115"/>
    </row>
    <row r="469" spans="1:42" ht="50.1" customHeight="1" x14ac:dyDescent="0.25">
      <c r="A469" s="115">
        <f>MONTH(TAB_HISTORICO_MANUT[[#This Row],[Hora Final]])-MONTH(TAB_HISTORICO_MANUT[[#This Row],[Hora Inicio]])</f>
        <v>0</v>
      </c>
      <c r="B469" s="116"/>
      <c r="C469" s="115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Inicio]]=Z468,TAB_HISTORICO_MANUT[[#This Row],[Equipamento]]=AA468,TAB_HISTORICO_MANUT[[#This Row],[Descricao Despacho]]=AD468),0,1)))</f>
        <v>0</v>
      </c>
      <c r="O46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46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46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469" s="107">
        <f>IF($Q469="","",(TAB_HISTORICO_MANUT[[#This Row],[Hora Final]]-TAB_HISTORICO_MANUT[[#This Row],[Hora Inicio]])*24)</f>
        <v>4.0933333334396593</v>
      </c>
      <c r="S46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69" s="109" t="str">
        <f>IF(AND(TAB_HISTORICO_MANUT[[#This Row],[EXPURGO Mãe]]="SIM",TAB_HISTORICO_MANUT[[#This Row],[Tipo]]="MÃE"),"EXP.MAE",IF(TAB_HISTORICO_MANUT[[#This Row],[EXPURGO Mãe]]="NÃO","NÃO EXP.MAE",T468))</f>
        <v>NÃO EXP.MAE</v>
      </c>
      <c r="U46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69" s="110">
        <f>IF(TAB_HISTORICO_MANUT[[#This Row],[EXPURGO Filhas]]="SIM",MAX(TAB_HISTORICO_MANUT[[#This Row],[Hora Final]]-TAB_HISTORICO_MANUT[[#This Row],[Hora Inicio]],0),0)</f>
        <v>0</v>
      </c>
      <c r="W46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6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69" s="117">
        <v>46033.65861111111</v>
      </c>
      <c r="Z469" s="117">
        <v>46033.82916666667</v>
      </c>
      <c r="AA469" s="119" t="s">
        <v>208</v>
      </c>
      <c r="AB469" s="119"/>
      <c r="AC469" s="115" t="s">
        <v>301</v>
      </c>
      <c r="AD469" s="117" t="s">
        <v>146</v>
      </c>
      <c r="AE469" s="117" t="s">
        <v>310</v>
      </c>
      <c r="AF469" s="122" t="s">
        <v>210</v>
      </c>
      <c r="AG469" s="123">
        <f>IF(TAB_HISTORICO_MANUT[[#This Row],[Hora Inicio]]="","",MONTH(TAB_HISTORICO_MANUT[[#This Row],[Hora Inicio]]))</f>
        <v>1</v>
      </c>
      <c r="AH469" s="120" t="s">
        <v>342</v>
      </c>
      <c r="AI469" s="115" t="s">
        <v>340</v>
      </c>
      <c r="AJ469" s="115" t="s">
        <v>341</v>
      </c>
      <c r="AK469" s="115"/>
      <c r="AL469" s="115"/>
      <c r="AM469" s="121"/>
      <c r="AN469" s="115"/>
      <c r="AO469" s="115"/>
      <c r="AP469" s="115"/>
    </row>
    <row r="470" spans="1:42" ht="50.1" customHeight="1" x14ac:dyDescent="0.25">
      <c r="A470" s="115">
        <f>MONTH(TAB_HISTORICO_MANUT[[#This Row],[Hora Final]])-MONTH(TAB_HISTORICO_MANUT[[#This Row],[Hora Inicio]])</f>
        <v>0</v>
      </c>
      <c r="B470" s="116"/>
      <c r="C470" s="115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Inicio]]=Z469,TAB_HISTORICO_MANUT[[#This Row],[Equipamento]]=AA469,TAB_HISTORICO_MANUT[[#This Row],[Descricao Despacho]]=AD469),0,1)))</f>
        <v>0</v>
      </c>
      <c r="O47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47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47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470" s="107">
        <f>IF($Q470="","",(TAB_HISTORICO_MANUT[[#This Row],[Hora Final]]-TAB_HISTORICO_MANUT[[#This Row],[Hora Inicio]])*24)</f>
        <v>2.0999999998603016</v>
      </c>
      <c r="S47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470" s="109" t="str">
        <f>IF(AND(TAB_HISTORICO_MANUT[[#This Row],[EXPURGO Mãe]]="SIM",TAB_HISTORICO_MANUT[[#This Row],[Tipo]]="MÃE"),"EXP.MAE",IF(TAB_HISTORICO_MANUT[[#This Row],[EXPURGO Mãe]]="NÃO","NÃO EXP.MAE",T469))</f>
        <v>EXP.MAE</v>
      </c>
      <c r="U47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70" s="110">
        <f>IF(TAB_HISTORICO_MANUT[[#This Row],[EXPURGO Filhas]]="SIM",MAX(TAB_HISTORICO_MANUT[[#This Row],[Hora Final]]-TAB_HISTORICO_MANUT[[#This Row],[Hora Inicio]],0),0)</f>
        <v>0</v>
      </c>
      <c r="W47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7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70" s="117">
        <v>46033.82916666667</v>
      </c>
      <c r="Z470" s="118">
        <v>46033.916666666664</v>
      </c>
      <c r="AA470" s="119" t="s">
        <v>208</v>
      </c>
      <c r="AB470" s="119"/>
      <c r="AC470" s="115" t="s">
        <v>301</v>
      </c>
      <c r="AD470" s="117" t="s">
        <v>146</v>
      </c>
      <c r="AE470" s="117" t="s">
        <v>182</v>
      </c>
      <c r="AF470" s="122" t="s">
        <v>210</v>
      </c>
      <c r="AG470" s="123">
        <f>IF(TAB_HISTORICO_MANUT[[#This Row],[Hora Inicio]]="","",MONTH(TAB_HISTORICO_MANUT[[#This Row],[Hora Inicio]]))</f>
        <v>1</v>
      </c>
      <c r="AH470" s="120" t="s">
        <v>342</v>
      </c>
      <c r="AI470" s="115" t="s">
        <v>340</v>
      </c>
      <c r="AJ470" s="115" t="s">
        <v>341</v>
      </c>
      <c r="AK470" s="115"/>
      <c r="AL470" s="115"/>
      <c r="AM470" s="121"/>
      <c r="AN470" s="115"/>
      <c r="AO470" s="115"/>
      <c r="AP470" s="115"/>
    </row>
    <row r="471" spans="1:42" ht="50.1" customHeight="1" x14ac:dyDescent="0.25">
      <c r="A471" s="115">
        <f>MONTH(TAB_HISTORICO_MANUT[[#This Row],[Hora Final]])-MONTH(TAB_HISTORICO_MANUT[[#This Row],[Hora Inicio]])</f>
        <v>0</v>
      </c>
      <c r="B471" s="116"/>
      <c r="C471" s="115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Inicio]]=Z470,TAB_HISTORICO_MANUT[[#This Row],[Equipamento]]=AA470,TAB_HISTORICO_MANUT[[#This Row],[Descricao Despacho]]=AD470),0,1)))</f>
        <v>0</v>
      </c>
      <c r="O47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47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47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471" s="107">
        <f>IF($Q471="","",(TAB_HISTORICO_MANUT[[#This Row],[Hora Final]]-TAB_HISTORICO_MANUT[[#This Row],[Hora Inicio]])*24)</f>
        <v>6</v>
      </c>
      <c r="S47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71" s="109" t="str">
        <f>IF(AND(TAB_HISTORICO_MANUT[[#This Row],[EXPURGO Mãe]]="SIM",TAB_HISTORICO_MANUT[[#This Row],[Tipo]]="MÃE"),"EXP.MAE",IF(TAB_HISTORICO_MANUT[[#This Row],[EXPURGO Mãe]]="NÃO","NÃO EXP.MAE",T470))</f>
        <v>NÃO EXP.MAE</v>
      </c>
      <c r="U47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71" s="110">
        <f>IF(TAB_HISTORICO_MANUT[[#This Row],[EXPURGO Filhas]]="SIM",MAX(TAB_HISTORICO_MANUT[[#This Row],[Hora Final]]-TAB_HISTORICO_MANUT[[#This Row],[Hora Inicio]],0),0)</f>
        <v>0</v>
      </c>
      <c r="W47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7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71" s="117">
        <v>46033.916666666664</v>
      </c>
      <c r="Z471" s="118">
        <v>46034.166666666664</v>
      </c>
      <c r="AA471" s="119" t="s">
        <v>208</v>
      </c>
      <c r="AB471" s="119"/>
      <c r="AC471" s="115" t="s">
        <v>301</v>
      </c>
      <c r="AD471" s="117" t="s">
        <v>146</v>
      </c>
      <c r="AE471" s="117" t="s">
        <v>310</v>
      </c>
      <c r="AF471" s="122" t="s">
        <v>210</v>
      </c>
      <c r="AG471" s="123">
        <f>IF(TAB_HISTORICO_MANUT[[#This Row],[Hora Inicio]]="","",MONTH(TAB_HISTORICO_MANUT[[#This Row],[Hora Inicio]]))</f>
        <v>1</v>
      </c>
      <c r="AH471" s="120" t="s">
        <v>342</v>
      </c>
      <c r="AI471" s="115" t="s">
        <v>340</v>
      </c>
      <c r="AJ471" s="115" t="s">
        <v>341</v>
      </c>
      <c r="AK471" s="115"/>
      <c r="AL471" s="115"/>
      <c r="AM471" s="121"/>
      <c r="AN471" s="115"/>
      <c r="AO471" s="115"/>
      <c r="AP471" s="115"/>
    </row>
    <row r="472" spans="1:42" ht="50.1" customHeight="1" x14ac:dyDescent="0.25">
      <c r="A472" s="115">
        <f>MONTH(TAB_HISTORICO_MANUT[[#This Row],[Hora Final]])-MONTH(TAB_HISTORICO_MANUT[[#This Row],[Hora Inicio]])</f>
        <v>0</v>
      </c>
      <c r="B472" s="116"/>
      <c r="C472" s="115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Inicio]]=Z471,TAB_HISTORICO_MANUT[[#This Row],[Equipamento]]=AA471,TAB_HISTORICO_MANUT[[#This Row],[Descricao Despacho]]=AD471),0,1)))</f>
        <v>0</v>
      </c>
      <c r="O47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47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47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472" s="107">
        <f>IF($Q472="","",(TAB_HISTORICO_MANUT[[#This Row],[Hora Final]]-TAB_HISTORICO_MANUT[[#This Row],[Hora Inicio]])*24)</f>
        <v>2.0000000000582077</v>
      </c>
      <c r="S47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472" s="109" t="str">
        <f>IF(AND(TAB_HISTORICO_MANUT[[#This Row],[EXPURGO Mãe]]="SIM",TAB_HISTORICO_MANUT[[#This Row],[Tipo]]="MÃE"),"EXP.MAE",IF(TAB_HISTORICO_MANUT[[#This Row],[EXPURGO Mãe]]="NÃO","NÃO EXP.MAE",T471))</f>
        <v>EXP.MAE</v>
      </c>
      <c r="U47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72" s="110">
        <f>IF(TAB_HISTORICO_MANUT[[#This Row],[EXPURGO Filhas]]="SIM",MAX(TAB_HISTORICO_MANUT[[#This Row],[Hora Final]]-TAB_HISTORICO_MANUT[[#This Row],[Hora Inicio]],0),0)</f>
        <v>0</v>
      </c>
      <c r="W47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7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72" s="117">
        <v>46034.166666666664</v>
      </c>
      <c r="Z472" s="118">
        <v>46034.25</v>
      </c>
      <c r="AA472" s="119" t="s">
        <v>208</v>
      </c>
      <c r="AB472" s="119"/>
      <c r="AC472" s="115" t="s">
        <v>301</v>
      </c>
      <c r="AD472" s="117" t="s">
        <v>146</v>
      </c>
      <c r="AE472" s="117" t="s">
        <v>177</v>
      </c>
      <c r="AF472" s="122" t="s">
        <v>210</v>
      </c>
      <c r="AG472" s="123">
        <f>IF(TAB_HISTORICO_MANUT[[#This Row],[Hora Inicio]]="","",MONTH(TAB_HISTORICO_MANUT[[#This Row],[Hora Inicio]]))</f>
        <v>1</v>
      </c>
      <c r="AH472" s="120" t="s">
        <v>342</v>
      </c>
      <c r="AI472" s="115" t="s">
        <v>340</v>
      </c>
      <c r="AJ472" s="115" t="s">
        <v>341</v>
      </c>
      <c r="AK472" s="115"/>
      <c r="AL472" s="115"/>
      <c r="AM472" s="121"/>
      <c r="AN472" s="115"/>
      <c r="AO472" s="115"/>
      <c r="AP472" s="115"/>
    </row>
    <row r="473" spans="1:42" ht="50.1" customHeight="1" x14ac:dyDescent="0.25">
      <c r="A473" s="115">
        <f>MONTH(TAB_HISTORICO_MANUT[[#This Row],[Hora Final]])-MONTH(TAB_HISTORICO_MANUT[[#This Row],[Hora Inicio]])</f>
        <v>0</v>
      </c>
      <c r="B473" s="116"/>
      <c r="C473" s="115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Inicio]]=Z472,TAB_HISTORICO_MANUT[[#This Row],[Equipamento]]=AA472,TAB_HISTORICO_MANUT[[#This Row],[Descricao Despacho]]=AD472),0,1)))</f>
        <v>0</v>
      </c>
      <c r="O47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47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47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473" s="107">
        <f>IF($Q473="","",(TAB_HISTORICO_MANUT[[#This Row],[Hora Final]]-TAB_HISTORICO_MANUT[[#This Row],[Hora Inicio]])*24)</f>
        <v>10.183333333348855</v>
      </c>
      <c r="S47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73" s="109" t="str">
        <f>IF(AND(TAB_HISTORICO_MANUT[[#This Row],[EXPURGO Mãe]]="SIM",TAB_HISTORICO_MANUT[[#This Row],[Tipo]]="MÃE"),"EXP.MAE",IF(TAB_HISTORICO_MANUT[[#This Row],[EXPURGO Mãe]]="NÃO","NÃO EXP.MAE",T472))</f>
        <v>NÃO EXP.MAE</v>
      </c>
      <c r="U47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73" s="110">
        <f>IF(TAB_HISTORICO_MANUT[[#This Row],[EXPURGO Filhas]]="SIM",MAX(TAB_HISTORICO_MANUT[[#This Row],[Hora Final]]-TAB_HISTORICO_MANUT[[#This Row],[Hora Inicio]],0),0)</f>
        <v>0</v>
      </c>
      <c r="W47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7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73" s="117">
        <v>46034.25</v>
      </c>
      <c r="Z473" s="118">
        <v>46034.674305555556</v>
      </c>
      <c r="AA473" s="119" t="s">
        <v>208</v>
      </c>
      <c r="AB473" s="119"/>
      <c r="AC473" s="115" t="s">
        <v>301</v>
      </c>
      <c r="AD473" s="117" t="s">
        <v>146</v>
      </c>
      <c r="AE473" s="117" t="s">
        <v>310</v>
      </c>
      <c r="AF473" s="122" t="s">
        <v>210</v>
      </c>
      <c r="AG473" s="123">
        <f>IF(TAB_HISTORICO_MANUT[[#This Row],[Hora Inicio]]="","",MONTH(TAB_HISTORICO_MANUT[[#This Row],[Hora Inicio]]))</f>
        <v>1</v>
      </c>
      <c r="AH473" s="120" t="s">
        <v>342</v>
      </c>
      <c r="AI473" s="115" t="s">
        <v>340</v>
      </c>
      <c r="AJ473" s="115" t="s">
        <v>341</v>
      </c>
      <c r="AK473" s="115"/>
      <c r="AL473" s="115"/>
      <c r="AM473" s="121"/>
      <c r="AN473" s="115"/>
      <c r="AO473" s="115"/>
      <c r="AP473" s="115"/>
    </row>
    <row r="474" spans="1:42" ht="50.1" customHeight="1" x14ac:dyDescent="0.25">
      <c r="A474" s="115">
        <f>MONTH(TAB_HISTORICO_MANUT[[#This Row],[Hora Final]])-MONTH(TAB_HISTORICO_MANUT[[#This Row],[Hora Inicio]])</f>
        <v>0</v>
      </c>
      <c r="B474" s="116"/>
      <c r="C474" s="115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Inicio]]=Z473,TAB_HISTORICO_MANUT[[#This Row],[Equipamento]]=AA473,TAB_HISTORICO_MANUT[[#This Row],[Descricao Despacho]]=AD473),0,1)))</f>
        <v>0</v>
      </c>
      <c r="O47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47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47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474" s="107">
        <f>IF($Q474="","",(TAB_HISTORICO_MANUT[[#This Row],[Hora Final]]-TAB_HISTORICO_MANUT[[#This Row],[Hora Inicio]])*24)</f>
        <v>1.2333333333372138</v>
      </c>
      <c r="S47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474" s="109" t="str">
        <f>IF(AND(TAB_HISTORICO_MANUT[[#This Row],[EXPURGO Mãe]]="SIM",TAB_HISTORICO_MANUT[[#This Row],[Tipo]]="MÃE"),"EXP.MAE",IF(TAB_HISTORICO_MANUT[[#This Row],[EXPURGO Mãe]]="NÃO","NÃO EXP.MAE",T473))</f>
        <v>EXP.MAE</v>
      </c>
      <c r="U47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74" s="110">
        <f>IF(TAB_HISTORICO_MANUT[[#This Row],[EXPURGO Filhas]]="SIM",MAX(TAB_HISTORICO_MANUT[[#This Row],[Hora Final]]-TAB_HISTORICO_MANUT[[#This Row],[Hora Inicio]],0),0)</f>
        <v>0</v>
      </c>
      <c r="W47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7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74" s="117">
        <v>46034.674305555556</v>
      </c>
      <c r="Z474" s="118">
        <v>46034.725694444445</v>
      </c>
      <c r="AA474" s="119" t="s">
        <v>208</v>
      </c>
      <c r="AB474" s="119"/>
      <c r="AC474" s="115" t="s">
        <v>301</v>
      </c>
      <c r="AD474" s="117" t="s">
        <v>146</v>
      </c>
      <c r="AE474" s="117" t="s">
        <v>182</v>
      </c>
      <c r="AF474" s="122" t="s">
        <v>210</v>
      </c>
      <c r="AG474" s="123">
        <f>IF(TAB_HISTORICO_MANUT[[#This Row],[Hora Inicio]]="","",MONTH(TAB_HISTORICO_MANUT[[#This Row],[Hora Inicio]]))</f>
        <v>1</v>
      </c>
      <c r="AH474" s="120" t="s">
        <v>342</v>
      </c>
      <c r="AI474" s="115" t="s">
        <v>340</v>
      </c>
      <c r="AJ474" s="115" t="s">
        <v>341</v>
      </c>
      <c r="AK474" s="115"/>
      <c r="AL474" s="115"/>
      <c r="AM474" s="121"/>
      <c r="AN474" s="115"/>
      <c r="AO474" s="115"/>
      <c r="AP474" s="115"/>
    </row>
    <row r="475" spans="1:42" ht="50.1" customHeight="1" x14ac:dyDescent="0.25">
      <c r="A475" s="115">
        <f>MONTH(TAB_HISTORICO_MANUT[[#This Row],[Hora Final]])-MONTH(TAB_HISTORICO_MANUT[[#This Row],[Hora Inicio]])</f>
        <v>0</v>
      </c>
      <c r="B475" s="116"/>
      <c r="C475" s="115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Inicio]]=Z474,TAB_HISTORICO_MANUT[[#This Row],[Equipamento]]=AA474,TAB_HISTORICO_MANUT[[#This Row],[Descricao Despacho]]=AD474),0,1)))</f>
        <v>0</v>
      </c>
      <c r="O47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47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47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475" s="107">
        <f>IF($Q475="","",(TAB_HISTORICO_MANUT[[#This Row],[Hora Final]]-TAB_HISTORICO_MANUT[[#This Row],[Hora Inicio]])*24)</f>
        <v>0.62277777772396803</v>
      </c>
      <c r="S47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75" s="109" t="str">
        <f>IF(AND(TAB_HISTORICO_MANUT[[#This Row],[EXPURGO Mãe]]="SIM",TAB_HISTORICO_MANUT[[#This Row],[Tipo]]="MÃE"),"EXP.MAE",IF(TAB_HISTORICO_MANUT[[#This Row],[EXPURGO Mãe]]="NÃO","NÃO EXP.MAE",T474))</f>
        <v>NÃO EXP.MAE</v>
      </c>
      <c r="U47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75" s="110">
        <f>IF(TAB_HISTORICO_MANUT[[#This Row],[EXPURGO Filhas]]="SIM",MAX(TAB_HISTORICO_MANUT[[#This Row],[Hora Final]]-TAB_HISTORICO_MANUT[[#This Row],[Hora Inicio]],0),0)</f>
        <v>0</v>
      </c>
      <c r="W47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7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75" s="117">
        <v>46034.725694444445</v>
      </c>
      <c r="Z475" s="118">
        <v>46034.751643518517</v>
      </c>
      <c r="AA475" s="119" t="s">
        <v>208</v>
      </c>
      <c r="AB475" s="119"/>
      <c r="AC475" s="115" t="s">
        <v>301</v>
      </c>
      <c r="AD475" s="117" t="s">
        <v>146</v>
      </c>
      <c r="AE475" s="117" t="s">
        <v>310</v>
      </c>
      <c r="AF475" s="122" t="s">
        <v>210</v>
      </c>
      <c r="AG475" s="123">
        <f>IF(TAB_HISTORICO_MANUT[[#This Row],[Hora Inicio]]="","",MONTH(TAB_HISTORICO_MANUT[[#This Row],[Hora Inicio]]))</f>
        <v>1</v>
      </c>
      <c r="AH475" s="120" t="s">
        <v>342</v>
      </c>
      <c r="AI475" s="115" t="s">
        <v>340</v>
      </c>
      <c r="AJ475" s="115" t="s">
        <v>341</v>
      </c>
      <c r="AK475" s="115"/>
      <c r="AL475" s="115"/>
      <c r="AM475" s="121"/>
      <c r="AN475" s="115"/>
      <c r="AO475" s="115"/>
      <c r="AP475" s="115"/>
    </row>
    <row r="476" spans="1:42" ht="50.1" customHeight="1" x14ac:dyDescent="0.25">
      <c r="A476" s="115">
        <f>MONTH(TAB_HISTORICO_MANUT[[#This Row],[Hora Final]])-MONTH(TAB_HISTORICO_MANUT[[#This Row],[Hora Inicio]])</f>
        <v>0</v>
      </c>
      <c r="B476" s="116"/>
      <c r="C476" s="115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Inicio]]=Z475,TAB_HISTORICO_MANUT[[#This Row],[Equipamento]]=AA475,TAB_HISTORICO_MANUT[[#This Row],[Descricao Despacho]]=AD475),0,1)))</f>
        <v>1</v>
      </c>
      <c r="O47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AR CONDICIONADO</v>
      </c>
      <c r="P47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7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76" s="107">
        <f>IF($Q476="","",(TAB_HISTORICO_MANUT[[#This Row],[Hora Final]]-TAB_HISTORICO_MANUT[[#This Row],[Hora Inicio]])*24)</f>
        <v>27.525555555475876</v>
      </c>
      <c r="S47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76" s="109" t="str">
        <f>IF(AND(TAB_HISTORICO_MANUT[[#This Row],[EXPURGO Mãe]]="SIM",TAB_HISTORICO_MANUT[[#This Row],[Tipo]]="MÃE"),"EXP.MAE",IF(TAB_HISTORICO_MANUT[[#This Row],[EXPURGO Mãe]]="NÃO","NÃO EXP.MAE",T475))</f>
        <v>NÃO EXP.MAE</v>
      </c>
      <c r="U47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76" s="110">
        <f>IF(TAB_HISTORICO_MANUT[[#This Row],[EXPURGO Filhas]]="SIM",MAX(TAB_HISTORICO_MANUT[[#This Row],[Hora Final]]-TAB_HISTORICO_MANUT[[#This Row],[Hora Inicio]],0),0)</f>
        <v>0</v>
      </c>
      <c r="W47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7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76" s="117">
        <v>46038.807627314818</v>
      </c>
      <c r="Z476" s="118">
        <v>46039.954525462963</v>
      </c>
      <c r="AA476" s="119" t="s">
        <v>208</v>
      </c>
      <c r="AB476" s="119" t="s">
        <v>365</v>
      </c>
      <c r="AC476" s="115" t="s">
        <v>204</v>
      </c>
      <c r="AD476" s="117" t="s">
        <v>144</v>
      </c>
      <c r="AE476" s="117" t="s">
        <v>172</v>
      </c>
      <c r="AF476" s="122" t="s">
        <v>210</v>
      </c>
      <c r="AG476" s="123">
        <f>IF(TAB_HISTORICO_MANUT[[#This Row],[Hora Inicio]]="","",MONTH(TAB_HISTORICO_MANUT[[#This Row],[Hora Inicio]]))</f>
        <v>1</v>
      </c>
      <c r="AH476" s="120" t="s">
        <v>377</v>
      </c>
      <c r="AI476" s="115" t="s">
        <v>37</v>
      </c>
      <c r="AJ476" s="115" t="s">
        <v>273</v>
      </c>
      <c r="AK476" s="115" t="s">
        <v>274</v>
      </c>
      <c r="AL476" s="115" t="s">
        <v>297</v>
      </c>
      <c r="AM476" s="121" t="s">
        <v>276</v>
      </c>
      <c r="AN476" s="115" t="s">
        <v>217</v>
      </c>
      <c r="AO476" s="115" t="s">
        <v>216</v>
      </c>
      <c r="AP476" s="115" t="s">
        <v>401</v>
      </c>
    </row>
    <row r="477" spans="1:42" ht="50.1" customHeight="1" x14ac:dyDescent="0.25">
      <c r="A477" s="115">
        <f>MONTH(TAB_HISTORICO_MANUT[[#This Row],[Hora Final]])-MONTH(TAB_HISTORICO_MANUT[[#This Row],[Hora Inicio]])</f>
        <v>0</v>
      </c>
      <c r="B477" s="116"/>
      <c r="C477" s="115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Inicio]]=Z476,TAB_HISTORICO_MANUT[[#This Row],[Equipamento]]=AA476,TAB_HISTORICO_MANUT[[#This Row],[Descricao Despacho]]=AD476),0,1)))</f>
        <v/>
      </c>
      <c r="O47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477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47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477" s="107" t="str">
        <f>IF($Q477="","",(TAB_HISTORICO_MANUT[[#This Row],[Hora Final]]-TAB_HISTORICO_MANUT[[#This Row],[Hora Inicio]])*24)</f>
        <v/>
      </c>
      <c r="S47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477" s="109" t="str">
        <f>IF(AND(TAB_HISTORICO_MANUT[[#This Row],[EXPURGO Mãe]]="SIM",TAB_HISTORICO_MANUT[[#This Row],[Tipo]]="MÃE"),"EXP.MAE",IF(TAB_HISTORICO_MANUT[[#This Row],[EXPURGO Mãe]]="NÃO","NÃO EXP.MAE",T476))</f>
        <v>NÃO EXP.MAE</v>
      </c>
      <c r="U47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477" s="110">
        <f>IF(TAB_HISTORICO_MANUT[[#This Row],[EXPURGO Filhas]]="SIM",MAX(TAB_HISTORICO_MANUT[[#This Row],[Hora Final]]-TAB_HISTORICO_MANUT[[#This Row],[Hora Inicio]],0),0)</f>
        <v>2.0138888889050577E-2</v>
      </c>
      <c r="W47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7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77" s="117">
        <v>46039.396527777775</v>
      </c>
      <c r="Z477" s="118">
        <v>46039.416666666664</v>
      </c>
      <c r="AA477" s="119" t="s">
        <v>208</v>
      </c>
      <c r="AB477" s="119" t="s">
        <v>365</v>
      </c>
      <c r="AC477" s="115" t="s">
        <v>204</v>
      </c>
      <c r="AD477" s="117" t="s">
        <v>144</v>
      </c>
      <c r="AE477" s="117" t="s">
        <v>231</v>
      </c>
      <c r="AF477" s="122" t="s">
        <v>767</v>
      </c>
      <c r="AG477" s="123">
        <f>IF(TAB_HISTORICO_MANUT[[#This Row],[Hora Inicio]]="","",MONTH(TAB_HISTORICO_MANUT[[#This Row],[Hora Inicio]]))</f>
        <v>1</v>
      </c>
      <c r="AH477" s="120" t="s">
        <v>377</v>
      </c>
      <c r="AI477" s="115" t="s">
        <v>37</v>
      </c>
      <c r="AJ477" s="115" t="s">
        <v>273</v>
      </c>
      <c r="AK477" s="115" t="s">
        <v>274</v>
      </c>
      <c r="AL477" s="115" t="s">
        <v>297</v>
      </c>
      <c r="AM477" s="121" t="s">
        <v>276</v>
      </c>
      <c r="AN477" s="115" t="s">
        <v>217</v>
      </c>
      <c r="AO477" s="115" t="s">
        <v>216</v>
      </c>
      <c r="AP477" s="115" t="s">
        <v>401</v>
      </c>
    </row>
    <row r="478" spans="1:42" ht="50.1" customHeight="1" x14ac:dyDescent="0.25">
      <c r="A478" s="43">
        <f>MONTH(TAB_HISTORICO_MANUT[[#This Row],[Hora Final]])-MONTH(TAB_HISTORICO_MANUT[[#This Row],[Hora Inicio]])</f>
        <v>0</v>
      </c>
      <c r="B478" s="42"/>
      <c r="C478" s="43"/>
      <c r="D478" s="42"/>
      <c r="E478" s="42"/>
      <c r="F478" s="42"/>
      <c r="G478" s="42"/>
      <c r="H478" s="42"/>
      <c r="I478" s="116"/>
      <c r="J478" s="116"/>
      <c r="K478" s="116"/>
      <c r="L478" s="116"/>
      <c r="M478" s="116"/>
      <c r="N47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Inicio]]=Z477,TAB_HISTORICO_MANUT[[#This Row],[Equipamento]]=AA477,TAB_HISTORICO_MANUT[[#This Row],[Descricao Despacho]]=AD477),0,1)))</f>
        <v>1</v>
      </c>
      <c r="O47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47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7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78" s="107">
        <f>IF($Q478="","",(TAB_HISTORICO_MANUT[[#This Row],[Hora Final]]-TAB_HISTORICO_MANUT[[#This Row],[Hora Inicio]])*24)</f>
        <v>2.4755555555457249</v>
      </c>
      <c r="S47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78" s="109" t="str">
        <f>IF(AND(TAB_HISTORICO_MANUT[[#This Row],[EXPURGO Mãe]]="SIM",TAB_HISTORICO_MANUT[[#This Row],[Tipo]]="MÃE"),"EXP.MAE",IF(TAB_HISTORICO_MANUT[[#This Row],[EXPURGO Mãe]]="NÃO","NÃO EXP.MAE",T477))</f>
        <v>NÃO EXP.MAE</v>
      </c>
      <c r="U47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78" s="110">
        <f>IF(TAB_HISTORICO_MANUT[[#This Row],[EXPURGO Filhas]]="SIM",MAX(TAB_HISTORICO_MANUT[[#This Row],[Hora Final]]-TAB_HISTORICO_MANUT[[#This Row],[Hora Inicio]],0),0)</f>
        <v>0</v>
      </c>
      <c r="W47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7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78" s="46">
        <v>46046.110543981478</v>
      </c>
      <c r="Z478" s="47">
        <v>46046.213692129626</v>
      </c>
      <c r="AA478" s="48" t="s">
        <v>208</v>
      </c>
      <c r="AB478" s="48" t="s">
        <v>372</v>
      </c>
      <c r="AC478" s="43" t="s">
        <v>204</v>
      </c>
      <c r="AD478" s="46" t="s">
        <v>144</v>
      </c>
      <c r="AE478" s="46" t="s">
        <v>172</v>
      </c>
      <c r="AF478" s="122" t="s">
        <v>210</v>
      </c>
      <c r="AG478" s="105">
        <f>IF(TAB_HISTORICO_MANUT[[#This Row],[Hora Inicio]]="","",MONTH(TAB_HISTORICO_MANUT[[#This Row],[Hora Inicio]]))</f>
        <v>1</v>
      </c>
      <c r="AH478" s="58" t="s">
        <v>390</v>
      </c>
      <c r="AI478" s="43" t="s">
        <v>235</v>
      </c>
      <c r="AJ478" s="43" t="s">
        <v>223</v>
      </c>
      <c r="AK478" s="43" t="s">
        <v>422</v>
      </c>
      <c r="AL478" s="43" t="s">
        <v>279</v>
      </c>
      <c r="AM478" s="114" t="s">
        <v>280</v>
      </c>
      <c r="AN478" s="43" t="s">
        <v>217</v>
      </c>
      <c r="AO478" s="43" t="s">
        <v>410</v>
      </c>
      <c r="AP478" s="43" t="s">
        <v>403</v>
      </c>
    </row>
    <row r="479" spans="1:42" ht="50.1" customHeight="1" x14ac:dyDescent="0.25">
      <c r="A479" s="115">
        <f>MONTH(TAB_HISTORICO_MANUT[[#This Row],[Hora Final]])-MONTH(TAB_HISTORICO_MANUT[[#This Row],[Hora Inicio]])</f>
        <v>0</v>
      </c>
      <c r="B479" s="116"/>
      <c r="C479" s="115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Inicio]]=Z478,TAB_HISTORICO_MANUT[[#This Row],[Equipamento]]=AA478,TAB_HISTORICO_MANUT[[#This Row],[Descricao Despacho]]=AD478),0,1)))</f>
        <v/>
      </c>
      <c r="O47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479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47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479" s="107" t="str">
        <f>IF($Q479="","",(TAB_HISTORICO_MANUT[[#This Row],[Hora Final]]-TAB_HISTORICO_MANUT[[#This Row],[Hora Inicio]])*24)</f>
        <v/>
      </c>
      <c r="S47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479" s="109" t="str">
        <f>IF(AND(TAB_HISTORICO_MANUT[[#This Row],[EXPURGO Mãe]]="SIM",TAB_HISTORICO_MANUT[[#This Row],[Tipo]]="MÃE"),"EXP.MAE",IF(TAB_HISTORICO_MANUT[[#This Row],[EXPURGO Mãe]]="NÃO","NÃO EXP.MAE",T478))</f>
        <v>NÃO EXP.MAE</v>
      </c>
      <c r="U47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479" s="110">
        <f>IF(TAB_HISTORICO_MANUT[[#This Row],[EXPURGO Filhas]]="SIM",MAX(TAB_HISTORICO_MANUT[[#This Row],[Hora Final]]-TAB_HISTORICO_MANUT[[#This Row],[Hora Inicio]],0),0)</f>
        <v>9.0000000003783498E-2</v>
      </c>
      <c r="W47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7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79" s="117">
        <v>46046.118055555555</v>
      </c>
      <c r="Z479" s="118">
        <v>46046.208055555559</v>
      </c>
      <c r="AA479" s="119" t="s">
        <v>208</v>
      </c>
      <c r="AB479" s="119" t="s">
        <v>372</v>
      </c>
      <c r="AC479" s="115" t="s">
        <v>204</v>
      </c>
      <c r="AD479" s="117" t="s">
        <v>144</v>
      </c>
      <c r="AE479" s="117" t="s">
        <v>177</v>
      </c>
      <c r="AF479" s="122" t="s">
        <v>767</v>
      </c>
      <c r="AG479" s="123">
        <f>IF(TAB_HISTORICO_MANUT[[#This Row],[Hora Inicio]]="","",MONTH(TAB_HISTORICO_MANUT[[#This Row],[Hora Inicio]]))</f>
        <v>1</v>
      </c>
      <c r="AH479" s="120" t="s">
        <v>390</v>
      </c>
      <c r="AI479" s="115" t="s">
        <v>235</v>
      </c>
      <c r="AJ479" s="115" t="s">
        <v>223</v>
      </c>
      <c r="AK479" s="115" t="s">
        <v>422</v>
      </c>
      <c r="AL479" s="115" t="s">
        <v>279</v>
      </c>
      <c r="AM479" s="121" t="s">
        <v>280</v>
      </c>
      <c r="AN479" s="115" t="s">
        <v>217</v>
      </c>
      <c r="AO479" s="115" t="s">
        <v>410</v>
      </c>
      <c r="AP479" s="115" t="s">
        <v>403</v>
      </c>
    </row>
    <row r="480" spans="1:42" ht="50.1" customHeight="1" x14ac:dyDescent="0.25">
      <c r="A480" s="115">
        <f>MONTH(TAB_HISTORICO_MANUT[[#This Row],[Hora Final]])-MONTH(TAB_HISTORICO_MANUT[[#This Row],[Hora Inicio]])</f>
        <v>0</v>
      </c>
      <c r="B480" s="116"/>
      <c r="C480" s="115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Inicio]]=Z479,TAB_HISTORICO_MANUT[[#This Row],[Equipamento]]=AA479,TAB_HISTORICO_MANUT[[#This Row],[Descricao Despacho]]=AD479),0,1)))</f>
        <v>1</v>
      </c>
      <c r="O48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48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48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480" s="107">
        <f>IF($Q480="","",(TAB_HISTORICO_MANUT[[#This Row],[Hora Final]]-TAB_HISTORICO_MANUT[[#This Row],[Hora Inicio]])*24)</f>
        <v>8.6002777777612209</v>
      </c>
      <c r="S48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80" s="109" t="str">
        <f>IF(AND(TAB_HISTORICO_MANUT[[#This Row],[EXPURGO Mãe]]="SIM",TAB_HISTORICO_MANUT[[#This Row],[Tipo]]="MÃE"),"EXP.MAE",IF(TAB_HISTORICO_MANUT[[#This Row],[EXPURGO Mãe]]="NÃO","NÃO EXP.MAE",T479))</f>
        <v>NÃO EXP.MAE</v>
      </c>
      <c r="U48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80" s="110">
        <f>IF(TAB_HISTORICO_MANUT[[#This Row],[EXPURGO Filhas]]="SIM",MAX(TAB_HISTORICO_MANUT[[#This Row],[Hora Final]]-TAB_HISTORICO_MANUT[[#This Row],[Hora Inicio]],0),0)</f>
        <v>0</v>
      </c>
      <c r="W48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8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80" s="117">
        <v>46048.32304398148</v>
      </c>
      <c r="Z480" s="118">
        <v>46048.681388888886</v>
      </c>
      <c r="AA480" s="119" t="s">
        <v>208</v>
      </c>
      <c r="AB480" s="119"/>
      <c r="AC480" s="115" t="s">
        <v>481</v>
      </c>
      <c r="AD480" s="117" t="s">
        <v>146</v>
      </c>
      <c r="AE480" s="117" t="s">
        <v>480</v>
      </c>
      <c r="AF480" s="122" t="s">
        <v>210</v>
      </c>
      <c r="AG480" s="123">
        <f>IF(TAB_HISTORICO_MANUT[[#This Row],[Hora Inicio]]="","",MONTH(TAB_HISTORICO_MANUT[[#This Row],[Hora Inicio]]))</f>
        <v>1</v>
      </c>
      <c r="AH480" s="120" t="s">
        <v>482</v>
      </c>
      <c r="AI480" s="115" t="s">
        <v>21</v>
      </c>
      <c r="AJ480" s="115"/>
      <c r="AK480" s="115"/>
      <c r="AL480" s="115"/>
      <c r="AM480" s="121"/>
      <c r="AN480" s="115"/>
      <c r="AO480" s="115"/>
      <c r="AP480" s="115"/>
    </row>
    <row r="481" spans="1:42" ht="50.1" customHeight="1" x14ac:dyDescent="0.25">
      <c r="A481" s="115">
        <f>MONTH(TAB_HISTORICO_MANUT[[#This Row],[Hora Final]])-MONTH(TAB_HISTORICO_MANUT[[#This Row],[Hora Inicio]])</f>
        <v>0</v>
      </c>
      <c r="B481" s="116"/>
      <c r="C481" s="115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 t="s">
        <v>98</v>
      </c>
      <c r="N481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Inicio]]=Z480,TAB_HISTORICO_MANUT[[#This Row],[Equipamento]]=AA480,TAB_HISTORICO_MANUT[[#This Row],[Descricao Despacho]]=AD480),0,1)))</f>
        <v/>
      </c>
      <c r="O48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481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48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481" s="107" t="str">
        <f>IF($Q481="","",(TAB_HISTORICO_MANUT[[#This Row],[Hora Final]]-TAB_HISTORICO_MANUT[[#This Row],[Hora Inicio]])*24)</f>
        <v/>
      </c>
      <c r="S48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481" s="109" t="str">
        <f>IF(AND(TAB_HISTORICO_MANUT[[#This Row],[EXPURGO Mãe]]="SIM",TAB_HISTORICO_MANUT[[#This Row],[Tipo]]="MÃE"),"EXP.MAE",IF(TAB_HISTORICO_MANUT[[#This Row],[EXPURGO Mãe]]="NÃO","NÃO EXP.MAE",T480))</f>
        <v>NÃO EXP.MAE</v>
      </c>
      <c r="U48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481" s="110">
        <f>IF(TAB_HISTORICO_MANUT[[#This Row],[EXPURGO Filhas]]="SIM",MAX(TAB_HISTORICO_MANUT[[#This Row],[Hora Final]]-TAB_HISTORICO_MANUT[[#This Row],[Hora Inicio]],0),0)</f>
        <v>0.15838844907557359</v>
      </c>
      <c r="W48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8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81" s="117">
        <v>46048.523000439811</v>
      </c>
      <c r="Z481" s="118">
        <v>46048.681388888886</v>
      </c>
      <c r="AA481" s="119" t="s">
        <v>208</v>
      </c>
      <c r="AB481" s="119"/>
      <c r="AC481" s="115" t="s">
        <v>481</v>
      </c>
      <c r="AD481" s="117" t="s">
        <v>146</v>
      </c>
      <c r="AE481" s="117" t="s">
        <v>480</v>
      </c>
      <c r="AF481" s="122" t="s">
        <v>767</v>
      </c>
      <c r="AG481" s="123">
        <f>IF(TAB_HISTORICO_MANUT[[#This Row],[Hora Inicio]]="","",MONTH(TAB_HISTORICO_MANUT[[#This Row],[Hora Inicio]]))</f>
        <v>1</v>
      </c>
      <c r="AH481" s="120" t="s">
        <v>482</v>
      </c>
      <c r="AI481" s="115" t="s">
        <v>21</v>
      </c>
      <c r="AJ481" s="115"/>
      <c r="AK481" s="115"/>
      <c r="AL481" s="115"/>
      <c r="AM481" s="121"/>
      <c r="AN481" s="115"/>
      <c r="AO481" s="115"/>
      <c r="AP481" s="115"/>
    </row>
    <row r="482" spans="1:42" ht="50.1" customHeight="1" x14ac:dyDescent="0.25">
      <c r="A482" s="115">
        <f>MONTH(TAB_HISTORICO_MANUT[[#This Row],[Hora Final]])-MONTH(TAB_HISTORICO_MANUT[[#This Row],[Hora Inicio]])</f>
        <v>0</v>
      </c>
      <c r="B482" s="116"/>
      <c r="C482" s="115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Inicio]]=Z481,TAB_HISTORICO_MANUT[[#This Row],[Equipamento]]=AA481,TAB_HISTORICO_MANUT[[#This Row],[Descricao Despacho]]=AD481),0,1)))</f>
        <v>1</v>
      </c>
      <c r="O48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48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48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482" s="107">
        <f>IF($Q482="","",(TAB_HISTORICO_MANUT[[#This Row],[Hora Final]]-TAB_HISTORICO_MANUT[[#This Row],[Hora Inicio]])*24)</f>
        <v>2.7022222222876735</v>
      </c>
      <c r="S48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82" s="109" t="str">
        <f>IF(AND(TAB_HISTORICO_MANUT[[#This Row],[EXPURGO Mãe]]="SIM",TAB_HISTORICO_MANUT[[#This Row],[Tipo]]="MÃE"),"EXP.MAE",IF(TAB_HISTORICO_MANUT[[#This Row],[EXPURGO Mãe]]="NÃO","NÃO EXP.MAE",T481))</f>
        <v>NÃO EXP.MAE</v>
      </c>
      <c r="U48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82" s="110">
        <f>IF(TAB_HISTORICO_MANUT[[#This Row],[EXPURGO Filhas]]="SIM",MAX(TAB_HISTORICO_MANUT[[#This Row],[Hora Final]]-TAB_HISTORICO_MANUT[[#This Row],[Hora Inicio]],0),0)</f>
        <v>0</v>
      </c>
      <c r="W48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8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82" s="117">
        <v>46048.696030092593</v>
      </c>
      <c r="Z482" s="118">
        <v>46048.808622685188</v>
      </c>
      <c r="AA482" s="119" t="s">
        <v>208</v>
      </c>
      <c r="AB482" s="119"/>
      <c r="AC482" s="115" t="s">
        <v>301</v>
      </c>
      <c r="AD482" s="117" t="s">
        <v>146</v>
      </c>
      <c r="AE482" s="117" t="s">
        <v>310</v>
      </c>
      <c r="AF482" s="122" t="s">
        <v>210</v>
      </c>
      <c r="AG482" s="123">
        <f>IF(TAB_HISTORICO_MANUT[[#This Row],[Hora Inicio]]="","",MONTH(TAB_HISTORICO_MANUT[[#This Row],[Hora Inicio]]))</f>
        <v>1</v>
      </c>
      <c r="AH482" s="120" t="s">
        <v>437</v>
      </c>
      <c r="AI482" s="115" t="s">
        <v>340</v>
      </c>
      <c r="AJ482" s="115" t="s">
        <v>436</v>
      </c>
      <c r="AK482" s="115"/>
      <c r="AL482" s="115"/>
      <c r="AM482" s="121"/>
      <c r="AN482" s="115"/>
      <c r="AO482" s="115"/>
      <c r="AP482" s="115"/>
    </row>
    <row r="483" spans="1:42" ht="50.1" customHeight="1" x14ac:dyDescent="0.25">
      <c r="A483" s="115">
        <f>MONTH(TAB_HISTORICO_MANUT[[#This Row],[Hora Final]])-MONTH(TAB_HISTORICO_MANUT[[#This Row],[Hora Inicio]])</f>
        <v>0</v>
      </c>
      <c r="B483" s="116"/>
      <c r="C483" s="115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Inicio]]=Z482,TAB_HISTORICO_MANUT[[#This Row],[Equipamento]]=AA482,TAB_HISTORICO_MANUT[[#This Row],[Descricao Despacho]]=AD482),0,1)))</f>
        <v>1</v>
      </c>
      <c r="O48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48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8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483" s="107">
        <f>IF($Q483="","",(TAB_HISTORICO_MANUT[[#This Row],[Hora Final]]-TAB_HISTORICO_MANUT[[#This Row],[Hora Inicio]])*24)</f>
        <v>0.68305555562255904</v>
      </c>
      <c r="S48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483" s="109" t="str">
        <f>IF(AND(TAB_HISTORICO_MANUT[[#This Row],[EXPURGO Mãe]]="SIM",TAB_HISTORICO_MANUT[[#This Row],[Tipo]]="MÃE"),"EXP.MAE",IF(TAB_HISTORICO_MANUT[[#This Row],[EXPURGO Mãe]]="NÃO","NÃO EXP.MAE",T482))</f>
        <v>EXP.MAE</v>
      </c>
      <c r="U48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83" s="110">
        <f>IF(TAB_HISTORICO_MANUT[[#This Row],[EXPURGO Filhas]]="SIM",MAX(TAB_HISTORICO_MANUT[[#This Row],[Hora Final]]-TAB_HISTORICO_MANUT[[#This Row],[Hora Inicio]],0),0)</f>
        <v>0</v>
      </c>
      <c r="W48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8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83" s="117">
        <v>46049.100682870368</v>
      </c>
      <c r="Z483" s="118">
        <v>46049.129143518519</v>
      </c>
      <c r="AA483" s="119" t="s">
        <v>208</v>
      </c>
      <c r="AB483" s="119" t="s">
        <v>375</v>
      </c>
      <c r="AC483" s="115" t="s">
        <v>212</v>
      </c>
      <c r="AD483" s="117" t="s">
        <v>144</v>
      </c>
      <c r="AE483" s="117" t="s">
        <v>214</v>
      </c>
      <c r="AF483" s="122" t="s">
        <v>210</v>
      </c>
      <c r="AG483" s="123">
        <f>IF(TAB_HISTORICO_MANUT[[#This Row],[Hora Inicio]]="","",MONTH(TAB_HISTORICO_MANUT[[#This Row],[Hora Inicio]]))</f>
        <v>1</v>
      </c>
      <c r="AH483" s="120" t="s">
        <v>397</v>
      </c>
      <c r="AI483" s="115" t="s">
        <v>82</v>
      </c>
      <c r="AJ483" s="115" t="s">
        <v>82</v>
      </c>
      <c r="AK483" s="115" t="s">
        <v>289</v>
      </c>
      <c r="AL483" s="115" t="s">
        <v>282</v>
      </c>
      <c r="AM483" s="121" t="s">
        <v>283</v>
      </c>
      <c r="AN483" s="115" t="s">
        <v>416</v>
      </c>
      <c r="AO483" s="115" t="s">
        <v>417</v>
      </c>
      <c r="AP483" s="115" t="s">
        <v>418</v>
      </c>
    </row>
    <row r="484" spans="1:42" ht="50.1" customHeight="1" x14ac:dyDescent="0.25">
      <c r="A484" s="115">
        <f>MONTH(TAB_HISTORICO_MANUT[[#This Row],[Hora Final]])-MONTH(TAB_HISTORICO_MANUT[[#This Row],[Hora Inicio]])</f>
        <v>0</v>
      </c>
      <c r="B484" s="116"/>
      <c r="C484" s="115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Inicio]]=Z483,TAB_HISTORICO_MANUT[[#This Row],[Equipamento]]=AA483,TAB_HISTORICO_MANUT[[#This Row],[Descricao Despacho]]=AD483),0,1)))</f>
        <v/>
      </c>
      <c r="O48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484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48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484" s="107" t="str">
        <f>IF($Q484="","",(TAB_HISTORICO_MANUT[[#This Row],[Hora Final]]-TAB_HISTORICO_MANUT[[#This Row],[Hora Inicio]])*24)</f>
        <v/>
      </c>
      <c r="S48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484" s="109" t="str">
        <f>IF(AND(TAB_HISTORICO_MANUT[[#This Row],[EXPURGO Mãe]]="SIM",TAB_HISTORICO_MANUT[[#This Row],[Tipo]]="MÃE"),"EXP.MAE",IF(TAB_HISTORICO_MANUT[[#This Row],[EXPURGO Mãe]]="NÃO","NÃO EXP.MAE",T483))</f>
        <v>EXP.MAE</v>
      </c>
      <c r="U48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84" s="110">
        <f>IF(TAB_HISTORICO_MANUT[[#This Row],[EXPURGO Filhas]]="SIM",MAX(TAB_HISTORICO_MANUT[[#This Row],[Hora Final]]-TAB_HISTORICO_MANUT[[#This Row],[Hora Inicio]],0),0)</f>
        <v>0</v>
      </c>
      <c r="W48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8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84" s="117">
        <v>46049.604166666664</v>
      </c>
      <c r="Z484" s="118">
        <v>46049.644166666665</v>
      </c>
      <c r="AA484" s="119" t="s">
        <v>208</v>
      </c>
      <c r="AB484" s="119" t="s">
        <v>376</v>
      </c>
      <c r="AC484" s="115" t="s">
        <v>204</v>
      </c>
      <c r="AD484" s="117" t="s">
        <v>144</v>
      </c>
      <c r="AE484" s="117" t="s">
        <v>772</v>
      </c>
      <c r="AF484" s="122" t="s">
        <v>767</v>
      </c>
      <c r="AG484" s="123">
        <f>IF(TAB_HISTORICO_MANUT[[#This Row],[Hora Inicio]]="","",MONTH(TAB_HISTORICO_MANUT[[#This Row],[Hora Inicio]]))</f>
        <v>1</v>
      </c>
      <c r="AH484" s="120" t="s">
        <v>399</v>
      </c>
      <c r="AI484" s="115" t="s">
        <v>23</v>
      </c>
      <c r="AJ484" s="115" t="s">
        <v>277</v>
      </c>
      <c r="AK484" s="115" t="s">
        <v>431</v>
      </c>
      <c r="AL484" s="115" t="s">
        <v>275</v>
      </c>
      <c r="AM484" s="121" t="s">
        <v>276</v>
      </c>
      <c r="AN484" s="115" t="s">
        <v>217</v>
      </c>
      <c r="AO484" s="115" t="s">
        <v>414</v>
      </c>
      <c r="AP484" s="115" t="s">
        <v>421</v>
      </c>
    </row>
    <row r="485" spans="1:42" ht="50.1" customHeight="1" x14ac:dyDescent="0.25">
      <c r="A485" s="43">
        <f>MONTH(TAB_HISTORICO_MANUT[[#This Row],[Hora Final]])-MONTH(TAB_HISTORICO_MANUT[[#This Row],[Hora Inicio]])</f>
        <v>0</v>
      </c>
      <c r="B485" s="42"/>
      <c r="C485" s="43"/>
      <c r="D485" s="42"/>
      <c r="E485" s="42"/>
      <c r="F485" s="42"/>
      <c r="G485" s="42"/>
      <c r="H485" s="42"/>
      <c r="I485" s="116"/>
      <c r="J485" s="116"/>
      <c r="K485" s="116"/>
      <c r="L485" s="116"/>
      <c r="M485" s="116"/>
      <c r="N48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Inicio]]=Z484,TAB_HISTORICO_MANUT[[#This Row],[Equipamento]]=AA484,TAB_HISTORICO_MANUT[[#This Row],[Descricao Despacho]]=AD484),0,1)))</f>
        <v>1</v>
      </c>
      <c r="O48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485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8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85" s="50">
        <f>IF($Q485="","",(TAB_HISTORICO_MANUT[[#This Row],[Hora Final]]-TAB_HISTORICO_MANUT[[#This Row],[Hora Inicio]])*24)</f>
        <v>3.594722222245764</v>
      </c>
      <c r="S48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85" s="54" t="str">
        <f>IF(AND(TAB_HISTORICO_MANUT[[#This Row],[EXPURGO Mãe]]="SIM",TAB_HISTORICO_MANUT[[#This Row],[Tipo]]="MÃE"),"EXP.MAE",IF(TAB_HISTORICO_MANUT[[#This Row],[EXPURGO Mãe]]="NÃO","NÃO EXP.MAE",T484))</f>
        <v>NÃO EXP.MAE</v>
      </c>
      <c r="U48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85" s="56">
        <f>IF(TAB_HISTORICO_MANUT[[#This Row],[EXPURGO Filhas]]="SIM",MAX(TAB_HISTORICO_MANUT[[#This Row],[Hora Final]]-TAB_HISTORICO_MANUT[[#This Row],[Hora Inicio]],0),0)</f>
        <v>0</v>
      </c>
      <c r="W48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8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85" s="46">
        <v>46049.63045138889</v>
      </c>
      <c r="Z485" s="47">
        <v>46049.780231481483</v>
      </c>
      <c r="AA485" s="48" t="s">
        <v>208</v>
      </c>
      <c r="AB485" s="48" t="s">
        <v>376</v>
      </c>
      <c r="AC485" s="43" t="s">
        <v>204</v>
      </c>
      <c r="AD485" s="46" t="s">
        <v>144</v>
      </c>
      <c r="AE485" s="46" t="s">
        <v>172</v>
      </c>
      <c r="AF485" s="122" t="s">
        <v>210</v>
      </c>
      <c r="AG485" s="105">
        <f>IF(TAB_HISTORICO_MANUT[[#This Row],[Hora Inicio]]="","",MONTH(TAB_HISTORICO_MANUT[[#This Row],[Hora Inicio]]))</f>
        <v>1</v>
      </c>
      <c r="AH485" s="58" t="s">
        <v>399</v>
      </c>
      <c r="AI485" s="43" t="s">
        <v>23</v>
      </c>
      <c r="AJ485" s="43" t="s">
        <v>277</v>
      </c>
      <c r="AK485" s="43" t="s">
        <v>431</v>
      </c>
      <c r="AL485" s="43" t="s">
        <v>275</v>
      </c>
      <c r="AM485" s="114" t="s">
        <v>276</v>
      </c>
      <c r="AN485" s="43" t="s">
        <v>217</v>
      </c>
      <c r="AO485" s="43" t="s">
        <v>414</v>
      </c>
      <c r="AP485" s="43" t="s">
        <v>421</v>
      </c>
    </row>
    <row r="486" spans="1:42" ht="50.1" customHeight="1" x14ac:dyDescent="0.25">
      <c r="A486" s="43">
        <f>MONTH(TAB_HISTORICO_MANUT[[#This Row],[Hora Final]])-MONTH(TAB_HISTORICO_MANUT[[#This Row],[Hora Inicio]])</f>
        <v>0</v>
      </c>
      <c r="B486" s="42"/>
      <c r="C486" s="43"/>
      <c r="D486" s="42"/>
      <c r="E486" s="42"/>
      <c r="F486" s="42"/>
      <c r="G486" s="42"/>
      <c r="H486" s="42"/>
      <c r="I486" s="116"/>
      <c r="J486" s="116"/>
      <c r="K486" s="116"/>
      <c r="L486" s="116"/>
      <c r="M486" s="116"/>
      <c r="N48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Inicio]]=Z485,TAB_HISTORICO_MANUT[[#This Row],[Equipamento]]=AA485,TAB_HISTORICO_MANUT[[#This Row],[Descricao Despacho]]=AD485),0,1)))</f>
        <v>1</v>
      </c>
      <c r="O48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486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48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486" s="50">
        <f>IF($Q486="","",(TAB_HISTORICO_MANUT[[#This Row],[Hora Final]]-TAB_HISTORICO_MANUT[[#This Row],[Hora Inicio]])*24)</f>
        <v>0.99499999999534339</v>
      </c>
      <c r="S48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86" s="54" t="str">
        <f>IF(AND(TAB_HISTORICO_MANUT[[#This Row],[EXPURGO Mãe]]="SIM",TAB_HISTORICO_MANUT[[#This Row],[Tipo]]="MÃE"),"EXP.MAE",IF(TAB_HISTORICO_MANUT[[#This Row],[EXPURGO Mãe]]="NÃO","NÃO EXP.MAE",T485))</f>
        <v>NÃO EXP.MAE</v>
      </c>
      <c r="U48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86" s="56">
        <f>IF(TAB_HISTORICO_MANUT[[#This Row],[EXPURGO Filhas]]="SIM",MAX(TAB_HISTORICO_MANUT[[#This Row],[Hora Final]]-TAB_HISTORICO_MANUT[[#This Row],[Hora Inicio]],0),0)</f>
        <v>0</v>
      </c>
      <c r="W48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8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86" s="46">
        <v>46049.873738425929</v>
      </c>
      <c r="Z486" s="47">
        <v>46049.915196759262</v>
      </c>
      <c r="AA486" s="48" t="s">
        <v>208</v>
      </c>
      <c r="AB486" s="48"/>
      <c r="AC486" s="43" t="s">
        <v>205</v>
      </c>
      <c r="AD486" s="46" t="s">
        <v>145</v>
      </c>
      <c r="AE486" s="46" t="s">
        <v>173</v>
      </c>
      <c r="AF486" s="122" t="s">
        <v>210</v>
      </c>
      <c r="AG486" s="105">
        <f>IF(TAB_HISTORICO_MANUT[[#This Row],[Hora Inicio]]="","",MONTH(TAB_HISTORICO_MANUT[[#This Row],[Hora Inicio]]))</f>
        <v>1</v>
      </c>
      <c r="AH486" s="58" t="s">
        <v>400</v>
      </c>
      <c r="AI486" s="43" t="s">
        <v>21</v>
      </c>
      <c r="AJ486" s="43"/>
      <c r="AK486" s="43"/>
      <c r="AL486" s="43"/>
      <c r="AM486" s="114"/>
      <c r="AN486" s="43"/>
      <c r="AO486" s="43"/>
      <c r="AP486" s="43"/>
    </row>
    <row r="487" spans="1:42" ht="50.1" customHeight="1" x14ac:dyDescent="0.25">
      <c r="A487" s="115">
        <f>MONTH(TAB_HISTORICO_MANUT[[#This Row],[Hora Final]])-MONTH(TAB_HISTORICO_MANUT[[#This Row],[Hora Inicio]])</f>
        <v>0</v>
      </c>
      <c r="B487" s="116"/>
      <c r="C487" s="115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 t="s">
        <v>98</v>
      </c>
      <c r="N487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Inicio]]=Z486,TAB_HISTORICO_MANUT[[#This Row],[Equipamento]]=AA486,TAB_HISTORICO_MANUT[[#This Row],[Descricao Despacho]]=AD486),0,1)))</f>
        <v/>
      </c>
      <c r="O48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487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48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487" s="107" t="str">
        <f>IF($Q487="","",(TAB_HISTORICO_MANUT[[#This Row],[Hora Final]]-TAB_HISTORICO_MANUT[[#This Row],[Hora Inicio]])*24)</f>
        <v/>
      </c>
      <c r="S48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487" s="109" t="str">
        <f>IF(AND(TAB_HISTORICO_MANUT[[#This Row],[EXPURGO Mãe]]="SIM",TAB_HISTORICO_MANUT[[#This Row],[Tipo]]="MÃE"),"EXP.MAE",IF(TAB_HISTORICO_MANUT[[#This Row],[EXPURGO Mãe]]="NÃO","NÃO EXP.MAE",T486))</f>
        <v>NÃO EXP.MAE</v>
      </c>
      <c r="U48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487" s="110">
        <f>IF(TAB_HISTORICO_MANUT[[#This Row],[EXPURGO Filhas]]="SIM",MAX(TAB_HISTORICO_MANUT[[#This Row],[Hora Final]]-TAB_HISTORICO_MANUT[[#This Row],[Hora Inicio]],0),0)</f>
        <v>1.8324583332287148E-2</v>
      </c>
      <c r="W48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8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87" s="117">
        <v>46049.89687217593</v>
      </c>
      <c r="Z487" s="118">
        <v>46049.915196759262</v>
      </c>
      <c r="AA487" s="119" t="s">
        <v>208</v>
      </c>
      <c r="AB487" s="119"/>
      <c r="AC487" s="115" t="s">
        <v>205</v>
      </c>
      <c r="AD487" s="117" t="s">
        <v>145</v>
      </c>
      <c r="AE487" s="117" t="s">
        <v>173</v>
      </c>
      <c r="AF487" s="122" t="s">
        <v>767</v>
      </c>
      <c r="AG487" s="123">
        <f>IF(TAB_HISTORICO_MANUT[[#This Row],[Hora Inicio]]="","",MONTH(TAB_HISTORICO_MANUT[[#This Row],[Hora Inicio]]))</f>
        <v>1</v>
      </c>
      <c r="AH487" s="120" t="s">
        <v>400</v>
      </c>
      <c r="AI487" s="115" t="s">
        <v>21</v>
      </c>
      <c r="AJ487" s="115"/>
      <c r="AK487" s="115"/>
      <c r="AL487" s="115"/>
      <c r="AM487" s="121"/>
      <c r="AN487" s="115"/>
      <c r="AO487" s="115"/>
      <c r="AP487" s="115"/>
    </row>
    <row r="488" spans="1:42" ht="50.1" customHeight="1" x14ac:dyDescent="0.25">
      <c r="A488" s="43">
        <f>MONTH(TAB_HISTORICO_MANUT[[#This Row],[Hora Final]])-MONTH(TAB_HISTORICO_MANUT[[#This Row],[Hora Inicio]])</f>
        <v>0</v>
      </c>
      <c r="B488" s="42"/>
      <c r="C488" s="43"/>
      <c r="D488" s="42"/>
      <c r="E488" s="42"/>
      <c r="F488" s="42"/>
      <c r="G488" s="42"/>
      <c r="H488" s="42"/>
      <c r="I488" s="116"/>
      <c r="J488" s="116"/>
      <c r="K488" s="116"/>
      <c r="L488" s="116"/>
      <c r="M488" s="116"/>
      <c r="N48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Inicio]]=Z487,TAB_HISTORICO_MANUT[[#This Row],[Equipamento]]=AA487,TAB_HISTORICO_MANUT[[#This Row],[Descricao Despacho]]=AD487),0,1)))</f>
        <v>1</v>
      </c>
      <c r="O48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488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48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488" s="50">
        <f>IF($Q488="","",(TAB_HISTORICO_MANUT[[#This Row],[Hora Final]]-TAB_HISTORICO_MANUT[[#This Row],[Hora Inicio]])*24)</f>
        <v>0.9030555555364117</v>
      </c>
      <c r="S48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88" s="54" t="str">
        <f>IF(AND(TAB_HISTORICO_MANUT[[#This Row],[EXPURGO Mãe]]="SIM",TAB_HISTORICO_MANUT[[#This Row],[Tipo]]="MÃE"),"EXP.MAE",IF(TAB_HISTORICO_MANUT[[#This Row],[EXPURGO Mãe]]="NÃO","NÃO EXP.MAE",T487))</f>
        <v>NÃO EXP.MAE</v>
      </c>
      <c r="U48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88" s="56">
        <f>IF(TAB_HISTORICO_MANUT[[#This Row],[EXPURGO Filhas]]="SIM",MAX(TAB_HISTORICO_MANUT[[#This Row],[Hora Final]]-TAB_HISTORICO_MANUT[[#This Row],[Hora Inicio]],0),0)</f>
        <v>0</v>
      </c>
      <c r="W48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8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88" s="46">
        <v>46051.433912037035</v>
      </c>
      <c r="Z488" s="47">
        <v>46051.471539351849</v>
      </c>
      <c r="AA488" s="48" t="s">
        <v>208</v>
      </c>
      <c r="AB488" s="48"/>
      <c r="AC488" s="43" t="s">
        <v>363</v>
      </c>
      <c r="AD488" s="46" t="s">
        <v>145</v>
      </c>
      <c r="AE488" s="46" t="s">
        <v>359</v>
      </c>
      <c r="AF488" s="122" t="s">
        <v>210</v>
      </c>
      <c r="AG488" s="105">
        <f>IF(TAB_HISTORICO_MANUT[[#This Row],[Hora Inicio]]="","",MONTH(TAB_HISTORICO_MANUT[[#This Row],[Hora Inicio]]))</f>
        <v>1</v>
      </c>
      <c r="AH488" s="58" t="s">
        <v>442</v>
      </c>
      <c r="AI488" s="43" t="s">
        <v>25</v>
      </c>
      <c r="AJ488" s="43"/>
      <c r="AK488" s="43"/>
      <c r="AL488" s="43"/>
      <c r="AM488" s="114"/>
      <c r="AN488" s="43"/>
      <c r="AO488" s="43"/>
      <c r="AP488" s="43"/>
    </row>
    <row r="489" spans="1:42" ht="50.1" customHeight="1" x14ac:dyDescent="0.25">
      <c r="A489" s="115">
        <f>MONTH(TAB_HISTORICO_MANUT[[#This Row],[Hora Final]])-MONTH(TAB_HISTORICO_MANUT[[#This Row],[Hora Inicio]])</f>
        <v>0</v>
      </c>
      <c r="B489" s="116"/>
      <c r="C489" s="115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Inicio]]=Z488,TAB_HISTORICO_MANUT[[#This Row],[Equipamento]]=AA488,TAB_HISTORICO_MANUT[[#This Row],[Descricao Despacho]]=AD488),0,1)))</f>
        <v>1</v>
      </c>
      <c r="O48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48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48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489" s="107">
        <f>IF($Q489="","",(TAB_HISTORICO_MANUT[[#This Row],[Hora Final]]-TAB_HISTORICO_MANUT[[#This Row],[Hora Inicio]])*24)</f>
        <v>3.5374999999185093</v>
      </c>
      <c r="S48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489" s="109" t="str">
        <f>IF(AND(TAB_HISTORICO_MANUT[[#This Row],[EXPURGO Mãe]]="SIM",TAB_HISTORICO_MANUT[[#This Row],[Tipo]]="MÃE"),"EXP.MAE",IF(TAB_HISTORICO_MANUT[[#This Row],[EXPURGO Mãe]]="NÃO","NÃO EXP.MAE",T488))</f>
        <v>EXP.MAE</v>
      </c>
      <c r="U48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89" s="110">
        <f>IF(TAB_HISTORICO_MANUT[[#This Row],[EXPURGO Filhas]]="SIM",MAX(TAB_HISTORICO_MANUT[[#This Row],[Hora Final]]-TAB_HISTORICO_MANUT[[#This Row],[Hora Inicio]],0),0)</f>
        <v>0</v>
      </c>
      <c r="W48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8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89" s="117">
        <v>46052.510868055557</v>
      </c>
      <c r="Z489" s="118">
        <v>46052.658263888887</v>
      </c>
      <c r="AA489" s="119" t="s">
        <v>208</v>
      </c>
      <c r="AB489" s="119"/>
      <c r="AC489" s="115" t="s">
        <v>364</v>
      </c>
      <c r="AD489" s="117" t="s">
        <v>145</v>
      </c>
      <c r="AE489" s="117" t="s">
        <v>360</v>
      </c>
      <c r="AF489" s="122" t="s">
        <v>210</v>
      </c>
      <c r="AG489" s="123">
        <f>IF(TAB_HISTORICO_MANUT[[#This Row],[Hora Inicio]]="","",MONTH(TAB_HISTORICO_MANUT[[#This Row],[Hora Inicio]]))</f>
        <v>1</v>
      </c>
      <c r="AH489" s="120" t="s">
        <v>446</v>
      </c>
      <c r="AI489" s="115" t="s">
        <v>82</v>
      </c>
      <c r="AJ489" s="115"/>
      <c r="AK489" s="115"/>
      <c r="AL489" s="115"/>
      <c r="AM489" s="121"/>
      <c r="AN489" s="115"/>
      <c r="AO489" s="115"/>
      <c r="AP489" s="115"/>
    </row>
    <row r="490" spans="1:42" ht="50.1" customHeight="1" x14ac:dyDescent="0.25">
      <c r="A490" s="115">
        <f>MONTH(TAB_HISTORICO_MANUT[[#This Row],[Hora Final]])-MONTH(TAB_HISTORICO_MANUT[[#This Row],[Hora Inicio]])</f>
        <v>0</v>
      </c>
      <c r="B490" s="116"/>
      <c r="C490" s="115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Inicio]]=Z489,TAB_HISTORICO_MANUT[[#This Row],[Equipamento]]=AA489,TAB_HISTORICO_MANUT[[#This Row],[Descricao Despacho]]=AD489),0,1)))</f>
        <v>1</v>
      </c>
      <c r="O49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49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9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90" s="107">
        <f>IF($Q490="","",(TAB_HISTORICO_MANUT[[#This Row],[Hora Final]]-TAB_HISTORICO_MANUT[[#This Row],[Hora Inicio]])*24)</f>
        <v>0.14055555558297783</v>
      </c>
      <c r="S49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90" s="109" t="str">
        <f>IF(AND(TAB_HISTORICO_MANUT[[#This Row],[EXPURGO Mãe]]="SIM",TAB_HISTORICO_MANUT[[#This Row],[Tipo]]="MÃE"),"EXP.MAE",IF(TAB_HISTORICO_MANUT[[#This Row],[EXPURGO Mãe]]="NÃO","NÃO EXP.MAE",T489))</f>
        <v>NÃO EXP.MAE</v>
      </c>
      <c r="U49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90" s="110">
        <f>IF(TAB_HISTORICO_MANUT[[#This Row],[EXPURGO Filhas]]="SIM",MAX(TAB_HISTORICO_MANUT[[#This Row],[Hora Final]]-TAB_HISTORICO_MANUT[[#This Row],[Hora Inicio]],0),0)</f>
        <v>0</v>
      </c>
      <c r="W49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9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90" s="117">
        <v>46056.904722222222</v>
      </c>
      <c r="Z490" s="118">
        <v>46056.910578703704</v>
      </c>
      <c r="AA490" s="119" t="s">
        <v>208</v>
      </c>
      <c r="AB490" s="119" t="s">
        <v>484</v>
      </c>
      <c r="AC490" s="115" t="s">
        <v>204</v>
      </c>
      <c r="AD490" s="117" t="s">
        <v>144</v>
      </c>
      <c r="AE490" s="117" t="s">
        <v>172</v>
      </c>
      <c r="AF490" s="122" t="s">
        <v>210</v>
      </c>
      <c r="AG490" s="123">
        <f>IF(TAB_HISTORICO_MANUT[[#This Row],[Hora Inicio]]="","",MONTH(TAB_HISTORICO_MANUT[[#This Row],[Hora Inicio]]))</f>
        <v>2</v>
      </c>
      <c r="AH490" s="120" t="s">
        <v>490</v>
      </c>
      <c r="AI490" s="115" t="s">
        <v>24</v>
      </c>
      <c r="AJ490" s="115" t="s">
        <v>423</v>
      </c>
      <c r="AK490" s="115" t="s">
        <v>422</v>
      </c>
      <c r="AL490" s="115" t="s">
        <v>279</v>
      </c>
      <c r="AM490" s="121" t="s">
        <v>280</v>
      </c>
      <c r="AN490" s="115" t="s">
        <v>217</v>
      </c>
      <c r="AO490" s="115" t="s">
        <v>419</v>
      </c>
      <c r="AP490" s="115" t="s">
        <v>494</v>
      </c>
    </row>
    <row r="491" spans="1:42" ht="50.1" customHeight="1" x14ac:dyDescent="0.25">
      <c r="A491" s="115">
        <f>MONTH(TAB_HISTORICO_MANUT[[#This Row],[Hora Final]])-MONTH(TAB_HISTORICO_MANUT[[#This Row],[Hora Inicio]])</f>
        <v>0</v>
      </c>
      <c r="B491" s="116"/>
      <c r="C491" s="115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Inicio]]=Z490,TAB_HISTORICO_MANUT[[#This Row],[Equipamento]]=AA490,TAB_HISTORICO_MANUT[[#This Row],[Descricao Despacho]]=AD490),0,1)))</f>
        <v>0</v>
      </c>
      <c r="O49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49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9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91" s="107">
        <f>IF($Q491="","",(TAB_HISTORICO_MANUT[[#This Row],[Hora Final]]-TAB_HISTORICO_MANUT[[#This Row],[Hora Inicio]])*24)</f>
        <v>1.627222222276032</v>
      </c>
      <c r="S49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91" s="109" t="str">
        <f>IF(AND(TAB_HISTORICO_MANUT[[#This Row],[EXPURGO Mãe]]="SIM",TAB_HISTORICO_MANUT[[#This Row],[Tipo]]="MÃE"),"EXP.MAE",IF(TAB_HISTORICO_MANUT[[#This Row],[EXPURGO Mãe]]="NÃO","NÃO EXP.MAE",T490))</f>
        <v>NÃO EXP.MAE</v>
      </c>
      <c r="U49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91" s="110">
        <f>IF(TAB_HISTORICO_MANUT[[#This Row],[EXPURGO Filhas]]="SIM",MAX(TAB_HISTORICO_MANUT[[#This Row],[Hora Final]]-TAB_HISTORICO_MANUT[[#This Row],[Hora Inicio]],0),0)</f>
        <v>0</v>
      </c>
      <c r="W49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9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91" s="117">
        <v>46056.910578703704</v>
      </c>
      <c r="Z491" s="118">
        <v>46056.978379629632</v>
      </c>
      <c r="AA491" s="119" t="s">
        <v>208</v>
      </c>
      <c r="AB491" s="119" t="s">
        <v>484</v>
      </c>
      <c r="AC491" s="115" t="s">
        <v>204</v>
      </c>
      <c r="AD491" s="117" t="s">
        <v>144</v>
      </c>
      <c r="AE491" s="117" t="s">
        <v>172</v>
      </c>
      <c r="AF491" s="122" t="s">
        <v>210</v>
      </c>
      <c r="AG491" s="123">
        <f>IF(TAB_HISTORICO_MANUT[[#This Row],[Hora Inicio]]="","",MONTH(TAB_HISTORICO_MANUT[[#This Row],[Hora Inicio]]))</f>
        <v>2</v>
      </c>
      <c r="AH491" s="120" t="s">
        <v>490</v>
      </c>
      <c r="AI491" s="115" t="s">
        <v>24</v>
      </c>
      <c r="AJ491" s="115" t="s">
        <v>423</v>
      </c>
      <c r="AK491" s="115" t="s">
        <v>422</v>
      </c>
      <c r="AL491" s="115" t="s">
        <v>279</v>
      </c>
      <c r="AM491" s="121" t="s">
        <v>280</v>
      </c>
      <c r="AN491" s="115" t="s">
        <v>217</v>
      </c>
      <c r="AO491" s="115" t="s">
        <v>419</v>
      </c>
      <c r="AP491" s="115" t="s">
        <v>494</v>
      </c>
    </row>
    <row r="492" spans="1:42" ht="50.1" customHeight="1" x14ac:dyDescent="0.25">
      <c r="A492" s="115">
        <f>MONTH(TAB_HISTORICO_MANUT[[#This Row],[Hora Final]])-MONTH(TAB_HISTORICO_MANUT[[#This Row],[Hora Inicio]])</f>
        <v>0</v>
      </c>
      <c r="B492" s="116"/>
      <c r="C492" s="115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Inicio]]=Z491,TAB_HISTORICO_MANUT[[#This Row],[Equipamento]]=AA491,TAB_HISTORICO_MANUT[[#This Row],[Descricao Despacho]]=AD491),0,1)))</f>
        <v>1</v>
      </c>
      <c r="O49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ELEVAÇÃO</v>
      </c>
      <c r="P49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9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92" s="107">
        <f>IF($Q492="","",(TAB_HISTORICO_MANUT[[#This Row],[Hora Final]]-TAB_HISTORICO_MANUT[[#This Row],[Hora Inicio]])*24)</f>
        <v>3.4897222221479751</v>
      </c>
      <c r="S49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92" s="109" t="str">
        <f>IF(AND(TAB_HISTORICO_MANUT[[#This Row],[EXPURGO Mãe]]="SIM",TAB_HISTORICO_MANUT[[#This Row],[Tipo]]="MÃE"),"EXP.MAE",IF(TAB_HISTORICO_MANUT[[#This Row],[EXPURGO Mãe]]="NÃO","NÃO EXP.MAE",T491))</f>
        <v>NÃO EXP.MAE</v>
      </c>
      <c r="U49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92" s="110">
        <f>IF(TAB_HISTORICO_MANUT[[#This Row],[EXPURGO Filhas]]="SIM",MAX(TAB_HISTORICO_MANUT[[#This Row],[Hora Final]]-TAB_HISTORICO_MANUT[[#This Row],[Hora Inicio]],0),0)</f>
        <v>0</v>
      </c>
      <c r="W49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9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92" s="117">
        <v>46058.850358796299</v>
      </c>
      <c r="Z492" s="118">
        <v>46058.995763888888</v>
      </c>
      <c r="AA492" s="119" t="s">
        <v>208</v>
      </c>
      <c r="AB492" s="119" t="s">
        <v>504</v>
      </c>
      <c r="AC492" s="115" t="s">
        <v>204</v>
      </c>
      <c r="AD492" s="117" t="s">
        <v>144</v>
      </c>
      <c r="AE492" s="117" t="s">
        <v>172</v>
      </c>
      <c r="AF492" s="122" t="s">
        <v>210</v>
      </c>
      <c r="AG492" s="123">
        <f>IF(TAB_HISTORICO_MANUT[[#This Row],[Hora Inicio]]="","",MONTH(TAB_HISTORICO_MANUT[[#This Row],[Hora Inicio]]))</f>
        <v>2</v>
      </c>
      <c r="AH492" s="120" t="s">
        <v>512</v>
      </c>
      <c r="AI492" s="115" t="s">
        <v>44</v>
      </c>
      <c r="AJ492" s="115" t="s">
        <v>528</v>
      </c>
      <c r="AK492" s="115" t="s">
        <v>529</v>
      </c>
      <c r="AL492" s="115" t="s">
        <v>530</v>
      </c>
      <c r="AM492" s="121" t="s">
        <v>531</v>
      </c>
      <c r="AN492" s="115"/>
      <c r="AO492" s="115"/>
      <c r="AP492" s="115"/>
    </row>
    <row r="493" spans="1:42" ht="50.1" customHeight="1" x14ac:dyDescent="0.25">
      <c r="A493" s="115">
        <f>MONTH(TAB_HISTORICO_MANUT[[#This Row],[Hora Final]])-MONTH(TAB_HISTORICO_MANUT[[#This Row],[Hora Inicio]])</f>
        <v>0</v>
      </c>
      <c r="B493" s="116"/>
      <c r="C493" s="115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 t="s">
        <v>99</v>
      </c>
      <c r="N49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Inicio]]=Z492,TAB_HISTORICO_MANUT[[#This Row],[Equipamento]]=AA492,TAB_HISTORICO_MANUT[[#This Row],[Descricao Despacho]]=AD492),0,1)))</f>
        <v>1</v>
      </c>
      <c r="O49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49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49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493" s="107">
        <f>IF($Q493="","",(TAB_HISTORICO_MANUT[[#This Row],[Hora Final]]-TAB_HISTORICO_MANUT[[#This Row],[Hora Inicio]])*24)</f>
        <v>0.12083333329064772</v>
      </c>
      <c r="S49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93" s="109" t="str">
        <f>IF(AND(TAB_HISTORICO_MANUT[[#This Row],[EXPURGO Mãe]]="SIM",TAB_HISTORICO_MANUT[[#This Row],[Tipo]]="MÃE"),"EXP.MAE",IF(TAB_HISTORICO_MANUT[[#This Row],[EXPURGO Mãe]]="NÃO","NÃO EXP.MAE",T492))</f>
        <v>NÃO EXP.MAE</v>
      </c>
      <c r="U49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93" s="110">
        <f>IF(TAB_HISTORICO_MANUT[[#This Row],[EXPURGO Filhas]]="SIM",MAX(TAB_HISTORICO_MANUT[[#This Row],[Hora Final]]-TAB_HISTORICO_MANUT[[#This Row],[Hora Inicio]],0),0)</f>
        <v>0</v>
      </c>
      <c r="W49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9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93" s="117">
        <v>46061.061030092591</v>
      </c>
      <c r="Z493" s="118">
        <v>46061.066064814811</v>
      </c>
      <c r="AA493" s="119" t="s">
        <v>208</v>
      </c>
      <c r="AB493" s="119"/>
      <c r="AC493" s="115" t="s">
        <v>524</v>
      </c>
      <c r="AD493" s="117" t="s">
        <v>145</v>
      </c>
      <c r="AE493" s="117" t="s">
        <v>180</v>
      </c>
      <c r="AF493" s="122" t="s">
        <v>210</v>
      </c>
      <c r="AG493" s="123">
        <f>IF(TAB_HISTORICO_MANUT[[#This Row],[Hora Inicio]]="","",MONTH(TAB_HISTORICO_MANUT[[#This Row],[Hora Inicio]]))</f>
        <v>2</v>
      </c>
      <c r="AH493" s="120"/>
      <c r="AI493" s="115" t="s">
        <v>21</v>
      </c>
      <c r="AJ493" s="115"/>
      <c r="AK493" s="115"/>
      <c r="AL493" s="115"/>
      <c r="AM493" s="121"/>
      <c r="AN493" s="115"/>
      <c r="AO493" s="115"/>
      <c r="AP493" s="115"/>
    </row>
    <row r="494" spans="1:42" ht="50.1" customHeight="1" x14ac:dyDescent="0.25">
      <c r="A494" s="115">
        <f>MONTH(TAB_HISTORICO_MANUT[[#This Row],[Hora Final]])-MONTH(TAB_HISTORICO_MANUT[[#This Row],[Hora Inicio]])</f>
        <v>0</v>
      </c>
      <c r="B494" s="116"/>
      <c r="C494" s="115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Inicio]]=Z493,TAB_HISTORICO_MANUT[[#This Row],[Equipamento]]=AA493,TAB_HISTORICO_MANUT[[#This Row],[Descricao Despacho]]=AD493),0,1)))</f>
        <v>0</v>
      </c>
      <c r="O49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49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49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494" s="107">
        <f>IF($Q494="","",(TAB_HISTORICO_MANUT[[#This Row],[Hora Final]]-TAB_HISTORICO_MANUT[[#This Row],[Hora Inicio]])*24)</f>
        <v>0.42111111123813316</v>
      </c>
      <c r="S49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94" s="109" t="str">
        <f>IF(AND(TAB_HISTORICO_MANUT[[#This Row],[EXPURGO Mãe]]="SIM",TAB_HISTORICO_MANUT[[#This Row],[Tipo]]="MÃE"),"EXP.MAE",IF(TAB_HISTORICO_MANUT[[#This Row],[EXPURGO Mãe]]="NÃO","NÃO EXP.MAE",T493))</f>
        <v>NÃO EXP.MAE</v>
      </c>
      <c r="U49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94" s="110">
        <f>IF(TAB_HISTORICO_MANUT[[#This Row],[EXPURGO Filhas]]="SIM",MAX(TAB_HISTORICO_MANUT[[#This Row],[Hora Final]]-TAB_HISTORICO_MANUT[[#This Row],[Hora Inicio]],0),0)</f>
        <v>0</v>
      </c>
      <c r="W49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9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94" s="117">
        <v>46061.066064814811</v>
      </c>
      <c r="Z494" s="118">
        <v>46061.083611111113</v>
      </c>
      <c r="AA494" s="119" t="s">
        <v>208</v>
      </c>
      <c r="AB494" s="119"/>
      <c r="AC494" s="115" t="s">
        <v>205</v>
      </c>
      <c r="AD494" s="117" t="s">
        <v>145</v>
      </c>
      <c r="AE494" s="117" t="s">
        <v>173</v>
      </c>
      <c r="AF494" s="122" t="s">
        <v>210</v>
      </c>
      <c r="AG494" s="123">
        <f>IF(TAB_HISTORICO_MANUT[[#This Row],[Hora Inicio]]="","",MONTH(TAB_HISTORICO_MANUT[[#This Row],[Hora Inicio]]))</f>
        <v>2</v>
      </c>
      <c r="AH494" s="120"/>
      <c r="AI494" s="115" t="s">
        <v>21</v>
      </c>
      <c r="AJ494" s="115"/>
      <c r="AK494" s="115"/>
      <c r="AL494" s="115"/>
      <c r="AM494" s="121"/>
      <c r="AN494" s="115"/>
      <c r="AO494" s="115"/>
      <c r="AP494" s="115"/>
    </row>
    <row r="495" spans="1:42" ht="50.1" customHeight="1" x14ac:dyDescent="0.25">
      <c r="A495" s="115">
        <f>MONTH(TAB_HISTORICO_MANUT[[#This Row],[Hora Final]])-MONTH(TAB_HISTORICO_MANUT[[#This Row],[Hora Inicio]])</f>
        <v>0</v>
      </c>
      <c r="B495" s="116"/>
      <c r="C495" s="115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 t="s">
        <v>98</v>
      </c>
      <c r="N495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Inicio]]=Z494,TAB_HISTORICO_MANUT[[#This Row],[Equipamento]]=AA494,TAB_HISTORICO_MANUT[[#This Row],[Descricao Despacho]]=AD494),0,1)))</f>
        <v/>
      </c>
      <c r="O49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495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49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495" s="107" t="str">
        <f>IF($Q495="","",(TAB_HISTORICO_MANUT[[#This Row],[Hora Final]]-TAB_HISTORICO_MANUT[[#This Row],[Hora Inicio]])*24)</f>
        <v/>
      </c>
      <c r="S49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495" s="109" t="str">
        <f>IF(AND(TAB_HISTORICO_MANUT[[#This Row],[EXPURGO Mãe]]="SIM",TAB_HISTORICO_MANUT[[#This Row],[Tipo]]="MÃE"),"EXP.MAE",IF(TAB_HISTORICO_MANUT[[#This Row],[EXPURGO Mãe]]="NÃO","NÃO EXP.MAE",T494))</f>
        <v>NÃO EXP.MAE</v>
      </c>
      <c r="U49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495" s="110">
        <f>IF(TAB_HISTORICO_MANUT[[#This Row],[EXPURGO Filhas]]="SIM",MAX(TAB_HISTORICO_MANUT[[#This Row],[Hora Final]]-TAB_HISTORICO_MANUT[[#This Row],[Hora Inicio]],0),0)</f>
        <v>1.2370141499559395E-2</v>
      </c>
      <c r="W49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9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95" s="117">
        <v>46061.071240969613</v>
      </c>
      <c r="Z495" s="118">
        <v>46061.083611111113</v>
      </c>
      <c r="AA495" s="119" t="s">
        <v>208</v>
      </c>
      <c r="AB495" s="119"/>
      <c r="AC495" s="115" t="s">
        <v>205</v>
      </c>
      <c r="AD495" s="117" t="s">
        <v>145</v>
      </c>
      <c r="AE495" s="117" t="s">
        <v>173</v>
      </c>
      <c r="AF495" s="122" t="s">
        <v>767</v>
      </c>
      <c r="AG495" s="123">
        <f>IF(TAB_HISTORICO_MANUT[[#This Row],[Hora Inicio]]="","",MONTH(TAB_HISTORICO_MANUT[[#This Row],[Hora Inicio]]))</f>
        <v>2</v>
      </c>
      <c r="AH495" s="120"/>
      <c r="AI495" s="115" t="s">
        <v>21</v>
      </c>
      <c r="AJ495" s="115"/>
      <c r="AK495" s="115"/>
      <c r="AL495" s="115"/>
      <c r="AM495" s="121"/>
      <c r="AN495" s="115"/>
      <c r="AO495" s="115"/>
      <c r="AP495" s="115"/>
    </row>
    <row r="496" spans="1:42" ht="50.1" customHeight="1" x14ac:dyDescent="0.25">
      <c r="A496" s="43">
        <f>MONTH(TAB_HISTORICO_MANUT[[#This Row],[Hora Final]])-MONTH(TAB_HISTORICO_MANUT[[#This Row],[Hora Inicio]])</f>
        <v>0</v>
      </c>
      <c r="B496" s="42"/>
      <c r="C496" s="43"/>
      <c r="D496" s="42"/>
      <c r="E496" s="42"/>
      <c r="F496" s="42"/>
      <c r="G496" s="42"/>
      <c r="H496" s="42"/>
      <c r="I496" s="116"/>
      <c r="J496" s="116"/>
      <c r="K496" s="116"/>
      <c r="L496" s="116"/>
      <c r="M496" s="116"/>
      <c r="N49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Inicio]]=Z495,TAB_HISTORICO_MANUT[[#This Row],[Equipamento]]=AA495,TAB_HISTORICO_MANUT[[#This Row],[Descricao Despacho]]=AD495),0,1)))</f>
        <v>1</v>
      </c>
      <c r="O49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49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9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96" s="50">
        <f>IF($Q496="","",(TAB_HISTORICO_MANUT[[#This Row],[Hora Final]]-TAB_HISTORICO_MANUT[[#This Row],[Hora Inicio]])*24)</f>
        <v>11.855555555492174</v>
      </c>
      <c r="S49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96" s="54" t="str">
        <f>IF(AND(TAB_HISTORICO_MANUT[[#This Row],[EXPURGO Mãe]]="SIM",TAB_HISTORICO_MANUT[[#This Row],[Tipo]]="MÃE"),"EXP.MAE",IF(TAB_HISTORICO_MANUT[[#This Row],[EXPURGO Mãe]]="NÃO","NÃO EXP.MAE",T495))</f>
        <v>NÃO EXP.MAE</v>
      </c>
      <c r="U49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96" s="56">
        <f>IF(TAB_HISTORICO_MANUT[[#This Row],[EXPURGO Filhas]]="SIM",MAX(TAB_HISTORICO_MANUT[[#This Row],[Hora Final]]-TAB_HISTORICO_MANUT[[#This Row],[Hora Inicio]],0),0)</f>
        <v>0</v>
      </c>
      <c r="W49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9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96" s="46">
        <v>46061.179664351854</v>
      </c>
      <c r="Z496" s="47">
        <v>46061.673645833333</v>
      </c>
      <c r="AA496" s="48" t="s">
        <v>208</v>
      </c>
      <c r="AB496" s="48" t="s">
        <v>507</v>
      </c>
      <c r="AC496" s="43" t="s">
        <v>204</v>
      </c>
      <c r="AD496" s="46" t="s">
        <v>144</v>
      </c>
      <c r="AE496" s="46" t="s">
        <v>172</v>
      </c>
      <c r="AF496" s="122" t="s">
        <v>210</v>
      </c>
      <c r="AG496" s="105">
        <f>IF(TAB_HISTORICO_MANUT[[#This Row],[Hora Inicio]]="","",MONTH(TAB_HISTORICO_MANUT[[#This Row],[Hora Inicio]]))</f>
        <v>2</v>
      </c>
      <c r="AH496" s="58" t="s">
        <v>516</v>
      </c>
      <c r="AI496" s="43" t="s">
        <v>24</v>
      </c>
      <c r="AJ496" s="43" t="s">
        <v>536</v>
      </c>
      <c r="AK496" s="43" t="s">
        <v>474</v>
      </c>
      <c r="AL496" s="43" t="s">
        <v>275</v>
      </c>
      <c r="AM496" s="114" t="s">
        <v>276</v>
      </c>
      <c r="AN496" s="43"/>
      <c r="AO496" s="43"/>
      <c r="AP496" s="43"/>
    </row>
    <row r="497" spans="1:42" ht="50.1" customHeight="1" x14ac:dyDescent="0.25">
      <c r="A497" s="43">
        <f>MONTH(TAB_HISTORICO_MANUT[[#This Row],[Hora Final]])-MONTH(TAB_HISTORICO_MANUT[[#This Row],[Hora Inicio]])</f>
        <v>0</v>
      </c>
      <c r="B497" s="42"/>
      <c r="C497" s="43"/>
      <c r="D497" s="42"/>
      <c r="E497" s="42"/>
      <c r="F497" s="42"/>
      <c r="G497" s="42"/>
      <c r="H497" s="42"/>
      <c r="I497" s="116"/>
      <c r="J497" s="116"/>
      <c r="K497" s="116"/>
      <c r="L497" s="116"/>
      <c r="M497" s="116"/>
      <c r="N497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Inicio]]=Z496,TAB_HISTORICO_MANUT[[#This Row],[Equipamento]]=AA496,TAB_HISTORICO_MANUT[[#This Row],[Descricao Despacho]]=AD496),0,1)))</f>
        <v/>
      </c>
      <c r="O49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497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49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497" s="50" t="str">
        <f>IF($Q497="","",(TAB_HISTORICO_MANUT[[#This Row],[Hora Final]]-TAB_HISTORICO_MANUT[[#This Row],[Hora Inicio]])*24)</f>
        <v/>
      </c>
      <c r="S49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497" s="54" t="str">
        <f>IF(AND(TAB_HISTORICO_MANUT[[#This Row],[EXPURGO Mãe]]="SIM",TAB_HISTORICO_MANUT[[#This Row],[Tipo]]="MÃE"),"EXP.MAE",IF(TAB_HISTORICO_MANUT[[#This Row],[EXPURGO Mãe]]="NÃO","NÃO EXP.MAE",T496))</f>
        <v>NÃO EXP.MAE</v>
      </c>
      <c r="U49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497" s="56">
        <f>IF(TAB_HISTORICO_MANUT[[#This Row],[EXPURGO Filhas]]="SIM",MAX(TAB_HISTORICO_MANUT[[#This Row],[Hora Final]]-TAB_HISTORICO_MANUT[[#This Row],[Hora Inicio]],0),0)</f>
        <v>9.0279999996710103E-2</v>
      </c>
      <c r="W49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9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97" s="46">
        <v>46061.5625</v>
      </c>
      <c r="Z497" s="47">
        <v>46061.652779999997</v>
      </c>
      <c r="AA497" s="48" t="s">
        <v>208</v>
      </c>
      <c r="AB497" s="48" t="s">
        <v>507</v>
      </c>
      <c r="AC497" s="43" t="s">
        <v>204</v>
      </c>
      <c r="AD497" s="46" t="s">
        <v>144</v>
      </c>
      <c r="AE497" s="46" t="s">
        <v>765</v>
      </c>
      <c r="AF497" s="122" t="s">
        <v>767</v>
      </c>
      <c r="AG497" s="105">
        <f>IF(TAB_HISTORICO_MANUT[[#This Row],[Hora Inicio]]="","",MONTH(TAB_HISTORICO_MANUT[[#This Row],[Hora Inicio]]))</f>
        <v>2</v>
      </c>
      <c r="AH497" s="58" t="s">
        <v>516</v>
      </c>
      <c r="AI497" s="43" t="s">
        <v>24</v>
      </c>
      <c r="AJ497" s="43" t="s">
        <v>536</v>
      </c>
      <c r="AK497" s="43" t="s">
        <v>474</v>
      </c>
      <c r="AL497" s="43" t="s">
        <v>275</v>
      </c>
      <c r="AM497" s="114" t="s">
        <v>276</v>
      </c>
      <c r="AN497" s="43"/>
      <c r="AO497" s="43"/>
      <c r="AP497" s="43"/>
    </row>
    <row r="498" spans="1:42" ht="50.1" customHeight="1" x14ac:dyDescent="0.25">
      <c r="A498" s="115">
        <f>MONTH(TAB_HISTORICO_MANUT[[#This Row],[Hora Final]])-MONTH(TAB_HISTORICO_MANUT[[#This Row],[Hora Inicio]])</f>
        <v>0</v>
      </c>
      <c r="B498" s="116"/>
      <c r="C498" s="115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Inicio]]=Z497,TAB_HISTORICO_MANUT[[#This Row],[Equipamento]]=AA497,TAB_HISTORICO_MANUT[[#This Row],[Descricao Despacho]]=AD497),0,1)))</f>
        <v>1</v>
      </c>
      <c r="O49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49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49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498" s="107">
        <f>IF($Q498="","",(TAB_HISTORICO_MANUT[[#This Row],[Hora Final]]-TAB_HISTORICO_MANUT[[#This Row],[Hora Inicio]])*24)</f>
        <v>1.0847222222364508</v>
      </c>
      <c r="S49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498" s="109" t="str">
        <f>IF(AND(TAB_HISTORICO_MANUT[[#This Row],[EXPURGO Mãe]]="SIM",TAB_HISTORICO_MANUT[[#This Row],[Tipo]]="MÃE"),"EXP.MAE",IF(TAB_HISTORICO_MANUT[[#This Row],[EXPURGO Mãe]]="NÃO","NÃO EXP.MAE",T497))</f>
        <v>EXP.MAE</v>
      </c>
      <c r="U49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98" s="110">
        <f>IF(TAB_HISTORICO_MANUT[[#This Row],[EXPURGO Filhas]]="SIM",MAX(TAB_HISTORICO_MANUT[[#This Row],[Hora Final]]-TAB_HISTORICO_MANUT[[#This Row],[Hora Inicio]],0),0)</f>
        <v>0</v>
      </c>
      <c r="W49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9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98" s="117">
        <v>46063.677233796298</v>
      </c>
      <c r="Z498" s="118">
        <v>46063.722430555557</v>
      </c>
      <c r="AA498" s="119" t="s">
        <v>208</v>
      </c>
      <c r="AB498" s="119"/>
      <c r="AC498" s="115" t="s">
        <v>364</v>
      </c>
      <c r="AD498" s="117" t="s">
        <v>145</v>
      </c>
      <c r="AE498" s="117" t="s">
        <v>360</v>
      </c>
      <c r="AF498" s="122" t="s">
        <v>210</v>
      </c>
      <c r="AG498" s="123">
        <f>IF(TAB_HISTORICO_MANUT[[#This Row],[Hora Inicio]]="","",MONTH(TAB_HISTORICO_MANUT[[#This Row],[Hora Inicio]]))</f>
        <v>2</v>
      </c>
      <c r="AH498" s="120" t="s">
        <v>522</v>
      </c>
      <c r="AI498" s="115" t="s">
        <v>82</v>
      </c>
      <c r="AJ498" s="115"/>
      <c r="AK498" s="115"/>
      <c r="AL498" s="115"/>
      <c r="AM498" s="121"/>
      <c r="AN498" s="115"/>
      <c r="AO498" s="115"/>
      <c r="AP498" s="115"/>
    </row>
    <row r="499" spans="1:42" ht="50.1" customHeight="1" x14ac:dyDescent="0.25">
      <c r="A499" s="43">
        <f>MONTH(TAB_HISTORICO_MANUT[[#This Row],[Hora Final]])-MONTH(TAB_HISTORICO_MANUT[[#This Row],[Hora Inicio]])</f>
        <v>0</v>
      </c>
      <c r="B499" s="42"/>
      <c r="C499" s="43"/>
      <c r="D499" s="42"/>
      <c r="E499" s="42"/>
      <c r="F499" s="42"/>
      <c r="G499" s="42"/>
      <c r="H499" s="42"/>
      <c r="I499" s="116"/>
      <c r="J499" s="116"/>
      <c r="K499" s="116"/>
      <c r="L499" s="116"/>
      <c r="M499" s="116"/>
      <c r="N49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Inicio]]=Z498,TAB_HISTORICO_MANUT[[#This Row],[Equipamento]]=AA498,TAB_HISTORICO_MANUT[[#This Row],[Descricao Despacho]]=AD498),0,1)))</f>
        <v>1</v>
      </c>
      <c r="O49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499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49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499" s="50">
        <f>IF($Q499="","",(TAB_HISTORICO_MANUT[[#This Row],[Hora Final]]-TAB_HISTORICO_MANUT[[#This Row],[Hora Inicio]])*24)</f>
        <v>7.342222222185228</v>
      </c>
      <c r="S49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499" s="54" t="str">
        <f>IF(AND(TAB_HISTORICO_MANUT[[#This Row],[EXPURGO Mãe]]="SIM",TAB_HISTORICO_MANUT[[#This Row],[Tipo]]="MÃE"),"EXP.MAE",IF(TAB_HISTORICO_MANUT[[#This Row],[EXPURGO Mãe]]="NÃO","NÃO EXP.MAE",T498))</f>
        <v>NÃO EXP.MAE</v>
      </c>
      <c r="U49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499" s="56">
        <f>IF(TAB_HISTORICO_MANUT[[#This Row],[EXPURGO Filhas]]="SIM",MAX(TAB_HISTORICO_MANUT[[#This Row],[Hora Final]]-TAB_HISTORICO_MANUT[[#This Row],[Hora Inicio]],0),0)</f>
        <v>0</v>
      </c>
      <c r="W49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49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499" s="46">
        <v>46063.785555555558</v>
      </c>
      <c r="Z499" s="47">
        <v>46064.091481481482</v>
      </c>
      <c r="AA499" s="48" t="s">
        <v>208</v>
      </c>
      <c r="AB499" s="48" t="s">
        <v>510</v>
      </c>
      <c r="AC499" s="43" t="s">
        <v>204</v>
      </c>
      <c r="AD499" s="46" t="s">
        <v>144</v>
      </c>
      <c r="AE499" s="46" t="s">
        <v>172</v>
      </c>
      <c r="AF499" s="122" t="s">
        <v>210</v>
      </c>
      <c r="AG499" s="105">
        <f>IF(TAB_HISTORICO_MANUT[[#This Row],[Hora Inicio]]="","",MONTH(TAB_HISTORICO_MANUT[[#This Row],[Hora Inicio]]))</f>
        <v>2</v>
      </c>
      <c r="AH499" s="58" t="s">
        <v>523</v>
      </c>
      <c r="AI499" s="43" t="s">
        <v>22</v>
      </c>
      <c r="AJ499" s="43" t="s">
        <v>542</v>
      </c>
      <c r="AK499" s="43" t="s">
        <v>543</v>
      </c>
      <c r="AL499" s="43" t="s">
        <v>275</v>
      </c>
      <c r="AM499" s="114" t="s">
        <v>276</v>
      </c>
      <c r="AN499" s="43"/>
      <c r="AO499" s="43"/>
      <c r="AP499" s="43"/>
    </row>
    <row r="500" spans="1:42" ht="50.1" customHeight="1" x14ac:dyDescent="0.25">
      <c r="A500" s="115">
        <f>MONTH(TAB_HISTORICO_MANUT[[#This Row],[Hora Final]])-MONTH(TAB_HISTORICO_MANUT[[#This Row],[Hora Inicio]])</f>
        <v>0</v>
      </c>
      <c r="B500" s="116"/>
      <c r="C500" s="115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Inicio]]=Z499,TAB_HISTORICO_MANUT[[#This Row],[Equipamento]]=AA499,TAB_HISTORICO_MANUT[[#This Row],[Descricao Despacho]]=AD499),0,1)))</f>
        <v>1</v>
      </c>
      <c r="O50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50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0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500" s="107">
        <f>IF($Q500="","",(TAB_HISTORICO_MANUT[[#This Row],[Hora Final]]-TAB_HISTORICO_MANUT[[#This Row],[Hora Inicio]])*24)</f>
        <v>0.70305555558297783</v>
      </c>
      <c r="S50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00" s="109" t="str">
        <f>IF(AND(TAB_HISTORICO_MANUT[[#This Row],[EXPURGO Mãe]]="SIM",TAB_HISTORICO_MANUT[[#This Row],[Tipo]]="MÃE"),"EXP.MAE",IF(TAB_HISTORICO_MANUT[[#This Row],[EXPURGO Mãe]]="NÃO","NÃO EXP.MAE",T499))</f>
        <v>NÃO EXP.MAE</v>
      </c>
      <c r="U50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00" s="110">
        <f>IF(TAB_HISTORICO_MANUT[[#This Row],[EXPURGO Filhas]]="SIM",MAX(TAB_HISTORICO_MANUT[[#This Row],[Hora Final]]-TAB_HISTORICO_MANUT[[#This Row],[Hora Inicio]],0),0)</f>
        <v>0</v>
      </c>
      <c r="W50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0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00" s="117">
        <v>46064.159745370373</v>
      </c>
      <c r="Z500" s="118">
        <v>46064.189039351855</v>
      </c>
      <c r="AA500" s="119" t="s">
        <v>208</v>
      </c>
      <c r="AB500" s="119" t="s">
        <v>554</v>
      </c>
      <c r="AC500" s="115" t="s">
        <v>211</v>
      </c>
      <c r="AD500" s="117" t="s">
        <v>144</v>
      </c>
      <c r="AE500" s="117" t="s">
        <v>213</v>
      </c>
      <c r="AF500" s="122" t="s">
        <v>210</v>
      </c>
      <c r="AG500" s="123">
        <f>IF(TAB_HISTORICO_MANUT[[#This Row],[Hora Inicio]]="","",MONTH(TAB_HISTORICO_MANUT[[#This Row],[Hora Inicio]]))</f>
        <v>2</v>
      </c>
      <c r="AH500" s="120" t="s">
        <v>549</v>
      </c>
      <c r="AI500" s="115" t="s">
        <v>21</v>
      </c>
      <c r="AJ500" s="115" t="s">
        <v>555</v>
      </c>
      <c r="AK500" s="115" t="s">
        <v>291</v>
      </c>
      <c r="AL500" s="115" t="s">
        <v>292</v>
      </c>
      <c r="AM500" s="121" t="s">
        <v>294</v>
      </c>
      <c r="AN500" s="115" t="s">
        <v>229</v>
      </c>
      <c r="AO500" s="115" t="s">
        <v>545</v>
      </c>
      <c r="AP500" s="115" t="s">
        <v>242</v>
      </c>
    </row>
    <row r="501" spans="1:42" ht="50.1" customHeight="1" x14ac:dyDescent="0.25">
      <c r="A501" s="43">
        <f>MONTH(TAB_HISTORICO_MANUT[[#This Row],[Hora Final]])-MONTH(TAB_HISTORICO_MANUT[[#This Row],[Hora Inicio]])</f>
        <v>0</v>
      </c>
      <c r="B501" s="42"/>
      <c r="C501" s="43"/>
      <c r="D501" s="42"/>
      <c r="E501" s="42"/>
      <c r="F501" s="42"/>
      <c r="G501" s="42"/>
      <c r="H501" s="42"/>
      <c r="I501" s="116"/>
      <c r="J501" s="116"/>
      <c r="K501" s="116"/>
      <c r="L501" s="116"/>
      <c r="M501" s="116" t="s">
        <v>98</v>
      </c>
      <c r="N501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Inicio]]=Z500,TAB_HISTORICO_MANUT[[#This Row],[Equipamento]]=AA500,TAB_HISTORICO_MANUT[[#This Row],[Descricao Despacho]]=AD500),0,1)))</f>
        <v/>
      </c>
      <c r="O50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501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50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501" s="50" t="str">
        <f>IF($Q501="","",(TAB_HISTORICO_MANUT[[#This Row],[Hora Final]]-TAB_HISTORICO_MANUT[[#This Row],[Hora Inicio]])*24)</f>
        <v/>
      </c>
      <c r="S50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501" s="54" t="str">
        <f>IF(AND(TAB_HISTORICO_MANUT[[#This Row],[EXPURGO Mãe]]="SIM",TAB_HISTORICO_MANUT[[#This Row],[Tipo]]="MÃE"),"EXP.MAE",IF(TAB_HISTORICO_MANUT[[#This Row],[EXPURGO Mãe]]="NÃO","NÃO EXP.MAE",T500))</f>
        <v>NÃO EXP.MAE</v>
      </c>
      <c r="U50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501" s="56">
        <f>IF(TAB_HISTORICO_MANUT[[#This Row],[EXPURGO Filhas]]="SIM",MAX(TAB_HISTORICO_MANUT[[#This Row],[Hora Final]]-TAB_HISTORICO_MANUT[[#This Row],[Hora Inicio]],0),0)</f>
        <v>2.0652270002756268E-2</v>
      </c>
      <c r="W50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0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01" s="46">
        <v>46064.168387081852</v>
      </c>
      <c r="Z501" s="47">
        <v>46064.189039351855</v>
      </c>
      <c r="AA501" s="48" t="s">
        <v>208</v>
      </c>
      <c r="AB501" s="48" t="s">
        <v>554</v>
      </c>
      <c r="AC501" s="43" t="s">
        <v>211</v>
      </c>
      <c r="AD501" s="46" t="s">
        <v>144</v>
      </c>
      <c r="AE501" s="46" t="s">
        <v>213</v>
      </c>
      <c r="AF501" s="122" t="s">
        <v>767</v>
      </c>
      <c r="AG501" s="105">
        <f>IF(TAB_HISTORICO_MANUT[[#This Row],[Hora Inicio]]="","",MONTH(TAB_HISTORICO_MANUT[[#This Row],[Hora Inicio]]))</f>
        <v>2</v>
      </c>
      <c r="AH501" s="58" t="s">
        <v>549</v>
      </c>
      <c r="AI501" s="43" t="s">
        <v>21</v>
      </c>
      <c r="AJ501" s="43" t="s">
        <v>555</v>
      </c>
      <c r="AK501" s="43" t="s">
        <v>291</v>
      </c>
      <c r="AL501" s="43" t="s">
        <v>292</v>
      </c>
      <c r="AM501" s="114" t="s">
        <v>294</v>
      </c>
      <c r="AN501" s="43" t="s">
        <v>229</v>
      </c>
      <c r="AO501" s="43" t="s">
        <v>545</v>
      </c>
      <c r="AP501" s="43" t="s">
        <v>242</v>
      </c>
    </row>
    <row r="502" spans="1:42" ht="50.1" customHeight="1" x14ac:dyDescent="0.25">
      <c r="A502" s="115">
        <f>MONTH(TAB_HISTORICO_MANUT[[#This Row],[Hora Final]])-MONTH(TAB_HISTORICO_MANUT[[#This Row],[Hora Inicio]])</f>
        <v>0</v>
      </c>
      <c r="B502" s="116"/>
      <c r="C502" s="115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Inicio]]=Z501,TAB_HISTORICO_MANUT[[#This Row],[Equipamento]]=AA501,TAB_HISTORICO_MANUT[[#This Row],[Descricao Despacho]]=AD501),0,1)))</f>
        <v>1</v>
      </c>
      <c r="O50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50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0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502" s="107">
        <f>IF($Q502="","",(TAB_HISTORICO_MANUT[[#This Row],[Hora Final]]-TAB_HISTORICO_MANUT[[#This Row],[Hora Inicio]])*24)</f>
        <v>2.8713888888596557</v>
      </c>
      <c r="S50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02" s="109" t="str">
        <f>IF(AND(TAB_HISTORICO_MANUT[[#This Row],[EXPURGO Mãe]]="SIM",TAB_HISTORICO_MANUT[[#This Row],[Tipo]]="MÃE"),"EXP.MAE",IF(TAB_HISTORICO_MANUT[[#This Row],[EXPURGO Mãe]]="NÃO","NÃO EXP.MAE",T501))</f>
        <v>NÃO EXP.MAE</v>
      </c>
      <c r="U50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02" s="110">
        <f>IF(TAB_HISTORICO_MANUT[[#This Row],[EXPURGO Filhas]]="SIM",MAX(TAB_HISTORICO_MANUT[[#This Row],[Hora Final]]-TAB_HISTORICO_MANUT[[#This Row],[Hora Inicio]],0),0)</f>
        <v>0</v>
      </c>
      <c r="W50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0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02" s="117">
        <v>46067.570567129631</v>
      </c>
      <c r="Z502" s="118">
        <v>46067.690208333333</v>
      </c>
      <c r="AA502" s="119" t="s">
        <v>208</v>
      </c>
      <c r="AB502" s="119" t="s">
        <v>562</v>
      </c>
      <c r="AC502" s="115" t="s">
        <v>204</v>
      </c>
      <c r="AD502" s="117" t="s">
        <v>144</v>
      </c>
      <c r="AE502" s="117" t="s">
        <v>172</v>
      </c>
      <c r="AF502" s="122" t="s">
        <v>210</v>
      </c>
      <c r="AG502" s="123">
        <f>IF(TAB_HISTORICO_MANUT[[#This Row],[Hora Inicio]]="","",MONTH(TAB_HISTORICO_MANUT[[#This Row],[Hora Inicio]]))</f>
        <v>2</v>
      </c>
      <c r="AH502" s="120" t="s">
        <v>588</v>
      </c>
      <c r="AI502" s="115" t="s">
        <v>23</v>
      </c>
      <c r="AJ502" s="115" t="s">
        <v>43</v>
      </c>
      <c r="AK502" s="115" t="s">
        <v>464</v>
      </c>
      <c r="AL502" s="115" t="s">
        <v>279</v>
      </c>
      <c r="AM502" s="121" t="s">
        <v>280</v>
      </c>
      <c r="AN502" s="115" t="s">
        <v>217</v>
      </c>
      <c r="AO502" s="115" t="s">
        <v>453</v>
      </c>
      <c r="AP502" s="115" t="s">
        <v>574</v>
      </c>
    </row>
    <row r="503" spans="1:42" ht="50.1" customHeight="1" x14ac:dyDescent="0.25">
      <c r="A503" s="43">
        <f>MONTH(TAB_HISTORICO_MANUT[[#This Row],[Hora Final]])-MONTH(TAB_HISTORICO_MANUT[[#This Row],[Hora Inicio]])</f>
        <v>0</v>
      </c>
      <c r="B503" s="42"/>
      <c r="C503" s="43"/>
      <c r="D503" s="42"/>
      <c r="E503" s="42"/>
      <c r="F503" s="42"/>
      <c r="G503" s="42"/>
      <c r="H503" s="42"/>
      <c r="I503" s="116"/>
      <c r="J503" s="116"/>
      <c r="K503" s="116"/>
      <c r="L503" s="116"/>
      <c r="M503" s="116"/>
      <c r="N503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Inicio]]=Z502,TAB_HISTORICO_MANUT[[#This Row],[Equipamento]]=AA502,TAB_HISTORICO_MANUT[[#This Row],[Descricao Despacho]]=AD502),0,1)))</f>
        <v/>
      </c>
      <c r="O50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503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50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503" s="50" t="str">
        <f>IF($Q503="","",(TAB_HISTORICO_MANUT[[#This Row],[Hora Final]]-TAB_HISTORICO_MANUT[[#This Row],[Hora Inicio]])*24)</f>
        <v/>
      </c>
      <c r="S50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503" s="54" t="str">
        <f>IF(AND(TAB_HISTORICO_MANUT[[#This Row],[EXPURGO Mãe]]="SIM",TAB_HISTORICO_MANUT[[#This Row],[Tipo]]="MÃE"),"EXP.MAE",IF(TAB_HISTORICO_MANUT[[#This Row],[EXPURGO Mãe]]="NÃO","NÃO EXP.MAE",T502))</f>
        <v>NÃO EXP.MAE</v>
      </c>
      <c r="U50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503" s="56">
        <f>IF(TAB_HISTORICO_MANUT[[#This Row],[EXPURGO Filhas]]="SIM",MAX(TAB_HISTORICO_MANUT[[#This Row],[Hora Final]]-TAB_HISTORICO_MANUT[[#This Row],[Hora Inicio]],0),0)</f>
        <v>4.8611111109494232E-2</v>
      </c>
      <c r="W50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0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03" s="46">
        <v>46067.631944444445</v>
      </c>
      <c r="Z503" s="47">
        <v>46067.680555555555</v>
      </c>
      <c r="AA503" s="48" t="s">
        <v>208</v>
      </c>
      <c r="AB503" s="48" t="s">
        <v>562</v>
      </c>
      <c r="AC503" s="43" t="s">
        <v>204</v>
      </c>
      <c r="AD503" s="46" t="s">
        <v>144</v>
      </c>
      <c r="AE503" s="46" t="s">
        <v>765</v>
      </c>
      <c r="AF503" s="122" t="s">
        <v>767</v>
      </c>
      <c r="AG503" s="105">
        <f>IF(TAB_HISTORICO_MANUT[[#This Row],[Hora Inicio]]="","",MONTH(TAB_HISTORICO_MANUT[[#This Row],[Hora Inicio]]))</f>
        <v>2</v>
      </c>
      <c r="AH503" s="58" t="s">
        <v>588</v>
      </c>
      <c r="AI503" s="43" t="s">
        <v>23</v>
      </c>
      <c r="AJ503" s="43" t="s">
        <v>43</v>
      </c>
      <c r="AK503" s="43" t="s">
        <v>464</v>
      </c>
      <c r="AL503" s="43" t="s">
        <v>279</v>
      </c>
      <c r="AM503" s="114" t="s">
        <v>280</v>
      </c>
      <c r="AN503" s="43" t="s">
        <v>217</v>
      </c>
      <c r="AO503" s="43" t="s">
        <v>453</v>
      </c>
      <c r="AP503" s="43" t="s">
        <v>574</v>
      </c>
    </row>
    <row r="504" spans="1:42" ht="50.1" customHeight="1" x14ac:dyDescent="0.25">
      <c r="A504" s="115">
        <f>MONTH(TAB_HISTORICO_MANUT[[#This Row],[Hora Final]])-MONTH(TAB_HISTORICO_MANUT[[#This Row],[Hora Inicio]])</f>
        <v>0</v>
      </c>
      <c r="B504" s="116"/>
      <c r="C504" s="115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 t="s">
        <v>99</v>
      </c>
      <c r="N50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Inicio]]=Z503,TAB_HISTORICO_MANUT[[#This Row],[Equipamento]]=AA503,TAB_HISTORICO_MANUT[[#This Row],[Descricao Despacho]]=AD503),0,1)))</f>
        <v>1</v>
      </c>
      <c r="O50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50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0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504" s="107">
        <f>IF($Q504="","",(TAB_HISTORICO_MANUT[[#This Row],[Hora Final]]-TAB_HISTORICO_MANUT[[#This Row],[Hora Inicio]])*24)</f>
        <v>0.25250000000232831</v>
      </c>
      <c r="S50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04" s="109" t="str">
        <f>IF(AND(TAB_HISTORICO_MANUT[[#This Row],[EXPURGO Mãe]]="SIM",TAB_HISTORICO_MANUT[[#This Row],[Tipo]]="MÃE"),"EXP.MAE",IF(TAB_HISTORICO_MANUT[[#This Row],[EXPURGO Mãe]]="NÃO","NÃO EXP.MAE",T503))</f>
        <v>NÃO EXP.MAE</v>
      </c>
      <c r="U50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04" s="110">
        <f>IF(TAB_HISTORICO_MANUT[[#This Row],[EXPURGO Filhas]]="SIM",MAX(TAB_HISTORICO_MANUT[[#This Row],[Hora Final]]-TAB_HISTORICO_MANUT[[#This Row],[Hora Inicio]],0),0)</f>
        <v>0</v>
      </c>
      <c r="W50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0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04" s="117">
        <v>46068.044849537036</v>
      </c>
      <c r="Z504" s="118">
        <v>46068.05537037037</v>
      </c>
      <c r="AA504" s="119" t="s">
        <v>208</v>
      </c>
      <c r="AB504" s="119"/>
      <c r="AC504" s="115" t="s">
        <v>300</v>
      </c>
      <c r="AD504" s="117" t="s">
        <v>146</v>
      </c>
      <c r="AE504" s="117" t="s">
        <v>178</v>
      </c>
      <c r="AF504" s="122" t="s">
        <v>210</v>
      </c>
      <c r="AG504" s="123">
        <f>IF(TAB_HISTORICO_MANUT[[#This Row],[Hora Inicio]]="","",MONTH(TAB_HISTORICO_MANUT[[#This Row],[Hora Inicio]]))</f>
        <v>2</v>
      </c>
      <c r="AH504" s="120" t="s">
        <v>619</v>
      </c>
      <c r="AI504" s="115" t="s">
        <v>340</v>
      </c>
      <c r="AJ504" s="115" t="s">
        <v>432</v>
      </c>
      <c r="AK504" s="115"/>
      <c r="AL504" s="115"/>
      <c r="AM504" s="121"/>
      <c r="AN504" s="115"/>
      <c r="AO504" s="115"/>
      <c r="AP504" s="115"/>
    </row>
    <row r="505" spans="1:42" ht="50.1" customHeight="1" x14ac:dyDescent="0.25">
      <c r="A505" s="115">
        <f>MONTH(TAB_HISTORICO_MANUT[[#This Row],[Hora Final]])-MONTH(TAB_HISTORICO_MANUT[[#This Row],[Hora Inicio]])</f>
        <v>0</v>
      </c>
      <c r="B505" s="116"/>
      <c r="C505" s="115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Inicio]]=Z504,TAB_HISTORICO_MANUT[[#This Row],[Equipamento]]=AA504,TAB_HISTORICO_MANUT[[#This Row],[Descricao Despacho]]=AD504),0,1)))</f>
        <v>0</v>
      </c>
      <c r="O50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50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0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505" s="107">
        <f>IF($Q505="","",(TAB_HISTORICO_MANUT[[#This Row],[Hora Final]]-TAB_HISTORICO_MANUT[[#This Row],[Hora Inicio]])*24)</f>
        <v>3.2374999999883585</v>
      </c>
      <c r="S50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05" s="109" t="str">
        <f>IF(AND(TAB_HISTORICO_MANUT[[#This Row],[EXPURGO Mãe]]="SIM",TAB_HISTORICO_MANUT[[#This Row],[Tipo]]="MÃE"),"EXP.MAE",IF(TAB_HISTORICO_MANUT[[#This Row],[EXPURGO Mãe]]="NÃO","NÃO EXP.MAE",T504))</f>
        <v>NÃO EXP.MAE</v>
      </c>
      <c r="U50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05" s="110">
        <f>IF(TAB_HISTORICO_MANUT[[#This Row],[EXPURGO Filhas]]="SIM",MAX(TAB_HISTORICO_MANUT[[#This Row],[Hora Final]]-TAB_HISTORICO_MANUT[[#This Row],[Hora Inicio]],0),0)</f>
        <v>0</v>
      </c>
      <c r="W50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0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05" s="117">
        <v>46068.05537037037</v>
      </c>
      <c r="Z505" s="118">
        <v>46068.190266203703</v>
      </c>
      <c r="AA505" s="119" t="s">
        <v>208</v>
      </c>
      <c r="AB505" s="119"/>
      <c r="AC505" s="115" t="s">
        <v>301</v>
      </c>
      <c r="AD505" s="117" t="s">
        <v>146</v>
      </c>
      <c r="AE505" s="117" t="s">
        <v>310</v>
      </c>
      <c r="AF505" s="122" t="s">
        <v>210</v>
      </c>
      <c r="AG505" s="123">
        <f>IF(TAB_HISTORICO_MANUT[[#This Row],[Hora Inicio]]="","",MONTH(TAB_HISTORICO_MANUT[[#This Row],[Hora Inicio]]))</f>
        <v>2</v>
      </c>
      <c r="AH505" s="120" t="s">
        <v>619</v>
      </c>
      <c r="AI505" s="115" t="s">
        <v>340</v>
      </c>
      <c r="AJ505" s="115" t="s">
        <v>432</v>
      </c>
      <c r="AK505" s="115"/>
      <c r="AL505" s="115"/>
      <c r="AM505" s="121"/>
      <c r="AN505" s="115"/>
      <c r="AO505" s="115"/>
      <c r="AP505" s="115"/>
    </row>
    <row r="506" spans="1:42" ht="50.1" customHeight="1" x14ac:dyDescent="0.25">
      <c r="A506" s="115">
        <f>MONTH(TAB_HISTORICO_MANUT[[#This Row],[Hora Final]])-MONTH(TAB_HISTORICO_MANUT[[#This Row],[Hora Inicio]])</f>
        <v>0</v>
      </c>
      <c r="B506" s="116"/>
      <c r="C506" s="115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Inicio]]=Z505,TAB_HISTORICO_MANUT[[#This Row],[Equipamento]]=AA505,TAB_HISTORICO_MANUT[[#This Row],[Descricao Despacho]]=AD505),0,1)))</f>
        <v>0</v>
      </c>
      <c r="O50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50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0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506" s="107">
        <f>IF($Q506="","",(TAB_HISTORICO_MANUT[[#This Row],[Hora Final]]-TAB_HISTORICO_MANUT[[#This Row],[Hora Inicio]])*24)</f>
        <v>3.4458333333022892</v>
      </c>
      <c r="S50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506" s="109" t="str">
        <f>IF(AND(TAB_HISTORICO_MANUT[[#This Row],[EXPURGO Mãe]]="SIM",TAB_HISTORICO_MANUT[[#This Row],[Tipo]]="MÃE"),"EXP.MAE",IF(TAB_HISTORICO_MANUT[[#This Row],[EXPURGO Mãe]]="NÃO","NÃO EXP.MAE",T505))</f>
        <v>EXP.MAE</v>
      </c>
      <c r="U50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06" s="110">
        <f>IF(TAB_HISTORICO_MANUT[[#This Row],[EXPURGO Filhas]]="SIM",MAX(TAB_HISTORICO_MANUT[[#This Row],[Hora Final]]-TAB_HISTORICO_MANUT[[#This Row],[Hora Inicio]],0),0)</f>
        <v>0</v>
      </c>
      <c r="W50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0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06" s="117">
        <v>46068.190266203703</v>
      </c>
      <c r="Z506" s="118">
        <v>46068.33384259259</v>
      </c>
      <c r="AA506" s="119" t="s">
        <v>208</v>
      </c>
      <c r="AB506" s="119"/>
      <c r="AC506" s="115" t="s">
        <v>362</v>
      </c>
      <c r="AD506" s="117" t="s">
        <v>146</v>
      </c>
      <c r="AE506" s="117" t="s">
        <v>175</v>
      </c>
      <c r="AF506" s="122" t="s">
        <v>210</v>
      </c>
      <c r="AG506" s="123">
        <f>IF(TAB_HISTORICO_MANUT[[#This Row],[Hora Inicio]]="","",MONTH(TAB_HISTORICO_MANUT[[#This Row],[Hora Inicio]]))</f>
        <v>2</v>
      </c>
      <c r="AH506" s="120" t="s">
        <v>619</v>
      </c>
      <c r="AI506" s="115" t="s">
        <v>340</v>
      </c>
      <c r="AJ506" s="115" t="s">
        <v>432</v>
      </c>
      <c r="AK506" s="115"/>
      <c r="AL506" s="115"/>
      <c r="AM506" s="121"/>
      <c r="AN506" s="115"/>
      <c r="AO506" s="115"/>
      <c r="AP506" s="115"/>
    </row>
    <row r="507" spans="1:42" ht="50.1" customHeight="1" x14ac:dyDescent="0.25">
      <c r="A507" s="43">
        <f>MONTH(TAB_HISTORICO_MANUT[[#This Row],[Hora Final]])-MONTH(TAB_HISTORICO_MANUT[[#This Row],[Hora Inicio]])</f>
        <v>0</v>
      </c>
      <c r="B507" s="42"/>
      <c r="C507" s="43"/>
      <c r="D507" s="42"/>
      <c r="E507" s="42"/>
      <c r="F507" s="42"/>
      <c r="G507" s="42"/>
      <c r="H507" s="42"/>
      <c r="I507" s="116"/>
      <c r="J507" s="116"/>
      <c r="K507" s="116"/>
      <c r="L507" s="116"/>
      <c r="M507" s="116"/>
      <c r="N50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Inicio]]=Z506,TAB_HISTORICO_MANUT[[#This Row],[Equipamento]]=AA506,TAB_HISTORICO_MANUT[[#This Row],[Descricao Despacho]]=AD506),0,1)))</f>
        <v>0</v>
      </c>
      <c r="O50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507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0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507" s="50">
        <f>IF($Q507="","",(TAB_HISTORICO_MANUT[[#This Row],[Hora Final]]-TAB_HISTORICO_MANUT[[#This Row],[Hora Inicio]])*24)</f>
        <v>4.0000000001164153</v>
      </c>
      <c r="S50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07" s="54" t="str">
        <f>IF(AND(TAB_HISTORICO_MANUT[[#This Row],[EXPURGO Mãe]]="SIM",TAB_HISTORICO_MANUT[[#This Row],[Tipo]]="MÃE"),"EXP.MAE",IF(TAB_HISTORICO_MANUT[[#This Row],[EXPURGO Mãe]]="NÃO","NÃO EXP.MAE",T506))</f>
        <v>NÃO EXP.MAE</v>
      </c>
      <c r="U50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07" s="56">
        <f>IF(TAB_HISTORICO_MANUT[[#This Row],[EXPURGO Filhas]]="SIM",MAX(TAB_HISTORICO_MANUT[[#This Row],[Hora Final]]-TAB_HISTORICO_MANUT[[#This Row],[Hora Inicio]],0),0)</f>
        <v>0</v>
      </c>
      <c r="W50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0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07" s="46">
        <v>46068.33384259259</v>
      </c>
      <c r="Z507" s="47">
        <v>46068.500509259262</v>
      </c>
      <c r="AA507" s="48" t="s">
        <v>208</v>
      </c>
      <c r="AB507" s="48"/>
      <c r="AC507" s="43" t="s">
        <v>302</v>
      </c>
      <c r="AD507" s="46" t="s">
        <v>146</v>
      </c>
      <c r="AE507" s="46" t="s">
        <v>311</v>
      </c>
      <c r="AF507" s="88" t="s">
        <v>210</v>
      </c>
      <c r="AG507" s="105">
        <f>IF(TAB_HISTORICO_MANUT[[#This Row],[Hora Inicio]]="","",MONTH(TAB_HISTORICO_MANUT[[#This Row],[Hora Inicio]]))</f>
        <v>2</v>
      </c>
      <c r="AH507" s="58" t="s">
        <v>619</v>
      </c>
      <c r="AI507" s="43" t="s">
        <v>340</v>
      </c>
      <c r="AJ507" s="43" t="s">
        <v>432</v>
      </c>
      <c r="AK507" s="43"/>
      <c r="AL507" s="43"/>
      <c r="AM507" s="114"/>
      <c r="AN507" s="43"/>
      <c r="AO507" s="43"/>
      <c r="AP507" s="43"/>
    </row>
    <row r="508" spans="1:42" ht="50.1" customHeight="1" x14ac:dyDescent="0.25">
      <c r="A508" s="43">
        <f>MONTH(TAB_HISTORICO_MANUT[[#This Row],[Hora Final]])-MONTH(TAB_HISTORICO_MANUT[[#This Row],[Hora Inicio]])</f>
        <v>0</v>
      </c>
      <c r="B508" s="42"/>
      <c r="C508" s="43"/>
      <c r="D508" s="42"/>
      <c r="E508" s="42"/>
      <c r="F508" s="42"/>
      <c r="G508" s="42"/>
      <c r="H508" s="42"/>
      <c r="I508" s="116"/>
      <c r="J508" s="116"/>
      <c r="K508" s="116"/>
      <c r="L508" s="116"/>
      <c r="M508" s="116" t="s">
        <v>98</v>
      </c>
      <c r="N50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Inicio]]=Z507,TAB_HISTORICO_MANUT[[#This Row],[Equipamento]]=AA507,TAB_HISTORICO_MANUT[[#This Row],[Descricao Despacho]]=AD507),0,1)))</f>
        <v>0</v>
      </c>
      <c r="O50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508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0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508" s="50">
        <f>IF($Q508="","",(TAB_HISTORICO_MANUT[[#This Row],[Hora Final]]-TAB_HISTORICO_MANUT[[#This Row],[Hora Inicio]])*24)</f>
        <v>0.70138888887595385</v>
      </c>
      <c r="S50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508" s="54" t="str">
        <f>IF(AND(TAB_HISTORICO_MANUT[[#This Row],[EXPURGO Mãe]]="SIM",TAB_HISTORICO_MANUT[[#This Row],[Tipo]]="MÃE"),"EXP.MAE",IF(TAB_HISTORICO_MANUT[[#This Row],[EXPURGO Mãe]]="NÃO","NÃO EXP.MAE",T507))</f>
        <v>EXP.MAE</v>
      </c>
      <c r="U50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08" s="56">
        <f>IF(TAB_HISTORICO_MANUT[[#This Row],[EXPURGO Filhas]]="SIM",MAX(TAB_HISTORICO_MANUT[[#This Row],[Hora Final]]-TAB_HISTORICO_MANUT[[#This Row],[Hora Inicio]],0),0)</f>
        <v>0</v>
      </c>
      <c r="W50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0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08" s="46">
        <v>46068.500509259262</v>
      </c>
      <c r="Z508" s="47">
        <v>46068.529733796298</v>
      </c>
      <c r="AA508" s="48" t="s">
        <v>208</v>
      </c>
      <c r="AB508" s="48"/>
      <c r="AC508" s="43" t="s">
        <v>302</v>
      </c>
      <c r="AD508" s="46" t="s">
        <v>146</v>
      </c>
      <c r="AE508" s="46" t="s">
        <v>311</v>
      </c>
      <c r="AF508" s="88" t="s">
        <v>210</v>
      </c>
      <c r="AG508" s="105">
        <f>IF(TAB_HISTORICO_MANUT[[#This Row],[Hora Inicio]]="","",MONTH(TAB_HISTORICO_MANUT[[#This Row],[Hora Inicio]]))</f>
        <v>2</v>
      </c>
      <c r="AH508" s="58" t="s">
        <v>619</v>
      </c>
      <c r="AI508" s="43" t="s">
        <v>340</v>
      </c>
      <c r="AJ508" s="43" t="s">
        <v>432</v>
      </c>
      <c r="AK508" s="43"/>
      <c r="AL508" s="43"/>
      <c r="AM508" s="114"/>
      <c r="AN508" s="43"/>
      <c r="AO508" s="43"/>
      <c r="AP508" s="43"/>
    </row>
    <row r="509" spans="1:42" ht="50.1" customHeight="1" x14ac:dyDescent="0.25">
      <c r="A509" s="43">
        <f>MONTH(TAB_HISTORICO_MANUT[[#This Row],[Hora Final]])-MONTH(TAB_HISTORICO_MANUT[[#This Row],[Hora Inicio]])</f>
        <v>0</v>
      </c>
      <c r="B509" s="42"/>
      <c r="C509" s="43"/>
      <c r="D509" s="42"/>
      <c r="E509" s="42"/>
      <c r="F509" s="42"/>
      <c r="G509" s="42"/>
      <c r="H509" s="42"/>
      <c r="I509" s="116"/>
      <c r="J509" s="116"/>
      <c r="K509" s="116"/>
      <c r="L509" s="116"/>
      <c r="M509" s="116"/>
      <c r="N50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Inicio]]=Z508,TAB_HISTORICO_MANUT[[#This Row],[Equipamento]]=AA508,TAB_HISTORICO_MANUT[[#This Row],[Descricao Despacho]]=AD508),0,1)))</f>
        <v>0</v>
      </c>
      <c r="O50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509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0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509" s="50">
        <f>IF($Q509="","",(TAB_HISTORICO_MANUT[[#This Row],[Hora Final]]-TAB_HISTORICO_MANUT[[#This Row],[Hora Inicio]])*24)</f>
        <v>16.486388888850342</v>
      </c>
      <c r="S50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09" s="54" t="str">
        <f>IF(AND(TAB_HISTORICO_MANUT[[#This Row],[EXPURGO Mãe]]="SIM",TAB_HISTORICO_MANUT[[#This Row],[Tipo]]="MÃE"),"EXP.MAE",IF(TAB_HISTORICO_MANUT[[#This Row],[EXPURGO Mãe]]="NÃO","NÃO EXP.MAE",T508))</f>
        <v>NÃO EXP.MAE</v>
      </c>
      <c r="U50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09" s="56">
        <f>IF(TAB_HISTORICO_MANUT[[#This Row],[EXPURGO Filhas]]="SIM",MAX(TAB_HISTORICO_MANUT[[#This Row],[Hora Final]]-TAB_HISTORICO_MANUT[[#This Row],[Hora Inicio]],0),0)</f>
        <v>0</v>
      </c>
      <c r="W50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0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09" s="46">
        <v>46068.529733796298</v>
      </c>
      <c r="Z509" s="47">
        <v>46069.216666666667</v>
      </c>
      <c r="AA509" s="48" t="s">
        <v>208</v>
      </c>
      <c r="AB509" s="48"/>
      <c r="AC509" s="43" t="s">
        <v>301</v>
      </c>
      <c r="AD509" s="46" t="s">
        <v>146</v>
      </c>
      <c r="AE509" s="46" t="s">
        <v>310</v>
      </c>
      <c r="AF509" s="88" t="s">
        <v>210</v>
      </c>
      <c r="AG509" s="105">
        <f>IF(TAB_HISTORICO_MANUT[[#This Row],[Hora Inicio]]="","",MONTH(TAB_HISTORICO_MANUT[[#This Row],[Hora Inicio]]))</f>
        <v>2</v>
      </c>
      <c r="AH509" s="58" t="s">
        <v>619</v>
      </c>
      <c r="AI509" s="43" t="s">
        <v>340</v>
      </c>
      <c r="AJ509" s="43" t="s">
        <v>432</v>
      </c>
      <c r="AK509" s="43"/>
      <c r="AL509" s="43"/>
      <c r="AM509" s="114"/>
      <c r="AN509" s="43"/>
      <c r="AO509" s="43"/>
      <c r="AP509" s="43"/>
    </row>
    <row r="510" spans="1:42" ht="50.1" customHeight="1" x14ac:dyDescent="0.25">
      <c r="A510" s="43">
        <f>MONTH(TAB_HISTORICO_MANUT[[#This Row],[Hora Final]])-MONTH(TAB_HISTORICO_MANUT[[#This Row],[Hora Inicio]])</f>
        <v>0</v>
      </c>
      <c r="B510" s="42"/>
      <c r="C510" s="43"/>
      <c r="D510" s="42"/>
      <c r="E510" s="42"/>
      <c r="F510" s="42"/>
      <c r="G510" s="42"/>
      <c r="H510" s="42"/>
      <c r="I510" s="116"/>
      <c r="J510" s="116"/>
      <c r="K510" s="116"/>
      <c r="L510" s="116"/>
      <c r="M510" s="116"/>
      <c r="N51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Inicio]]=Z509,TAB_HISTORICO_MANUT[[#This Row],[Equipamento]]=AA509,TAB_HISTORICO_MANUT[[#This Row],[Descricao Despacho]]=AD509),0,1)))</f>
        <v>0</v>
      </c>
      <c r="O51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510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1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510" s="50">
        <f>IF($Q510="","",(TAB_HISTORICO_MANUT[[#This Row],[Hora Final]]-TAB_HISTORICO_MANUT[[#This Row],[Hora Inicio]])*24)</f>
        <v>4.4833333332790062</v>
      </c>
      <c r="S51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510" s="54" t="str">
        <f>IF(AND(TAB_HISTORICO_MANUT[[#This Row],[EXPURGO Mãe]]="SIM",TAB_HISTORICO_MANUT[[#This Row],[Tipo]]="MÃE"),"EXP.MAE",IF(TAB_HISTORICO_MANUT[[#This Row],[EXPURGO Mãe]]="NÃO","NÃO EXP.MAE",T509))</f>
        <v>EXP.MAE</v>
      </c>
      <c r="U51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10" s="56">
        <f>IF(TAB_HISTORICO_MANUT[[#This Row],[EXPURGO Filhas]]="SIM",MAX(TAB_HISTORICO_MANUT[[#This Row],[Hora Final]]-TAB_HISTORICO_MANUT[[#This Row],[Hora Inicio]],0),0)</f>
        <v>0</v>
      </c>
      <c r="W51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1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10" s="46">
        <v>46069.216666666667</v>
      </c>
      <c r="Z510" s="47">
        <v>46069.40347222222</v>
      </c>
      <c r="AA510" s="48" t="s">
        <v>208</v>
      </c>
      <c r="AB510" s="48"/>
      <c r="AC510" s="43" t="s">
        <v>301</v>
      </c>
      <c r="AD510" s="46" t="s">
        <v>146</v>
      </c>
      <c r="AE510" s="46" t="s">
        <v>177</v>
      </c>
      <c r="AF510" s="88" t="s">
        <v>210</v>
      </c>
      <c r="AG510" s="105">
        <f>IF(TAB_HISTORICO_MANUT[[#This Row],[Hora Inicio]]="","",MONTH(TAB_HISTORICO_MANUT[[#This Row],[Hora Inicio]]))</f>
        <v>2</v>
      </c>
      <c r="AH510" s="58" t="s">
        <v>619</v>
      </c>
      <c r="AI510" s="43" t="s">
        <v>340</v>
      </c>
      <c r="AJ510" s="43" t="s">
        <v>432</v>
      </c>
      <c r="AK510" s="43"/>
      <c r="AL510" s="43"/>
      <c r="AM510" s="114"/>
      <c r="AN510" s="43"/>
      <c r="AO510" s="43"/>
      <c r="AP510" s="43"/>
    </row>
    <row r="511" spans="1:42" ht="50.1" customHeight="1" x14ac:dyDescent="0.25">
      <c r="A511" s="43">
        <f>MONTH(TAB_HISTORICO_MANUT[[#This Row],[Hora Final]])-MONTH(TAB_HISTORICO_MANUT[[#This Row],[Hora Inicio]])</f>
        <v>0</v>
      </c>
      <c r="B511" s="42"/>
      <c r="C511" s="43"/>
      <c r="D511" s="42"/>
      <c r="E511" s="42"/>
      <c r="F511" s="42"/>
      <c r="G511" s="42"/>
      <c r="H511" s="42"/>
      <c r="I511" s="116"/>
      <c r="J511" s="116"/>
      <c r="K511" s="116"/>
      <c r="L511" s="116"/>
      <c r="M511" s="116"/>
      <c r="N51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Inicio]]=Z510,TAB_HISTORICO_MANUT[[#This Row],[Equipamento]]=AA510,TAB_HISTORICO_MANUT[[#This Row],[Descricao Despacho]]=AD510),0,1)))</f>
        <v>0</v>
      </c>
      <c r="O51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511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1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511" s="50">
        <f>IF($Q511="","",(TAB_HISTORICO_MANUT[[#This Row],[Hora Final]]-TAB_HISTORICO_MANUT[[#This Row],[Hora Inicio]])*24)</f>
        <v>3.2472222222131677</v>
      </c>
      <c r="S51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11" s="54" t="str">
        <f>IF(AND(TAB_HISTORICO_MANUT[[#This Row],[EXPURGO Mãe]]="SIM",TAB_HISTORICO_MANUT[[#This Row],[Tipo]]="MÃE"),"EXP.MAE",IF(TAB_HISTORICO_MANUT[[#This Row],[EXPURGO Mãe]]="NÃO","NÃO EXP.MAE",T510))</f>
        <v>NÃO EXP.MAE</v>
      </c>
      <c r="U51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11" s="56">
        <f>IF(TAB_HISTORICO_MANUT[[#This Row],[EXPURGO Filhas]]="SIM",MAX(TAB_HISTORICO_MANUT[[#This Row],[Hora Final]]-TAB_HISTORICO_MANUT[[#This Row],[Hora Inicio]],0),0)</f>
        <v>0</v>
      </c>
      <c r="W51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1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11" s="46">
        <v>46069.40347222222</v>
      </c>
      <c r="Z511" s="47">
        <v>46069.538773148146</v>
      </c>
      <c r="AA511" s="48" t="s">
        <v>208</v>
      </c>
      <c r="AB511" s="48"/>
      <c r="AC511" s="43" t="s">
        <v>301</v>
      </c>
      <c r="AD511" s="46" t="s">
        <v>146</v>
      </c>
      <c r="AE511" s="46" t="s">
        <v>310</v>
      </c>
      <c r="AF511" s="88" t="s">
        <v>210</v>
      </c>
      <c r="AG511" s="105">
        <f>IF(TAB_HISTORICO_MANUT[[#This Row],[Hora Inicio]]="","",MONTH(TAB_HISTORICO_MANUT[[#This Row],[Hora Inicio]]))</f>
        <v>2</v>
      </c>
      <c r="AH511" s="58" t="s">
        <v>619</v>
      </c>
      <c r="AI511" s="43" t="s">
        <v>340</v>
      </c>
      <c r="AJ511" s="43" t="s">
        <v>432</v>
      </c>
      <c r="AK511" s="43"/>
      <c r="AL511" s="43"/>
      <c r="AM511" s="114"/>
      <c r="AN511" s="43"/>
      <c r="AO511" s="43"/>
      <c r="AP511" s="43"/>
    </row>
    <row r="512" spans="1:42" ht="50.1" customHeight="1" x14ac:dyDescent="0.25">
      <c r="A512" s="43">
        <f>MONTH(TAB_HISTORICO_MANUT[[#This Row],[Hora Final]])-MONTH(TAB_HISTORICO_MANUT[[#This Row],[Hora Inicio]])</f>
        <v>0</v>
      </c>
      <c r="B512" s="42"/>
      <c r="C512" s="43"/>
      <c r="D512" s="42"/>
      <c r="E512" s="42"/>
      <c r="F512" s="42"/>
      <c r="G512" s="42"/>
      <c r="H512" s="42"/>
      <c r="I512" s="116"/>
      <c r="J512" s="116"/>
      <c r="K512" s="116"/>
      <c r="L512" s="116"/>
      <c r="M512" s="116" t="s">
        <v>99</v>
      </c>
      <c r="N51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Inicio]]=Z511,TAB_HISTORICO_MANUT[[#This Row],[Equipamento]]=AA511,TAB_HISTORICO_MANUT[[#This Row],[Descricao Despacho]]=AD511),0,1)))</f>
        <v>1</v>
      </c>
      <c r="O51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512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1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512" s="50">
        <f>IF($Q512="","",(TAB_HISTORICO_MANUT[[#This Row],[Hora Final]]-TAB_HISTORICO_MANUT[[#This Row],[Hora Inicio]])*24)</f>
        <v>0.75611111096804962</v>
      </c>
      <c r="S51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12" s="54" t="str">
        <f>IF(AND(TAB_HISTORICO_MANUT[[#This Row],[EXPURGO Mãe]]="SIM",TAB_HISTORICO_MANUT[[#This Row],[Tipo]]="MÃE"),"EXP.MAE",IF(TAB_HISTORICO_MANUT[[#This Row],[EXPURGO Mãe]]="NÃO","NÃO EXP.MAE",T511))</f>
        <v>NÃO EXP.MAE</v>
      </c>
      <c r="U51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12" s="56">
        <f>IF(TAB_HISTORICO_MANUT[[#This Row],[EXPURGO Filhas]]="SIM",MAX(TAB_HISTORICO_MANUT[[#This Row],[Hora Final]]-TAB_HISTORICO_MANUT[[#This Row],[Hora Inicio]],0),0)</f>
        <v>0</v>
      </c>
      <c r="W51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1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12" s="46">
        <v>46069.545891203707</v>
      </c>
      <c r="Z512" s="47">
        <v>46069.57739583333</v>
      </c>
      <c r="AA512" s="48" t="s">
        <v>208</v>
      </c>
      <c r="AB512" s="48"/>
      <c r="AC512" s="43" t="s">
        <v>300</v>
      </c>
      <c r="AD512" s="46" t="s">
        <v>146</v>
      </c>
      <c r="AE512" s="46" t="s">
        <v>178</v>
      </c>
      <c r="AF512" s="88" t="s">
        <v>210</v>
      </c>
      <c r="AG512" s="105">
        <f>IF(TAB_HISTORICO_MANUT[[#This Row],[Hora Inicio]]="","",MONTH(TAB_HISTORICO_MANUT[[#This Row],[Hora Inicio]]))</f>
        <v>2</v>
      </c>
      <c r="AH512" s="58"/>
      <c r="AI512" s="43" t="s">
        <v>21</v>
      </c>
      <c r="AJ512" s="43" t="s">
        <v>21</v>
      </c>
      <c r="AK512" s="43" t="s">
        <v>21</v>
      </c>
      <c r="AL512" s="43" t="s">
        <v>21</v>
      </c>
      <c r="AM512" s="114" t="s">
        <v>21</v>
      </c>
      <c r="AN512" s="43"/>
      <c r="AO512" s="43"/>
      <c r="AP512" s="43"/>
    </row>
    <row r="513" spans="1:42" ht="50.1" customHeight="1" x14ac:dyDescent="0.25">
      <c r="A513" s="43">
        <f>MONTH(TAB_HISTORICO_MANUT[[#This Row],[Hora Final]])-MONTH(TAB_HISTORICO_MANUT[[#This Row],[Hora Inicio]])</f>
        <v>0</v>
      </c>
      <c r="B513" s="42"/>
      <c r="C513" s="43"/>
      <c r="D513" s="42"/>
      <c r="E513" s="42"/>
      <c r="F513" s="42"/>
      <c r="G513" s="42"/>
      <c r="H513" s="42"/>
      <c r="I513" s="116"/>
      <c r="J513" s="116"/>
      <c r="K513" s="116"/>
      <c r="L513" s="116">
        <v>0</v>
      </c>
      <c r="M513" s="116"/>
      <c r="N51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Inicio]]=Z512,TAB_HISTORICO_MANUT[[#This Row],[Equipamento]]=AA512,TAB_HISTORICO_MANUT[[#This Row],[Descricao Despacho]]=AD512),0,1)))</f>
        <v>0</v>
      </c>
      <c r="O51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513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1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513" s="50">
        <f>IF($Q513="","",(TAB_HISTORICO_MANUT[[#This Row],[Hora Final]]-TAB_HISTORICO_MANUT[[#This Row],[Hora Inicio]])*24)</f>
        <v>15.263888888934162</v>
      </c>
      <c r="S51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13" s="54" t="str">
        <f>IF(AND(TAB_HISTORICO_MANUT[[#This Row],[EXPURGO Mãe]]="SIM",TAB_HISTORICO_MANUT[[#This Row],[Tipo]]="MÃE"),"EXP.MAE",IF(TAB_HISTORICO_MANUT[[#This Row],[EXPURGO Mãe]]="NÃO","NÃO EXP.MAE",T512))</f>
        <v>NÃO EXP.MAE</v>
      </c>
      <c r="U51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13" s="56">
        <f>IF(TAB_HISTORICO_MANUT[[#This Row],[EXPURGO Filhas]]="SIM",MAX(TAB_HISTORICO_MANUT[[#This Row],[Hora Final]]-TAB_HISTORICO_MANUT[[#This Row],[Hora Inicio]],0),0)</f>
        <v>0</v>
      </c>
      <c r="W51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1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13" s="46">
        <v>46069.579895833333</v>
      </c>
      <c r="Z513" s="47">
        <v>46070.215891203705</v>
      </c>
      <c r="AA513" s="48" t="s">
        <v>208</v>
      </c>
      <c r="AB513" s="48"/>
      <c r="AC513" s="43" t="s">
        <v>481</v>
      </c>
      <c r="AD513" s="46" t="s">
        <v>146</v>
      </c>
      <c r="AE513" s="46" t="s">
        <v>480</v>
      </c>
      <c r="AF513" s="88" t="s">
        <v>210</v>
      </c>
      <c r="AG513" s="105">
        <f>IF(TAB_HISTORICO_MANUT[[#This Row],[Hora Inicio]]="","",MONTH(TAB_HISTORICO_MANUT[[#This Row],[Hora Inicio]]))</f>
        <v>2</v>
      </c>
      <c r="AH513" s="58" t="s">
        <v>595</v>
      </c>
      <c r="AI513" s="43" t="s">
        <v>21</v>
      </c>
      <c r="AJ513" s="43" t="s">
        <v>21</v>
      </c>
      <c r="AK513" s="43" t="s">
        <v>21</v>
      </c>
      <c r="AL513" s="43" t="s">
        <v>21</v>
      </c>
      <c r="AM513" s="114" t="s">
        <v>21</v>
      </c>
      <c r="AN513" s="43"/>
      <c r="AO513" s="43"/>
      <c r="AP513" s="43"/>
    </row>
    <row r="514" spans="1:42" ht="50.1" customHeight="1" x14ac:dyDescent="0.25">
      <c r="A514" s="43">
        <f>MONTH(TAB_HISTORICO_MANUT[[#This Row],[Hora Final]])-MONTH(TAB_HISTORICO_MANUT[[#This Row],[Hora Inicio]])</f>
        <v>0</v>
      </c>
      <c r="B514" s="42"/>
      <c r="C514" s="43"/>
      <c r="D514" s="42"/>
      <c r="E514" s="42"/>
      <c r="F514" s="42"/>
      <c r="G514" s="42"/>
      <c r="H514" s="42"/>
      <c r="I514" s="116"/>
      <c r="J514" s="116"/>
      <c r="K514" s="116"/>
      <c r="L514" s="116"/>
      <c r="M514" s="116" t="s">
        <v>98</v>
      </c>
      <c r="N514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Inicio]]=Z513,TAB_HISTORICO_MANUT[[#This Row],[Equipamento]]=AA513,TAB_HISTORICO_MANUT[[#This Row],[Descricao Despacho]]=AD513),0,1)))</f>
        <v/>
      </c>
      <c r="O51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514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51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514" s="50" t="str">
        <f>IF($Q514="","",(TAB_HISTORICO_MANUT[[#This Row],[Hora Final]]-TAB_HISTORICO_MANUT[[#This Row],[Hora Inicio]])*24)</f>
        <v/>
      </c>
      <c r="S51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514" s="54" t="str">
        <f>IF(AND(TAB_HISTORICO_MANUT[[#This Row],[EXPURGO Mãe]]="SIM",TAB_HISTORICO_MANUT[[#This Row],[Tipo]]="MÃE"),"EXP.MAE",IF(TAB_HISTORICO_MANUT[[#This Row],[EXPURGO Mãe]]="NÃO","NÃO EXP.MAE",T513))</f>
        <v>NÃO EXP.MAE</v>
      </c>
      <c r="U51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514" s="56">
        <f>IF(TAB_HISTORICO_MANUT[[#This Row],[EXPURGO Filhas]]="SIM",MAX(TAB_HISTORICO_MANUT[[#This Row],[Hora Final]]-TAB_HISTORICO_MANUT[[#This Row],[Hora Inicio]],0),0)</f>
        <v>0.44837675699818647</v>
      </c>
      <c r="W51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1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14" s="46">
        <v>46069.767514446707</v>
      </c>
      <c r="Z514" s="47">
        <v>46070.215891203705</v>
      </c>
      <c r="AA514" s="48" t="s">
        <v>208</v>
      </c>
      <c r="AB514" s="48"/>
      <c r="AC514" s="43" t="s">
        <v>481</v>
      </c>
      <c r="AD514" s="46" t="s">
        <v>146</v>
      </c>
      <c r="AE514" s="46" t="s">
        <v>480</v>
      </c>
      <c r="AF514" s="88" t="s">
        <v>767</v>
      </c>
      <c r="AG514" s="105">
        <f>IF(TAB_HISTORICO_MANUT[[#This Row],[Hora Inicio]]="","",MONTH(TAB_HISTORICO_MANUT[[#This Row],[Hora Inicio]]))</f>
        <v>2</v>
      </c>
      <c r="AH514" s="58" t="s">
        <v>595</v>
      </c>
      <c r="AI514" s="43" t="s">
        <v>21</v>
      </c>
      <c r="AJ514" s="43" t="s">
        <v>21</v>
      </c>
      <c r="AK514" s="43" t="s">
        <v>21</v>
      </c>
      <c r="AL514" s="43" t="s">
        <v>21</v>
      </c>
      <c r="AM514" s="114" t="s">
        <v>21</v>
      </c>
      <c r="AN514" s="43"/>
      <c r="AO514" s="43"/>
      <c r="AP514" s="43"/>
    </row>
    <row r="515" spans="1:42" ht="50.1" customHeight="1" x14ac:dyDescent="0.25">
      <c r="A515" s="115">
        <f>MONTH(TAB_HISTORICO_MANUT[[#This Row],[Hora Final]])-MONTH(TAB_HISTORICO_MANUT[[#This Row],[Hora Inicio]])</f>
        <v>0</v>
      </c>
      <c r="B515" s="116"/>
      <c r="C515" s="115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Inicio]]=Z514,TAB_HISTORICO_MANUT[[#This Row],[Equipamento]]=AA514,TAB_HISTORICO_MANUT[[#This Row],[Descricao Despacho]]=AD514),0,1)))</f>
        <v>1</v>
      </c>
      <c r="O51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DE FREIO</v>
      </c>
      <c r="P51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1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515" s="107">
        <f>IF($Q515="","",(TAB_HISTORICO_MANUT[[#This Row],[Hora Final]]-TAB_HISTORICO_MANUT[[#This Row],[Hora Inicio]])*24)</f>
        <v>16.28194444446126</v>
      </c>
      <c r="S51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15" s="109" t="str">
        <f>IF(AND(TAB_HISTORICO_MANUT[[#This Row],[EXPURGO Mãe]]="SIM",TAB_HISTORICO_MANUT[[#This Row],[Tipo]]="MÃE"),"EXP.MAE",IF(TAB_HISTORICO_MANUT[[#This Row],[EXPURGO Mãe]]="NÃO","NÃO EXP.MAE",T514))</f>
        <v>NÃO EXP.MAE</v>
      </c>
      <c r="U51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15" s="110">
        <f>IF(TAB_HISTORICO_MANUT[[#This Row],[EXPURGO Filhas]]="SIM",MAX(TAB_HISTORICO_MANUT[[#This Row],[Hora Final]]-TAB_HISTORICO_MANUT[[#This Row],[Hora Inicio]],0),0)</f>
        <v>0</v>
      </c>
      <c r="W51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1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15" s="117">
        <v>46070.380567129629</v>
      </c>
      <c r="Z515" s="118">
        <v>46071.058981481481</v>
      </c>
      <c r="AA515" s="119" t="s">
        <v>208</v>
      </c>
      <c r="AB515" s="119" t="s">
        <v>568</v>
      </c>
      <c r="AC515" s="115" t="s">
        <v>204</v>
      </c>
      <c r="AD515" s="117" t="s">
        <v>144</v>
      </c>
      <c r="AE515" s="117" t="s">
        <v>172</v>
      </c>
      <c r="AF515" s="88" t="s">
        <v>210</v>
      </c>
      <c r="AG515" s="123">
        <f>IF(TAB_HISTORICO_MANUT[[#This Row],[Hora Inicio]]="","",MONTH(TAB_HISTORICO_MANUT[[#This Row],[Hora Inicio]]))</f>
        <v>2</v>
      </c>
      <c r="AH515" s="120" t="s">
        <v>598</v>
      </c>
      <c r="AI515" s="115" t="s">
        <v>46</v>
      </c>
      <c r="AJ515" s="115" t="s">
        <v>536</v>
      </c>
      <c r="AK515" s="115" t="s">
        <v>536</v>
      </c>
      <c r="AL515" s="115" t="s">
        <v>292</v>
      </c>
      <c r="AM515" s="121" t="s">
        <v>276</v>
      </c>
      <c r="AN515" s="115" t="s">
        <v>217</v>
      </c>
      <c r="AO515" s="115" t="s">
        <v>579</v>
      </c>
      <c r="AP515" s="115" t="s">
        <v>584</v>
      </c>
    </row>
    <row r="516" spans="1:42" ht="50.1" customHeight="1" x14ac:dyDescent="0.25">
      <c r="A516" s="43">
        <f>MONTH(TAB_HISTORICO_MANUT[[#This Row],[Hora Final]])-MONTH(TAB_HISTORICO_MANUT[[#This Row],[Hora Inicio]])</f>
        <v>0</v>
      </c>
      <c r="B516" s="42"/>
      <c r="C516" s="43"/>
      <c r="D516" s="42"/>
      <c r="E516" s="42"/>
      <c r="F516" s="42"/>
      <c r="G516" s="42"/>
      <c r="H516" s="42"/>
      <c r="I516" s="116"/>
      <c r="J516" s="116"/>
      <c r="K516" s="116"/>
      <c r="L516" s="116"/>
      <c r="M516" s="116"/>
      <c r="N51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Inicio]]=Z515,TAB_HISTORICO_MANUT[[#This Row],[Equipamento]]=AA515,TAB_HISTORICO_MANUT[[#This Row],[Descricao Despacho]]=AD515),0,1)))</f>
        <v>1</v>
      </c>
      <c r="O51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DE FREIO</v>
      </c>
      <c r="P51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1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516" s="50">
        <f>IF($Q516="","",(TAB_HISTORICO_MANUT[[#This Row],[Hora Final]]-TAB_HISTORICO_MANUT[[#This Row],[Hora Inicio]])*24)</f>
        <v>6.8138888888061047</v>
      </c>
      <c r="S51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16" s="54" t="str">
        <f>IF(AND(TAB_HISTORICO_MANUT[[#This Row],[EXPURGO Mãe]]="SIM",TAB_HISTORICO_MANUT[[#This Row],[Tipo]]="MÃE"),"EXP.MAE",IF(TAB_HISTORICO_MANUT[[#This Row],[EXPURGO Mãe]]="NÃO","NÃO EXP.MAE",T515))</f>
        <v>NÃO EXP.MAE</v>
      </c>
      <c r="U51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16" s="56">
        <f>IF(TAB_HISTORICO_MANUT[[#This Row],[EXPURGO Filhas]]="SIM",MAX(TAB_HISTORICO_MANUT[[#This Row],[Hora Final]]-TAB_HISTORICO_MANUT[[#This Row],[Hora Inicio]],0),0)</f>
        <v>0</v>
      </c>
      <c r="W51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1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16" s="46">
        <v>46071.274814814817</v>
      </c>
      <c r="Z516" s="47">
        <v>46071.55872685185</v>
      </c>
      <c r="AA516" s="48" t="s">
        <v>208</v>
      </c>
      <c r="AB516" s="48" t="s">
        <v>569</v>
      </c>
      <c r="AC516" s="115" t="s">
        <v>204</v>
      </c>
      <c r="AD516" s="117" t="s">
        <v>144</v>
      </c>
      <c r="AE516" s="46" t="s">
        <v>172</v>
      </c>
      <c r="AF516" s="88" t="s">
        <v>210</v>
      </c>
      <c r="AG516" s="105">
        <f>IF(TAB_HISTORICO_MANUT[[#This Row],[Hora Inicio]]="","",MONTH(TAB_HISTORICO_MANUT[[#This Row],[Hora Inicio]]))</f>
        <v>2</v>
      </c>
      <c r="AH516" s="58" t="s">
        <v>599</v>
      </c>
      <c r="AI516" s="43" t="s">
        <v>46</v>
      </c>
      <c r="AJ516" s="43" t="s">
        <v>537</v>
      </c>
      <c r="AK516" s="43" t="s">
        <v>613</v>
      </c>
      <c r="AL516" s="43" t="s">
        <v>275</v>
      </c>
      <c r="AM516" s="114" t="s">
        <v>276</v>
      </c>
      <c r="AN516" s="43" t="s">
        <v>215</v>
      </c>
      <c r="AO516" s="43" t="s">
        <v>477</v>
      </c>
      <c r="AP516" s="43" t="s">
        <v>585</v>
      </c>
    </row>
    <row r="517" spans="1:42" ht="50.1" customHeight="1" x14ac:dyDescent="0.25">
      <c r="A517" s="115">
        <f>MONTH(TAB_HISTORICO_MANUT[[#This Row],[Hora Final]])-MONTH(TAB_HISTORICO_MANUT[[#This Row],[Hora Inicio]])</f>
        <v>0</v>
      </c>
      <c r="B517" s="116"/>
      <c r="C517" s="115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Inicio]]=Z516,TAB_HISTORICO_MANUT[[#This Row],[Equipamento]]=AA516,TAB_HISTORICO_MANUT[[#This Row],[Descricao Despacho]]=AD516),0,1)))</f>
        <v>1</v>
      </c>
      <c r="O51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DE FREIO</v>
      </c>
      <c r="P51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1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517" s="107">
        <f>IF($Q517="","",(TAB_HISTORICO_MANUT[[#This Row],[Hora Final]]-TAB_HISTORICO_MANUT[[#This Row],[Hora Inicio]])*24)</f>
        <v>2.1766666666371748</v>
      </c>
      <c r="S51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17" s="109" t="str">
        <f>IF(AND(TAB_HISTORICO_MANUT[[#This Row],[EXPURGO Mãe]]="SIM",TAB_HISTORICO_MANUT[[#This Row],[Tipo]]="MÃE"),"EXP.MAE",IF(TAB_HISTORICO_MANUT[[#This Row],[EXPURGO Mãe]]="NÃO","NÃO EXP.MAE",T516))</f>
        <v>NÃO EXP.MAE</v>
      </c>
      <c r="U51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17" s="110">
        <f>IF(TAB_HISTORICO_MANUT[[#This Row],[EXPURGO Filhas]]="SIM",MAX(TAB_HISTORICO_MANUT[[#This Row],[Hora Final]]-TAB_HISTORICO_MANUT[[#This Row],[Hora Inicio]],0),0)</f>
        <v>0</v>
      </c>
      <c r="W51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1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17" s="117">
        <v>46071.592650462961</v>
      </c>
      <c r="Z517" s="118">
        <v>46071.683344907404</v>
      </c>
      <c r="AA517" s="119" t="s">
        <v>208</v>
      </c>
      <c r="AB517" s="119" t="s">
        <v>569</v>
      </c>
      <c r="AC517" s="115" t="s">
        <v>204</v>
      </c>
      <c r="AD517" s="117" t="s">
        <v>144</v>
      </c>
      <c r="AE517" s="117" t="s">
        <v>172</v>
      </c>
      <c r="AF517" s="88" t="s">
        <v>210</v>
      </c>
      <c r="AG517" s="123">
        <f>IF(TAB_HISTORICO_MANUT[[#This Row],[Hora Inicio]]="","",MONTH(TAB_HISTORICO_MANUT[[#This Row],[Hora Inicio]]))</f>
        <v>2</v>
      </c>
      <c r="AH517" s="120" t="s">
        <v>600</v>
      </c>
      <c r="AI517" s="115" t="s">
        <v>46</v>
      </c>
      <c r="AJ517" s="115" t="s">
        <v>537</v>
      </c>
      <c r="AK517" s="115" t="s">
        <v>529</v>
      </c>
      <c r="AL517" s="115" t="s">
        <v>530</v>
      </c>
      <c r="AM517" s="121" t="s">
        <v>531</v>
      </c>
      <c r="AN517" s="115" t="s">
        <v>217</v>
      </c>
      <c r="AO517" s="115" t="s">
        <v>586</v>
      </c>
      <c r="AP517" s="115" t="s">
        <v>469</v>
      </c>
    </row>
    <row r="518" spans="1:42" ht="50.1" customHeight="1" x14ac:dyDescent="0.25">
      <c r="A518" s="115">
        <f>MONTH(TAB_HISTORICO_MANUT[[#This Row],[Hora Final]])-MONTH(TAB_HISTORICO_MANUT[[#This Row],[Hora Inicio]])</f>
        <v>0</v>
      </c>
      <c r="B518" s="116"/>
      <c r="C518" s="115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Inicio]]=Z517,TAB_HISTORICO_MANUT[[#This Row],[Equipamento]]=AA517,TAB_HISTORICO_MANUT[[#This Row],[Descricao Despacho]]=AD517),0,1)))</f>
        <v/>
      </c>
      <c r="O51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518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51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518" s="107" t="str">
        <f>IF($Q518="","",(TAB_HISTORICO_MANUT[[#This Row],[Hora Final]]-TAB_HISTORICO_MANUT[[#This Row],[Hora Inicio]])*24)</f>
        <v/>
      </c>
      <c r="S51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518" s="109" t="str">
        <f>IF(AND(TAB_HISTORICO_MANUT[[#This Row],[EXPURGO Mãe]]="SIM",TAB_HISTORICO_MANUT[[#This Row],[Tipo]]="MÃE"),"EXP.MAE",IF(TAB_HISTORICO_MANUT[[#This Row],[EXPURGO Mãe]]="NÃO","NÃO EXP.MAE",T517))</f>
        <v>NÃO EXP.MAE</v>
      </c>
      <c r="U51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518" s="110">
        <f>IF(TAB_HISTORICO_MANUT[[#This Row],[EXPURGO Filhas]]="SIM",MAX(TAB_HISTORICO_MANUT[[#This Row],[Hora Final]]-TAB_HISTORICO_MANUT[[#This Row],[Hora Inicio]],0),0)</f>
        <v>2.4305555554747116E-2</v>
      </c>
      <c r="W51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1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18" s="117">
        <v>46071.594444444447</v>
      </c>
      <c r="Z518" s="118">
        <v>46071.618750000001</v>
      </c>
      <c r="AA518" s="119" t="s">
        <v>208</v>
      </c>
      <c r="AB518" s="119" t="s">
        <v>569</v>
      </c>
      <c r="AC518" s="115" t="s">
        <v>204</v>
      </c>
      <c r="AD518" s="117" t="s">
        <v>144</v>
      </c>
      <c r="AE518" s="117" t="s">
        <v>231</v>
      </c>
      <c r="AF518" s="88" t="s">
        <v>767</v>
      </c>
      <c r="AG518" s="123">
        <f>IF(TAB_HISTORICO_MANUT[[#This Row],[Hora Inicio]]="","",MONTH(TAB_HISTORICO_MANUT[[#This Row],[Hora Inicio]]))</f>
        <v>2</v>
      </c>
      <c r="AH518" s="120" t="s">
        <v>600</v>
      </c>
      <c r="AI518" s="115" t="s">
        <v>46</v>
      </c>
      <c r="AJ518" s="115" t="s">
        <v>537</v>
      </c>
      <c r="AK518" s="115" t="s">
        <v>529</v>
      </c>
      <c r="AL518" s="115" t="s">
        <v>530</v>
      </c>
      <c r="AM518" s="121" t="s">
        <v>531</v>
      </c>
      <c r="AN518" s="115" t="s">
        <v>217</v>
      </c>
      <c r="AO518" s="115" t="s">
        <v>586</v>
      </c>
      <c r="AP518" s="115" t="s">
        <v>469</v>
      </c>
    </row>
    <row r="519" spans="1:42" ht="50.1" customHeight="1" x14ac:dyDescent="0.25">
      <c r="A519" s="115">
        <f>MONTH(TAB_HISTORICO_MANUT[[#This Row],[Hora Final]])-MONTH(TAB_HISTORICO_MANUT[[#This Row],[Hora Inicio]])</f>
        <v>0</v>
      </c>
      <c r="B519" s="116"/>
      <c r="C519" s="115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Inicio]]=Z518,TAB_HISTORICO_MANUT[[#This Row],[Equipamento]]=AA518,TAB_HISTORICO_MANUT[[#This Row],[Descricao Despacho]]=AD518),0,1)))</f>
        <v>1</v>
      </c>
      <c r="O51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51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1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519" s="107">
        <f>IF($Q519="","",(TAB_HISTORICO_MANUT[[#This Row],[Hora Final]]-TAB_HISTORICO_MANUT[[#This Row],[Hora Inicio]])*24)</f>
        <v>3.27916666661622</v>
      </c>
      <c r="S51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19" s="109" t="str">
        <f>IF(AND(TAB_HISTORICO_MANUT[[#This Row],[EXPURGO Mãe]]="SIM",TAB_HISTORICO_MANUT[[#This Row],[Tipo]]="MÃE"),"EXP.MAE",IF(TAB_HISTORICO_MANUT[[#This Row],[EXPURGO Mãe]]="NÃO","NÃO EXP.MAE",T518))</f>
        <v>NÃO EXP.MAE</v>
      </c>
      <c r="U51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19" s="110">
        <f>IF(TAB_HISTORICO_MANUT[[#This Row],[EXPURGO Filhas]]="SIM",MAX(TAB_HISTORICO_MANUT[[#This Row],[Hora Final]]-TAB_HISTORICO_MANUT[[#This Row],[Hora Inicio]],0),0)</f>
        <v>0</v>
      </c>
      <c r="W51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1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19" s="117">
        <v>46073.713148148148</v>
      </c>
      <c r="Z519" s="118">
        <v>46073.849780092591</v>
      </c>
      <c r="AA519" s="119" t="s">
        <v>208</v>
      </c>
      <c r="AB519" s="119" t="s">
        <v>571</v>
      </c>
      <c r="AC519" s="115" t="s">
        <v>204</v>
      </c>
      <c r="AD519" s="117" t="s">
        <v>144</v>
      </c>
      <c r="AE519" s="117" t="s">
        <v>172</v>
      </c>
      <c r="AF519" s="88" t="s">
        <v>210</v>
      </c>
      <c r="AG519" s="123">
        <f>IF(TAB_HISTORICO_MANUT[[#This Row],[Hora Inicio]]="","",MONTH(TAB_HISTORICO_MANUT[[#This Row],[Hora Inicio]]))</f>
        <v>2</v>
      </c>
      <c r="AH519" s="120" t="s">
        <v>604</v>
      </c>
      <c r="AI519" s="115" t="s">
        <v>24</v>
      </c>
      <c r="AJ519" s="115" t="s">
        <v>423</v>
      </c>
      <c r="AK519" s="115" t="s">
        <v>422</v>
      </c>
      <c r="AL519" s="115" t="s">
        <v>279</v>
      </c>
      <c r="AM519" s="121" t="s">
        <v>280</v>
      </c>
      <c r="AN519" s="115" t="s">
        <v>217</v>
      </c>
      <c r="AO519" s="115" t="s">
        <v>419</v>
      </c>
      <c r="AP519" s="115" t="s">
        <v>420</v>
      </c>
    </row>
    <row r="520" spans="1:42" ht="50.1" customHeight="1" x14ac:dyDescent="0.25">
      <c r="A520" s="115">
        <f>MONTH(TAB_HISTORICO_MANUT[[#This Row],[Hora Final]])-MONTH(TAB_HISTORICO_MANUT[[#This Row],[Hora Inicio]])</f>
        <v>0</v>
      </c>
      <c r="B520" s="116"/>
      <c r="C520" s="115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Inicio]]=Z519,TAB_HISTORICO_MANUT[[#This Row],[Equipamento]]=AA519,TAB_HISTORICO_MANUT[[#This Row],[Descricao Despacho]]=AD519),0,1)))</f>
        <v>1</v>
      </c>
      <c r="O52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52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2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520" s="107">
        <f>IF($Q520="","",(TAB_HISTORICO_MANUT[[#This Row],[Hora Final]]-TAB_HISTORICO_MANUT[[#This Row],[Hora Inicio]])*24)</f>
        <v>8.1655555555480532</v>
      </c>
      <c r="S52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20" s="109" t="str">
        <f>IF(AND(TAB_HISTORICO_MANUT[[#This Row],[EXPURGO Mãe]]="SIM",TAB_HISTORICO_MANUT[[#This Row],[Tipo]]="MÃE"),"EXP.MAE",IF(TAB_HISTORICO_MANUT[[#This Row],[EXPURGO Mãe]]="NÃO","NÃO EXP.MAE",T519))</f>
        <v>NÃO EXP.MAE</v>
      </c>
      <c r="U52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20" s="110">
        <f>IF(TAB_HISTORICO_MANUT[[#This Row],[EXPURGO Filhas]]="SIM",MAX(TAB_HISTORICO_MANUT[[#This Row],[Hora Final]]-TAB_HISTORICO_MANUT[[#This Row],[Hora Inicio]],0),0)</f>
        <v>0</v>
      </c>
      <c r="W52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2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20" s="117">
        <v>46076.213113425925</v>
      </c>
      <c r="Z520" s="118">
        <v>46076.553344907406</v>
      </c>
      <c r="AA520" s="119" t="s">
        <v>208</v>
      </c>
      <c r="AB520" s="119"/>
      <c r="AC520" s="115" t="s">
        <v>204</v>
      </c>
      <c r="AD520" s="117" t="s">
        <v>144</v>
      </c>
      <c r="AE520" s="117" t="s">
        <v>172</v>
      </c>
      <c r="AF520" s="88" t="s">
        <v>210</v>
      </c>
      <c r="AG520" s="123">
        <f>IF(TAB_HISTORICO_MANUT[[#This Row],[Hora Inicio]]="","",MONTH(TAB_HISTORICO_MANUT[[#This Row],[Hora Inicio]]))</f>
        <v>2</v>
      </c>
      <c r="AH520" s="120" t="s">
        <v>621</v>
      </c>
      <c r="AI520" s="115" t="s">
        <v>24</v>
      </c>
      <c r="AJ520" s="115" t="s">
        <v>623</v>
      </c>
      <c r="AK520" s="115" t="s">
        <v>474</v>
      </c>
      <c r="AL520" s="115" t="s">
        <v>275</v>
      </c>
      <c r="AM520" s="121" t="s">
        <v>276</v>
      </c>
      <c r="AN520" s="115" t="s">
        <v>217</v>
      </c>
      <c r="AO520" s="115" t="s">
        <v>419</v>
      </c>
      <c r="AP520" s="115" t="s">
        <v>577</v>
      </c>
    </row>
    <row r="521" spans="1:42" ht="50.1" customHeight="1" x14ac:dyDescent="0.25">
      <c r="A521" s="115">
        <f>MONTH(TAB_HISTORICO_MANUT[[#This Row],[Hora Final]])-MONTH(TAB_HISTORICO_MANUT[[#This Row],[Hora Inicio]])</f>
        <v>0</v>
      </c>
      <c r="B521" s="116"/>
      <c r="C521" s="115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Inicio]]=Z520,TAB_HISTORICO_MANUT[[#This Row],[Equipamento]]=AA520,TAB_HISTORICO_MANUT[[#This Row],[Descricao Despacho]]=AD520),0,1)))</f>
        <v/>
      </c>
      <c r="O52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521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52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521" s="107" t="str">
        <f>IF($Q521="","",(TAB_HISTORICO_MANUT[[#This Row],[Hora Final]]-TAB_HISTORICO_MANUT[[#This Row],[Hora Inicio]])*24)</f>
        <v/>
      </c>
      <c r="S52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521" s="109" t="str">
        <f>IF(AND(TAB_HISTORICO_MANUT[[#This Row],[EXPURGO Mãe]]="SIM",TAB_HISTORICO_MANUT[[#This Row],[Tipo]]="MÃE"),"EXP.MAE",IF(TAB_HISTORICO_MANUT[[#This Row],[EXPURGO Mãe]]="NÃO","NÃO EXP.MAE",T520))</f>
        <v>NÃO EXP.MAE</v>
      </c>
      <c r="U52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521" s="110">
        <f>IF(TAB_HISTORICO_MANUT[[#This Row],[EXPURGO Filhas]]="SIM",MAX(TAB_HISTORICO_MANUT[[#This Row],[Hora Final]]-TAB_HISTORICO_MANUT[[#This Row],[Hora Inicio]],0),0)</f>
        <v>3.3333333332848269E-2</v>
      </c>
      <c r="W52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2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21" s="117">
        <v>46076.507638888892</v>
      </c>
      <c r="Z521" s="118">
        <v>46076.540972222225</v>
      </c>
      <c r="AA521" s="119" t="s">
        <v>208</v>
      </c>
      <c r="AB521" s="119"/>
      <c r="AC521" s="115" t="s">
        <v>204</v>
      </c>
      <c r="AD521" s="117" t="s">
        <v>144</v>
      </c>
      <c r="AE521" s="117" t="s">
        <v>231</v>
      </c>
      <c r="AF521" s="88" t="s">
        <v>767</v>
      </c>
      <c r="AG521" s="123">
        <f>IF(TAB_HISTORICO_MANUT[[#This Row],[Hora Inicio]]="","",MONTH(TAB_HISTORICO_MANUT[[#This Row],[Hora Inicio]]))</f>
        <v>2</v>
      </c>
      <c r="AH521" s="120" t="s">
        <v>621</v>
      </c>
      <c r="AI521" s="115" t="s">
        <v>24</v>
      </c>
      <c r="AJ521" s="115" t="s">
        <v>623</v>
      </c>
      <c r="AK521" s="115" t="s">
        <v>474</v>
      </c>
      <c r="AL521" s="115" t="s">
        <v>275</v>
      </c>
      <c r="AM521" s="121" t="s">
        <v>276</v>
      </c>
      <c r="AN521" s="115" t="s">
        <v>217</v>
      </c>
      <c r="AO521" s="115" t="s">
        <v>419</v>
      </c>
      <c r="AP521" s="115" t="s">
        <v>577</v>
      </c>
    </row>
    <row r="522" spans="1:42" ht="50.1" customHeight="1" x14ac:dyDescent="0.25">
      <c r="A522" s="43">
        <f>MONTH(TAB_HISTORICO_MANUT[[#This Row],[Hora Final]])-MONTH(TAB_HISTORICO_MANUT[[#This Row],[Hora Inicio]])</f>
        <v>0</v>
      </c>
      <c r="B522" s="42"/>
      <c r="C522" s="43"/>
      <c r="D522" s="42"/>
      <c r="E522" s="42"/>
      <c r="F522" s="42"/>
      <c r="G522" s="42"/>
      <c r="H522" s="42"/>
      <c r="I522" s="116"/>
      <c r="J522" s="116"/>
      <c r="K522" s="116"/>
      <c r="L522" s="116"/>
      <c r="M522" s="116"/>
      <c r="N52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Inicio]]=Z521,TAB_HISTORICO_MANUT[[#This Row],[Equipamento]]=AA521,TAB_HISTORICO_MANUT[[#This Row],[Descricao Despacho]]=AD521),0,1)))</f>
        <v>1</v>
      </c>
      <c r="O52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ALERTA DE PROXIMIDADE</v>
      </c>
      <c r="P522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52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522" s="50">
        <f>IF($Q522="","",(TAB_HISTORICO_MANUT[[#This Row],[Hora Final]]-TAB_HISTORICO_MANUT[[#This Row],[Hora Inicio]])*24)</f>
        <v>1.1733333332813345</v>
      </c>
      <c r="S52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522" s="54" t="str">
        <f>IF(AND(TAB_HISTORICO_MANUT[[#This Row],[EXPURGO Mãe]]="SIM",TAB_HISTORICO_MANUT[[#This Row],[Tipo]]="MÃE"),"EXP.MAE",IF(TAB_HISTORICO_MANUT[[#This Row],[EXPURGO Mãe]]="NÃO","NÃO EXP.MAE",T521))</f>
        <v>EXP.MAE</v>
      </c>
      <c r="U52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22" s="56">
        <f>IF(TAB_HISTORICO_MANUT[[#This Row],[EXPURGO Filhas]]="SIM",MAX(TAB_HISTORICO_MANUT[[#This Row],[Hora Final]]-TAB_HISTORICO_MANUT[[#This Row],[Hora Inicio]],0),0)</f>
        <v>0</v>
      </c>
      <c r="W52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2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22" s="46">
        <v>46076.788530092592</v>
      </c>
      <c r="Z522" s="47">
        <v>46076.837418981479</v>
      </c>
      <c r="AA522" s="48" t="s">
        <v>208</v>
      </c>
      <c r="AB522" s="48"/>
      <c r="AC522" s="43" t="s">
        <v>364</v>
      </c>
      <c r="AD522" s="46" t="s">
        <v>145</v>
      </c>
      <c r="AE522" s="46" t="s">
        <v>360</v>
      </c>
      <c r="AF522" s="88" t="s">
        <v>210</v>
      </c>
      <c r="AG522" s="105">
        <f>IF(TAB_HISTORICO_MANUT[[#This Row],[Hora Inicio]]="","",MONTH(TAB_HISTORICO_MANUT[[#This Row],[Hora Inicio]]))</f>
        <v>2</v>
      </c>
      <c r="AH522" s="58" t="s">
        <v>622</v>
      </c>
      <c r="AI522" s="43" t="s">
        <v>153</v>
      </c>
      <c r="AJ522" s="43" t="s">
        <v>428</v>
      </c>
      <c r="AK522" s="43"/>
      <c r="AL522" s="43"/>
      <c r="AM522" s="114"/>
      <c r="AN522" s="43"/>
      <c r="AO522" s="43"/>
      <c r="AP522" s="43"/>
    </row>
    <row r="523" spans="1:42" ht="50.1" customHeight="1" x14ac:dyDescent="0.25">
      <c r="A523" s="115">
        <f>MONTH(TAB_HISTORICO_MANUT[[#This Row],[Hora Final]])-MONTH(TAB_HISTORICO_MANUT[[#This Row],[Hora Inicio]])</f>
        <v>0</v>
      </c>
      <c r="B523" s="116"/>
      <c r="C523" s="115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Inicio]]=Z522,TAB_HISTORICO_MANUT[[#This Row],[Equipamento]]=AA522,TAB_HISTORICO_MANUT[[#This Row],[Descricao Despacho]]=AD522),0,1)))</f>
        <v>1</v>
      </c>
      <c r="O52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523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2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523" s="50">
        <f>IF($Q523="","",(TAB_HISTORICO_MANUT[[#This Row],[Hora Final]]-TAB_HISTORICO_MANUT[[#This Row],[Hora Inicio]])*24)</f>
        <v>1.1030555556644686</v>
      </c>
      <c r="S52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23" s="54" t="str">
        <f>IF(AND(TAB_HISTORICO_MANUT[[#This Row],[EXPURGO Mãe]]="SIM",TAB_HISTORICO_MANUT[[#This Row],[Tipo]]="MÃE"),"EXP.MAE",IF(TAB_HISTORICO_MANUT[[#This Row],[EXPURGO Mãe]]="NÃO","NÃO EXP.MAE",T522))</f>
        <v>NÃO EXP.MAE</v>
      </c>
      <c r="U52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23" s="56">
        <f>IF(TAB_HISTORICO_MANUT[[#This Row],[EXPURGO Filhas]]="SIM",MAX(TAB_HISTORICO_MANUT[[#This Row],[Hora Final]]-TAB_HISTORICO_MANUT[[#This Row],[Hora Inicio]],0),0)</f>
        <v>0</v>
      </c>
      <c r="W52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2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23" s="117">
        <v>46077.842430555553</v>
      </c>
      <c r="Z523" s="118">
        <v>46077.888391203705</v>
      </c>
      <c r="AA523" s="119" t="s">
        <v>208</v>
      </c>
      <c r="AB523" s="119" t="s">
        <v>638</v>
      </c>
      <c r="AC523" s="115" t="s">
        <v>204</v>
      </c>
      <c r="AD523" s="117" t="s">
        <v>144</v>
      </c>
      <c r="AE523" s="117" t="s">
        <v>172</v>
      </c>
      <c r="AF523" s="88" t="s">
        <v>210</v>
      </c>
      <c r="AG523" s="123">
        <f>IF(TAB_HISTORICO_MANUT[[#This Row],[Hora Inicio]]="","",MONTH(TAB_HISTORICO_MANUT[[#This Row],[Hora Inicio]]))</f>
        <v>2</v>
      </c>
      <c r="AH523" s="120" t="s">
        <v>624</v>
      </c>
      <c r="AI523" s="43" t="s">
        <v>24</v>
      </c>
      <c r="AJ523" s="43" t="s">
        <v>643</v>
      </c>
      <c r="AK523" s="43" t="s">
        <v>644</v>
      </c>
      <c r="AL523" s="43" t="s">
        <v>275</v>
      </c>
      <c r="AM523" s="114" t="s">
        <v>276</v>
      </c>
      <c r="AN523" s="115" t="s">
        <v>217</v>
      </c>
      <c r="AO523" s="115" t="s">
        <v>405</v>
      </c>
      <c r="AP523" s="115" t="s">
        <v>403</v>
      </c>
    </row>
    <row r="524" spans="1:42" ht="50.1" customHeight="1" x14ac:dyDescent="0.25">
      <c r="A524" s="115">
        <f>MONTH(TAB_HISTORICO_MANUT[[#This Row],[Hora Final]])-MONTH(TAB_HISTORICO_MANUT[[#This Row],[Hora Inicio]])</f>
        <v>0</v>
      </c>
      <c r="B524" s="116"/>
      <c r="C524" s="115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Inicio]]=Z523,TAB_HISTORICO_MANUT[[#This Row],[Equipamento]]=AA523,TAB_HISTORICO_MANUT[[#This Row],[Descricao Despacho]]=AD523),0,1)))</f>
        <v>1</v>
      </c>
      <c r="O52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524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52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524" s="50">
        <f>IF($Q524="","",(TAB_HISTORICO_MANUT[[#This Row],[Hora Final]]-TAB_HISTORICO_MANUT[[#This Row],[Hora Inicio]])*24)</f>
        <v>1.6025000000372529</v>
      </c>
      <c r="S52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24" s="54" t="str">
        <f>IF(AND(TAB_HISTORICO_MANUT[[#This Row],[EXPURGO Mãe]]="SIM",TAB_HISTORICO_MANUT[[#This Row],[Tipo]]="MÃE"),"EXP.MAE",IF(TAB_HISTORICO_MANUT[[#This Row],[EXPURGO Mãe]]="NÃO","NÃO EXP.MAE",T523))</f>
        <v>NÃO EXP.MAE</v>
      </c>
      <c r="U52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24" s="56">
        <f>IF(TAB_HISTORICO_MANUT[[#This Row],[EXPURGO Filhas]]="SIM",MAX(TAB_HISTORICO_MANUT[[#This Row],[Hora Final]]-TAB_HISTORICO_MANUT[[#This Row],[Hora Inicio]],0),0)</f>
        <v>0</v>
      </c>
      <c r="W52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2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24" s="117">
        <v>46078.584780092591</v>
      </c>
      <c r="Z524" s="118">
        <v>46078.651550925926</v>
      </c>
      <c r="AA524" s="119" t="s">
        <v>208</v>
      </c>
      <c r="AB524" s="119"/>
      <c r="AC524" s="115" t="s">
        <v>560</v>
      </c>
      <c r="AD524" s="117" t="s">
        <v>145</v>
      </c>
      <c r="AE524" s="117" t="s">
        <v>572</v>
      </c>
      <c r="AF524" s="88" t="s">
        <v>210</v>
      </c>
      <c r="AG524" s="123">
        <f>IF(TAB_HISTORICO_MANUT[[#This Row],[Hora Inicio]]="","",MONTH(TAB_HISTORICO_MANUT[[#This Row],[Hora Inicio]]))</f>
        <v>2</v>
      </c>
      <c r="AH524" s="120"/>
      <c r="AI524" s="115" t="s">
        <v>25</v>
      </c>
      <c r="AJ524" s="115" t="s">
        <v>25</v>
      </c>
      <c r="AK524" s="115" t="s">
        <v>25</v>
      </c>
      <c r="AL524" s="115" t="s">
        <v>25</v>
      </c>
      <c r="AM524" s="121" t="s">
        <v>25</v>
      </c>
      <c r="AN524" s="115"/>
      <c r="AO524" s="115"/>
      <c r="AP524" s="115"/>
    </row>
    <row r="525" spans="1:42" ht="50.1" customHeight="1" x14ac:dyDescent="0.25">
      <c r="A525" s="115">
        <f>MONTH(TAB_HISTORICO_MANUT[[#This Row],[Hora Final]])-MONTH(TAB_HISTORICO_MANUT[[#This Row],[Hora Inicio]])</f>
        <v>0</v>
      </c>
      <c r="B525" s="116"/>
      <c r="C525" s="115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Inicio]]=Z524,TAB_HISTORICO_MANUT[[#This Row],[Equipamento]]=AA524,TAB_HISTORICO_MANUT[[#This Row],[Descricao Despacho]]=AD524),0,1)))</f>
        <v>1</v>
      </c>
      <c r="O52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DESPACHO</v>
      </c>
      <c r="P525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2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525" s="50">
        <f>IF($Q525="","",(TAB_HISTORICO_MANUT[[#This Row],[Hora Final]]-TAB_HISTORICO_MANUT[[#This Row],[Hora Inicio]])*24)</f>
        <v>2.7074999999022111</v>
      </c>
      <c r="S52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25" s="54" t="str">
        <f>IF(AND(TAB_HISTORICO_MANUT[[#This Row],[EXPURGO Mãe]]="SIM",TAB_HISTORICO_MANUT[[#This Row],[Tipo]]="MÃE"),"EXP.MAE",IF(TAB_HISTORICO_MANUT[[#This Row],[EXPURGO Mãe]]="NÃO","NÃO EXP.MAE",T524))</f>
        <v>NÃO EXP.MAE</v>
      </c>
      <c r="U52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25" s="56">
        <f>IF(TAB_HISTORICO_MANUT[[#This Row],[EXPURGO Filhas]]="SIM",MAX(TAB_HISTORICO_MANUT[[#This Row],[Hora Final]]-TAB_HISTORICO_MANUT[[#This Row],[Hora Inicio]],0),0)</f>
        <v>0</v>
      </c>
      <c r="W52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2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25" s="117">
        <v>46079.587789351855</v>
      </c>
      <c r="Z525" s="118">
        <v>46079.700601851851</v>
      </c>
      <c r="AA525" s="119" t="s">
        <v>208</v>
      </c>
      <c r="AB525" s="119" t="s">
        <v>640</v>
      </c>
      <c r="AC525" s="115" t="s">
        <v>204</v>
      </c>
      <c r="AD525" s="117" t="s">
        <v>144</v>
      </c>
      <c r="AE525" s="117" t="s">
        <v>172</v>
      </c>
      <c r="AF525" s="88" t="s">
        <v>210</v>
      </c>
      <c r="AG525" s="123">
        <f>IF(TAB_HISTORICO_MANUT[[#This Row],[Hora Inicio]]="","",MONTH(TAB_HISTORICO_MANUT[[#This Row],[Hora Inicio]]))</f>
        <v>2</v>
      </c>
      <c r="AH525" s="120" t="s">
        <v>627</v>
      </c>
      <c r="AI525" s="115" t="s">
        <v>33</v>
      </c>
      <c r="AJ525" s="115" t="s">
        <v>82</v>
      </c>
      <c r="AK525" s="115" t="s">
        <v>289</v>
      </c>
      <c r="AL525" s="115" t="s">
        <v>282</v>
      </c>
      <c r="AM525" s="121" t="s">
        <v>646</v>
      </c>
      <c r="AN525" s="115" t="s">
        <v>215</v>
      </c>
      <c r="AO525" s="115" t="s">
        <v>491</v>
      </c>
      <c r="AP525" s="115" t="s">
        <v>492</v>
      </c>
    </row>
    <row r="526" spans="1:42" ht="50.1" customHeight="1" x14ac:dyDescent="0.25">
      <c r="A526" s="43">
        <f>MONTH(TAB_HISTORICO_MANUT[[#This Row],[Hora Final]])-MONTH(TAB_HISTORICO_MANUT[[#This Row],[Hora Inicio]])</f>
        <v>0</v>
      </c>
      <c r="B526" s="42"/>
      <c r="C526" s="43"/>
      <c r="D526" s="42"/>
      <c r="E526" s="42"/>
      <c r="F526" s="42"/>
      <c r="G526" s="42"/>
      <c r="H526" s="42"/>
      <c r="I526" s="116"/>
      <c r="J526" s="116"/>
      <c r="K526" s="116"/>
      <c r="L526" s="116"/>
      <c r="M526" s="116"/>
      <c r="N52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Inicio]]=Z525,TAB_HISTORICO_MANUT[[#This Row],[Equipamento]]=AA525,TAB_HISTORICO_MANUT[[#This Row],[Descricao Despacho]]=AD525),0,1)))</f>
        <v>1</v>
      </c>
      <c r="O52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52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2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526" s="50">
        <f>IF($Q526="","",(TAB_HISTORICO_MANUT[[#This Row],[Hora Final]]-TAB_HISTORICO_MANUT[[#This Row],[Hora Inicio]])*24)</f>
        <v>0.85166666650911793</v>
      </c>
      <c r="S52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26" s="54" t="str">
        <f>IF(AND(TAB_HISTORICO_MANUT[[#This Row],[EXPURGO Mãe]]="SIM",TAB_HISTORICO_MANUT[[#This Row],[Tipo]]="MÃE"),"EXP.MAE",IF(TAB_HISTORICO_MANUT[[#This Row],[EXPURGO Mãe]]="NÃO","NÃO EXP.MAE",T525))</f>
        <v>NÃO EXP.MAE</v>
      </c>
      <c r="U52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26" s="56">
        <f>IF(TAB_HISTORICO_MANUT[[#This Row],[EXPURGO Filhas]]="SIM",MAX(TAB_HISTORICO_MANUT[[#This Row],[Hora Final]]-TAB_HISTORICO_MANUT[[#This Row],[Hora Inicio]],0),0)</f>
        <v>0</v>
      </c>
      <c r="W52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2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26" s="46">
        <v>46080.029895833337</v>
      </c>
      <c r="Z526" s="47">
        <v>46080.065381944441</v>
      </c>
      <c r="AA526" s="48" t="s">
        <v>208</v>
      </c>
      <c r="AB526" s="48" t="s">
        <v>240</v>
      </c>
      <c r="AC526" s="43" t="s">
        <v>204</v>
      </c>
      <c r="AD526" s="46" t="s">
        <v>144</v>
      </c>
      <c r="AE526" s="46" t="s">
        <v>172</v>
      </c>
      <c r="AF526" s="88" t="s">
        <v>210</v>
      </c>
      <c r="AG526" s="105">
        <f>IF(TAB_HISTORICO_MANUT[[#This Row],[Hora Inicio]]="","",MONTH(TAB_HISTORICO_MANUT[[#This Row],[Hora Inicio]]))</f>
        <v>2</v>
      </c>
      <c r="AH526" s="58" t="s">
        <v>628</v>
      </c>
      <c r="AI526" s="43" t="s">
        <v>22</v>
      </c>
      <c r="AJ526" s="43" t="s">
        <v>647</v>
      </c>
      <c r="AK526" s="43" t="s">
        <v>648</v>
      </c>
      <c r="AL526" s="43" t="s">
        <v>530</v>
      </c>
      <c r="AM526" s="114" t="s">
        <v>531</v>
      </c>
      <c r="AN526" s="43" t="s">
        <v>215</v>
      </c>
      <c r="AO526" s="43" t="s">
        <v>634</v>
      </c>
      <c r="AP526" s="43" t="s">
        <v>635</v>
      </c>
    </row>
    <row r="527" spans="1:42" ht="50.1" customHeight="1" x14ac:dyDescent="0.25">
      <c r="A527" s="115">
        <f>MONTH(TAB_HISTORICO_MANUT[[#This Row],[Hora Final]])-MONTH(TAB_HISTORICO_MANUT[[#This Row],[Hora Inicio]])</f>
        <v>0</v>
      </c>
      <c r="B527" s="116"/>
      <c r="C527" s="115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 t="s">
        <v>99</v>
      </c>
      <c r="N52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Inicio]]=Z526,TAB_HISTORICO_MANUT[[#This Row],[Equipamento]]=AA526,TAB_HISTORICO_MANUT[[#This Row],[Descricao Despacho]]=AD526),0,1)))</f>
        <v>1</v>
      </c>
      <c r="O52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52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2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Reparo Programado</v>
      </c>
      <c r="R527" s="107">
        <f>IF($Q527="","",(TAB_HISTORICO_MANUT[[#This Row],[Hora Final]]-TAB_HISTORICO_MANUT[[#This Row],[Hora Inicio]])*24)</f>
        <v>1.2211111110518686</v>
      </c>
      <c r="S52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27" s="109" t="str">
        <f>IF(AND(TAB_HISTORICO_MANUT[[#This Row],[EXPURGO Mãe]]="SIM",TAB_HISTORICO_MANUT[[#This Row],[Tipo]]="MÃE"),"EXP.MAE",IF(TAB_HISTORICO_MANUT[[#This Row],[EXPURGO Mãe]]="NÃO","NÃO EXP.MAE",T526))</f>
        <v>NÃO EXP.MAE</v>
      </c>
      <c r="U52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27" s="110">
        <f>IF(TAB_HISTORICO_MANUT[[#This Row],[EXPURGO Filhas]]="SIM",MAX(TAB_HISTORICO_MANUT[[#This Row],[Hora Final]]-TAB_HISTORICO_MANUT[[#This Row],[Hora Inicio]],0),0)</f>
        <v>0</v>
      </c>
      <c r="W52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2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27" s="117">
        <v>46082.045439814814</v>
      </c>
      <c r="Z527" s="118">
        <v>46082.096319444441</v>
      </c>
      <c r="AA527" s="119" t="s">
        <v>208</v>
      </c>
      <c r="AB527" s="119"/>
      <c r="AC527" s="115" t="s">
        <v>300</v>
      </c>
      <c r="AD527" s="117" t="s">
        <v>146</v>
      </c>
      <c r="AE527" s="117" t="s">
        <v>178</v>
      </c>
      <c r="AF527" s="88" t="s">
        <v>210</v>
      </c>
      <c r="AG527" s="123">
        <f>IF(TAB_HISTORICO_MANUT[[#This Row],[Hora Inicio]]="","",MONTH(TAB_HISTORICO_MANUT[[#This Row],[Hora Inicio]]))</f>
        <v>3</v>
      </c>
      <c r="AH527" s="120"/>
      <c r="AI527" s="115" t="s">
        <v>28</v>
      </c>
      <c r="AJ527" s="115" t="s">
        <v>61</v>
      </c>
      <c r="AK527" s="115" t="s">
        <v>659</v>
      </c>
      <c r="AL527" s="115" t="s">
        <v>660</v>
      </c>
      <c r="AM527" s="121" t="s">
        <v>276</v>
      </c>
      <c r="AN527" s="115"/>
      <c r="AO527" s="115"/>
      <c r="AP527" s="115"/>
    </row>
    <row r="528" spans="1:42" ht="50.1" customHeight="1" x14ac:dyDescent="0.25">
      <c r="A528" s="115">
        <f>MONTH(TAB_HISTORICO_MANUT[[#This Row],[Hora Final]])-MONTH(TAB_HISTORICO_MANUT[[#This Row],[Hora Inicio]])</f>
        <v>0</v>
      </c>
      <c r="B528" s="116"/>
      <c r="C528" s="115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Inicio]]=Z527,TAB_HISTORICO_MANUT[[#This Row],[Equipamento]]=AA527,TAB_HISTORICO_MANUT[[#This Row],[Descricao Despacho]]=AD527),0,1)))</f>
        <v/>
      </c>
      <c r="O52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528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52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528" s="107" t="str">
        <f>IF($Q528="","",(TAB_HISTORICO_MANUT[[#This Row],[Hora Final]]-TAB_HISTORICO_MANUT[[#This Row],[Hora Inicio]])*24)</f>
        <v/>
      </c>
      <c r="S52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528" s="109" t="str">
        <f>IF(AND(TAB_HISTORICO_MANUT[[#This Row],[EXPURGO Mãe]]="SIM",TAB_HISTORICO_MANUT[[#This Row],[Tipo]]="MÃE"),"EXP.MAE",IF(TAB_HISTORICO_MANUT[[#This Row],[EXPURGO Mãe]]="NÃO","NÃO EXP.MAE",T527))</f>
        <v>NÃO EXP.MAE</v>
      </c>
      <c r="U52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528" s="110">
        <f>IF(TAB_HISTORICO_MANUT[[#This Row],[EXPURGO Filhas]]="SIM",MAX(TAB_HISTORICO_MANUT[[#This Row],[Hora Final]]-TAB_HISTORICO_MANUT[[#This Row],[Hora Inicio]],0),0)</f>
        <v>9.2129629629198462E-3</v>
      </c>
      <c r="W52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2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28" s="117">
        <v>46082.087106481478</v>
      </c>
      <c r="Z528" s="118">
        <v>46082.096319444441</v>
      </c>
      <c r="AA528" s="119" t="s">
        <v>208</v>
      </c>
      <c r="AB528" s="119"/>
      <c r="AC528" s="115" t="s">
        <v>300</v>
      </c>
      <c r="AD528" s="117" t="s">
        <v>146</v>
      </c>
      <c r="AE528" s="117" t="s">
        <v>178</v>
      </c>
      <c r="AF528" s="88" t="s">
        <v>767</v>
      </c>
      <c r="AG528" s="123">
        <f>IF(TAB_HISTORICO_MANUT[[#This Row],[Hora Inicio]]="","",MONTH(TAB_HISTORICO_MANUT[[#This Row],[Hora Inicio]]))</f>
        <v>3</v>
      </c>
      <c r="AH528" s="120"/>
      <c r="AI528" s="115" t="s">
        <v>28</v>
      </c>
      <c r="AJ528" s="115" t="s">
        <v>61</v>
      </c>
      <c r="AK528" s="115" t="s">
        <v>659</v>
      </c>
      <c r="AL528" s="115" t="s">
        <v>660</v>
      </c>
      <c r="AM528" s="121" t="s">
        <v>276</v>
      </c>
      <c r="AN528" s="115"/>
      <c r="AO528" s="115"/>
      <c r="AP528" s="115"/>
    </row>
    <row r="529" spans="1:42" ht="50.1" customHeight="1" x14ac:dyDescent="0.25">
      <c r="A529" s="115">
        <f>MONTH(TAB_HISTORICO_MANUT[[#This Row],[Hora Final]])-MONTH(TAB_HISTORICO_MANUT[[#This Row],[Hora Inicio]])</f>
        <v>0</v>
      </c>
      <c r="B529" s="116"/>
      <c r="C529" s="115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Inicio]]=Z528,TAB_HISTORICO_MANUT[[#This Row],[Equipamento]]=AA528,TAB_HISTORICO_MANUT[[#This Row],[Descricao Despacho]]=AD528),0,1)))</f>
        <v>0</v>
      </c>
      <c r="O52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52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2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Reparo Programado</v>
      </c>
      <c r="R529" s="107">
        <f>IF($Q529="","",(TAB_HISTORICO_MANUT[[#This Row],[Hora Final]]-TAB_HISTORICO_MANUT[[#This Row],[Hora Inicio]])*24)</f>
        <v>0.68527777784038335</v>
      </c>
      <c r="S52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29" s="109" t="str">
        <f>IF(AND(TAB_HISTORICO_MANUT[[#This Row],[EXPURGO Mãe]]="SIM",TAB_HISTORICO_MANUT[[#This Row],[Tipo]]="MÃE"),"EXP.MAE",IF(TAB_HISTORICO_MANUT[[#This Row],[EXPURGO Mãe]]="NÃO","NÃO EXP.MAE",T528))</f>
        <v>NÃO EXP.MAE</v>
      </c>
      <c r="U52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29" s="110">
        <f>IF(TAB_HISTORICO_MANUT[[#This Row],[EXPURGO Filhas]]="SIM",MAX(TAB_HISTORICO_MANUT[[#This Row],[Hora Final]]-TAB_HISTORICO_MANUT[[#This Row],[Hora Inicio]],0),0)</f>
        <v>0</v>
      </c>
      <c r="W52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2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29" s="117">
        <v>46082.096319444441</v>
      </c>
      <c r="Z529" s="118">
        <v>46082.124872685185</v>
      </c>
      <c r="AA529" s="119" t="s">
        <v>208</v>
      </c>
      <c r="AB529" s="119"/>
      <c r="AC529" s="115" t="s">
        <v>301</v>
      </c>
      <c r="AD529" s="117" t="s">
        <v>146</v>
      </c>
      <c r="AE529" s="117" t="s">
        <v>310</v>
      </c>
      <c r="AF529" s="88" t="s">
        <v>210</v>
      </c>
      <c r="AG529" s="123">
        <f>IF(TAB_HISTORICO_MANUT[[#This Row],[Hora Inicio]]="","",MONTH(TAB_HISTORICO_MANUT[[#This Row],[Hora Inicio]]))</f>
        <v>3</v>
      </c>
      <c r="AH529" s="120"/>
      <c r="AI529" s="115" t="s">
        <v>28</v>
      </c>
      <c r="AJ529" s="115" t="s">
        <v>61</v>
      </c>
      <c r="AK529" s="115" t="s">
        <v>659</v>
      </c>
      <c r="AL529" s="115" t="s">
        <v>660</v>
      </c>
      <c r="AM529" s="121" t="s">
        <v>276</v>
      </c>
      <c r="AN529" s="115"/>
      <c r="AO529" s="115"/>
      <c r="AP529" s="115"/>
    </row>
    <row r="530" spans="1:42" ht="50.1" customHeight="1" x14ac:dyDescent="0.25">
      <c r="A530" s="115">
        <f>MONTH(TAB_HISTORICO_MANUT[[#This Row],[Hora Final]])-MONTH(TAB_HISTORICO_MANUT[[#This Row],[Hora Inicio]])</f>
        <v>0</v>
      </c>
      <c r="B530" s="116"/>
      <c r="C530" s="115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Inicio]]=Z529,TAB_HISTORICO_MANUT[[#This Row],[Equipamento]]=AA529,TAB_HISTORICO_MANUT[[#This Row],[Descricao Despacho]]=AD529),0,1)))</f>
        <v>0</v>
      </c>
      <c r="O53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53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3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Reparo Programado</v>
      </c>
      <c r="R530" s="107">
        <f>IF($Q530="","",(TAB_HISTORICO_MANUT[[#This Row],[Hora Final]]-TAB_HISTORICO_MANUT[[#This Row],[Hora Inicio]])*24)</f>
        <v>2.6997222222271375</v>
      </c>
      <c r="S53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30" s="109" t="str">
        <f>IF(AND(TAB_HISTORICO_MANUT[[#This Row],[EXPURGO Mãe]]="SIM",TAB_HISTORICO_MANUT[[#This Row],[Tipo]]="MÃE"),"EXP.MAE",IF(TAB_HISTORICO_MANUT[[#This Row],[EXPURGO Mãe]]="NÃO","NÃO EXP.MAE",T529))</f>
        <v>NÃO EXP.MAE</v>
      </c>
      <c r="U53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30" s="110">
        <f>IF(TAB_HISTORICO_MANUT[[#This Row],[EXPURGO Filhas]]="SIM",MAX(TAB_HISTORICO_MANUT[[#This Row],[Hora Final]]-TAB_HISTORICO_MANUT[[#This Row],[Hora Inicio]],0),0)</f>
        <v>0</v>
      </c>
      <c r="W53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3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30" s="117">
        <v>46082.124872685185</v>
      </c>
      <c r="Z530" s="118">
        <v>46082.237361111111</v>
      </c>
      <c r="AA530" s="119" t="s">
        <v>208</v>
      </c>
      <c r="AB530" s="119"/>
      <c r="AC530" s="115" t="s">
        <v>302</v>
      </c>
      <c r="AD530" s="117" t="s">
        <v>146</v>
      </c>
      <c r="AE530" s="117" t="s">
        <v>311</v>
      </c>
      <c r="AF530" s="88" t="s">
        <v>210</v>
      </c>
      <c r="AG530" s="123">
        <f>IF(TAB_HISTORICO_MANUT[[#This Row],[Hora Inicio]]="","",MONTH(TAB_HISTORICO_MANUT[[#This Row],[Hora Inicio]]))</f>
        <v>3</v>
      </c>
      <c r="AH530" s="120"/>
      <c r="AI530" s="115" t="s">
        <v>28</v>
      </c>
      <c r="AJ530" s="115" t="s">
        <v>61</v>
      </c>
      <c r="AK530" s="115" t="s">
        <v>659</v>
      </c>
      <c r="AL530" s="115" t="s">
        <v>660</v>
      </c>
      <c r="AM530" s="121" t="s">
        <v>276</v>
      </c>
      <c r="AN530" s="115"/>
      <c r="AO530" s="115"/>
      <c r="AP530" s="115"/>
    </row>
    <row r="531" spans="1:42" ht="50.1" customHeight="1" x14ac:dyDescent="0.25">
      <c r="A531" s="115">
        <f>MONTH(TAB_HISTORICO_MANUT[[#This Row],[Hora Final]])-MONTH(TAB_HISTORICO_MANUT[[#This Row],[Hora Inicio]])</f>
        <v>0</v>
      </c>
      <c r="B531" s="116"/>
      <c r="C531" s="115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Inicio]]=Z530,TAB_HISTORICO_MANUT[[#This Row],[Equipamento]]=AA530,TAB_HISTORICO_MANUT[[#This Row],[Descricao Despacho]]=AD530),0,1)))</f>
        <v>0</v>
      </c>
      <c r="O53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53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3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Reparo Programado</v>
      </c>
      <c r="R531" s="107">
        <f>IF($Q531="","",(TAB_HISTORICO_MANUT[[#This Row],[Hora Final]]-TAB_HISTORICO_MANUT[[#This Row],[Hora Inicio]])*24)</f>
        <v>10.058888888976071</v>
      </c>
      <c r="S53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31" s="109" t="str">
        <f>IF(AND(TAB_HISTORICO_MANUT[[#This Row],[EXPURGO Mãe]]="SIM",TAB_HISTORICO_MANUT[[#This Row],[Tipo]]="MÃE"),"EXP.MAE",IF(TAB_HISTORICO_MANUT[[#This Row],[EXPURGO Mãe]]="NÃO","NÃO EXP.MAE",T530))</f>
        <v>NÃO EXP.MAE</v>
      </c>
      <c r="U53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31" s="110">
        <f>IF(TAB_HISTORICO_MANUT[[#This Row],[EXPURGO Filhas]]="SIM",MAX(TAB_HISTORICO_MANUT[[#This Row],[Hora Final]]-TAB_HISTORICO_MANUT[[#This Row],[Hora Inicio]],0),0)</f>
        <v>0</v>
      </c>
      <c r="W53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3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31" s="117">
        <v>46082.237361111111</v>
      </c>
      <c r="Z531" s="118">
        <v>46082.656481481485</v>
      </c>
      <c r="AA531" s="119" t="s">
        <v>208</v>
      </c>
      <c r="AB531" s="119"/>
      <c r="AC531" s="115" t="s">
        <v>363</v>
      </c>
      <c r="AD531" s="117" t="s">
        <v>146</v>
      </c>
      <c r="AE531" s="117" t="s">
        <v>359</v>
      </c>
      <c r="AF531" s="88" t="s">
        <v>210</v>
      </c>
      <c r="AG531" s="123">
        <f>IF(TAB_HISTORICO_MANUT[[#This Row],[Hora Inicio]]="","",MONTH(TAB_HISTORICO_MANUT[[#This Row],[Hora Inicio]]))</f>
        <v>3</v>
      </c>
      <c r="AH531" s="120"/>
      <c r="AI531" s="115" t="s">
        <v>28</v>
      </c>
      <c r="AJ531" s="115" t="s">
        <v>61</v>
      </c>
      <c r="AK531" s="115" t="s">
        <v>659</v>
      </c>
      <c r="AL531" s="115" t="s">
        <v>660</v>
      </c>
      <c r="AM531" s="121" t="s">
        <v>276</v>
      </c>
      <c r="AN531" s="115"/>
      <c r="AO531" s="115"/>
      <c r="AP531" s="115"/>
    </row>
    <row r="532" spans="1:42" ht="50.1" customHeight="1" x14ac:dyDescent="0.25">
      <c r="A532" s="115">
        <f>MONTH(TAB_HISTORICO_MANUT[[#This Row],[Hora Final]])-MONTH(TAB_HISTORICO_MANUT[[#This Row],[Hora Inicio]])</f>
        <v>0</v>
      </c>
      <c r="B532" s="116"/>
      <c r="C532" s="115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Inicio]]=Z531,TAB_HISTORICO_MANUT[[#This Row],[Equipamento]]=AA531,TAB_HISTORICO_MANUT[[#This Row],[Descricao Despacho]]=AD531),0,1)))</f>
        <v/>
      </c>
      <c r="O53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532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53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532" s="107" t="str">
        <f>IF($Q532="","",(TAB_HISTORICO_MANUT[[#This Row],[Hora Final]]-TAB_HISTORICO_MANUT[[#This Row],[Hora Inicio]])*24)</f>
        <v/>
      </c>
      <c r="S53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532" s="109" t="str">
        <f>IF(AND(TAB_HISTORICO_MANUT[[#This Row],[EXPURGO Mãe]]="SIM",TAB_HISTORICO_MANUT[[#This Row],[Tipo]]="MÃE"),"EXP.MAE",IF(TAB_HISTORICO_MANUT[[#This Row],[EXPURGO Mãe]]="NÃO","NÃO EXP.MAE",T531))</f>
        <v>NÃO EXP.MAE</v>
      </c>
      <c r="U53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532" s="110">
        <f>IF(TAB_HISTORICO_MANUT[[#This Row],[EXPURGO Filhas]]="SIM",MAX(TAB_HISTORICO_MANUT[[#This Row],[Hora Final]]-TAB_HISTORICO_MANUT[[#This Row],[Hora Inicio]],0),0)</f>
        <v>8.3333333328482695E-2</v>
      </c>
      <c r="W53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3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32" s="117">
        <v>46082.270833333336</v>
      </c>
      <c r="Z532" s="118">
        <v>46082.354166666664</v>
      </c>
      <c r="AA532" s="119" t="s">
        <v>208</v>
      </c>
      <c r="AB532" s="119"/>
      <c r="AC532" s="115" t="s">
        <v>363</v>
      </c>
      <c r="AD532" s="117" t="s">
        <v>146</v>
      </c>
      <c r="AE532" s="117" t="s">
        <v>921</v>
      </c>
      <c r="AF532" s="88" t="s">
        <v>767</v>
      </c>
      <c r="AG532" s="123">
        <f>IF(TAB_HISTORICO_MANUT[[#This Row],[Hora Inicio]]="","",MONTH(TAB_HISTORICO_MANUT[[#This Row],[Hora Inicio]]))</f>
        <v>3</v>
      </c>
      <c r="AH532" s="120"/>
      <c r="AI532" s="115" t="s">
        <v>28</v>
      </c>
      <c r="AJ532" s="115" t="s">
        <v>61</v>
      </c>
      <c r="AK532" s="115" t="s">
        <v>659</v>
      </c>
      <c r="AL532" s="115" t="s">
        <v>660</v>
      </c>
      <c r="AM532" s="121" t="s">
        <v>276</v>
      </c>
      <c r="AN532" s="115"/>
      <c r="AO532" s="115"/>
      <c r="AP532" s="115"/>
    </row>
    <row r="533" spans="1:42" ht="50.1" customHeight="1" x14ac:dyDescent="0.25">
      <c r="A533" s="115">
        <f>MONTH(TAB_HISTORICO_MANUT[[#This Row],[Hora Final]])-MONTH(TAB_HISTORICO_MANUT[[#This Row],[Hora Inicio]])</f>
        <v>0</v>
      </c>
      <c r="B533" s="116"/>
      <c r="C533" s="115"/>
      <c r="D533" s="116"/>
      <c r="E533" s="116"/>
      <c r="F533" s="116"/>
      <c r="G533" s="116"/>
      <c r="H533" s="116"/>
      <c r="I533" s="116"/>
      <c r="J533" s="116"/>
      <c r="K533" s="116"/>
      <c r="L533" s="116">
        <v>0</v>
      </c>
      <c r="M533" s="116"/>
      <c r="N53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Inicio]]=Z532,TAB_HISTORICO_MANUT[[#This Row],[Equipamento]]=AA532,TAB_HISTORICO_MANUT[[#This Row],[Descricao Despacho]]=AD532),0,1)))</f>
        <v>0</v>
      </c>
      <c r="O53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53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53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Reparo Programado</v>
      </c>
      <c r="R533" s="107">
        <f>IF($Q533="","",(TAB_HISTORICO_MANUT[[#This Row],[Hora Final]]-TAB_HISTORICO_MANUT[[#This Row],[Hora Inicio]])*24)</f>
        <v>3.281666666676756</v>
      </c>
      <c r="S53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33" s="109" t="str">
        <f>IF(AND(TAB_HISTORICO_MANUT[[#This Row],[EXPURGO Mãe]]="SIM",TAB_HISTORICO_MANUT[[#This Row],[Tipo]]="MÃE"),"EXP.MAE",IF(TAB_HISTORICO_MANUT[[#This Row],[EXPURGO Mãe]]="NÃO","NÃO EXP.MAE",T532))</f>
        <v>NÃO EXP.MAE</v>
      </c>
      <c r="U53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33" s="110">
        <f>IF(TAB_HISTORICO_MANUT[[#This Row],[EXPURGO Filhas]]="SIM",MAX(TAB_HISTORICO_MANUT[[#This Row],[Hora Final]]-TAB_HISTORICO_MANUT[[#This Row],[Hora Inicio]],0),0)</f>
        <v>0</v>
      </c>
      <c r="W53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3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33" s="117">
        <v>46082.656481481485</v>
      </c>
      <c r="Z533" s="118">
        <v>46082.793217592596</v>
      </c>
      <c r="AA533" s="119" t="s">
        <v>208</v>
      </c>
      <c r="AB533" s="119"/>
      <c r="AC533" s="115" t="s">
        <v>363</v>
      </c>
      <c r="AD533" s="117" t="s">
        <v>145</v>
      </c>
      <c r="AE533" s="117" t="s">
        <v>359</v>
      </c>
      <c r="AF533" s="88" t="s">
        <v>210</v>
      </c>
      <c r="AG533" s="123">
        <f>IF(TAB_HISTORICO_MANUT[[#This Row],[Hora Inicio]]="","",MONTH(TAB_HISTORICO_MANUT[[#This Row],[Hora Inicio]]))</f>
        <v>3</v>
      </c>
      <c r="AH533" s="120"/>
      <c r="AI533" s="115" t="s">
        <v>28</v>
      </c>
      <c r="AJ533" s="115" t="s">
        <v>61</v>
      </c>
      <c r="AK533" s="115" t="s">
        <v>659</v>
      </c>
      <c r="AL533" s="115" t="s">
        <v>660</v>
      </c>
      <c r="AM533" s="121" t="s">
        <v>276</v>
      </c>
      <c r="AN533" s="115"/>
      <c r="AO533" s="115"/>
      <c r="AP533" s="115"/>
    </row>
    <row r="534" spans="1:42" ht="50.1" customHeight="1" x14ac:dyDescent="0.25">
      <c r="A534" s="115">
        <f>MONTH(TAB_HISTORICO_MANUT[[#This Row],[Hora Final]])-MONTH(TAB_HISTORICO_MANUT[[#This Row],[Hora Inicio]])</f>
        <v>0</v>
      </c>
      <c r="B534" s="116"/>
      <c r="C534" s="115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Inicio]]=Z533,TAB_HISTORICO_MANUT[[#This Row],[Equipamento]]=AA533,TAB_HISTORICO_MANUT[[#This Row],[Descricao Despacho]]=AD533),0,1)))</f>
        <v>1</v>
      </c>
      <c r="O53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53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3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534" s="107">
        <f>IF($Q534="","",(TAB_HISTORICO_MANUT[[#This Row],[Hora Final]]-TAB_HISTORICO_MANUT[[#This Row],[Hora Inicio]])*24)</f>
        <v>7.9869444445939735</v>
      </c>
      <c r="S53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34" s="109" t="str">
        <f>IF(AND(TAB_HISTORICO_MANUT[[#This Row],[EXPURGO Mãe]]="SIM",TAB_HISTORICO_MANUT[[#This Row],[Tipo]]="MÃE"),"EXP.MAE",IF(TAB_HISTORICO_MANUT[[#This Row],[EXPURGO Mãe]]="NÃO","NÃO EXP.MAE",T533))</f>
        <v>NÃO EXP.MAE</v>
      </c>
      <c r="U53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34" s="110">
        <f>IF(TAB_HISTORICO_MANUT[[#This Row],[EXPURGO Filhas]]="SIM",MAX(TAB_HISTORICO_MANUT[[#This Row],[Hora Final]]-TAB_HISTORICO_MANUT[[#This Row],[Hora Inicio]],0),0)</f>
        <v>0</v>
      </c>
      <c r="W53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3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34" s="117">
        <v>46083.393692129626</v>
      </c>
      <c r="Z534" s="118">
        <v>46083.726481481484</v>
      </c>
      <c r="AA534" s="119" t="s">
        <v>208</v>
      </c>
      <c r="AB534" s="119"/>
      <c r="AC534" s="115" t="s">
        <v>481</v>
      </c>
      <c r="AD534" s="117" t="s">
        <v>146</v>
      </c>
      <c r="AE534" s="117" t="s">
        <v>480</v>
      </c>
      <c r="AF534" s="88" t="s">
        <v>210</v>
      </c>
      <c r="AG534" s="123">
        <f>IF(TAB_HISTORICO_MANUT[[#This Row],[Hora Inicio]]="","",MONTH(TAB_HISTORICO_MANUT[[#This Row],[Hora Inicio]]))</f>
        <v>3</v>
      </c>
      <c r="AH534" s="120" t="s">
        <v>655</v>
      </c>
      <c r="AI534" s="115" t="s">
        <v>21</v>
      </c>
      <c r="AJ534" s="115"/>
      <c r="AK534" s="115"/>
      <c r="AL534" s="115"/>
      <c r="AM534" s="121"/>
      <c r="AN534" s="115"/>
      <c r="AO534" s="115"/>
      <c r="AP534" s="115"/>
    </row>
    <row r="535" spans="1:42" ht="50.1" customHeight="1" x14ac:dyDescent="0.25">
      <c r="A535" s="115">
        <f>MONTH(TAB_HISTORICO_MANUT[[#This Row],[Hora Final]])-MONTH(TAB_HISTORICO_MANUT[[#This Row],[Hora Inicio]])</f>
        <v>0</v>
      </c>
      <c r="B535" s="116"/>
      <c r="C535" s="115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Inicio]]=Z534,TAB_HISTORICO_MANUT[[#This Row],[Equipamento]]=AA534,TAB_HISTORICO_MANUT[[#This Row],[Descricao Despacho]]=AD534),0,1)))</f>
        <v>1</v>
      </c>
      <c r="O53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53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3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535" s="107">
        <f>IF($Q535="","",(TAB_HISTORICO_MANUT[[#This Row],[Hora Final]]-TAB_HISTORICO_MANUT[[#This Row],[Hora Inicio]])*24)</f>
        <v>7.126666666707024</v>
      </c>
      <c r="S53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35" s="109" t="str">
        <f>IF(AND(TAB_HISTORICO_MANUT[[#This Row],[EXPURGO Mãe]]="SIM",TAB_HISTORICO_MANUT[[#This Row],[Tipo]]="MÃE"),"EXP.MAE",IF(TAB_HISTORICO_MANUT[[#This Row],[EXPURGO Mãe]]="NÃO","NÃO EXP.MAE",T534))</f>
        <v>NÃO EXP.MAE</v>
      </c>
      <c r="U53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35" s="110">
        <f>IF(TAB_HISTORICO_MANUT[[#This Row],[EXPURGO Filhas]]="SIM",MAX(TAB_HISTORICO_MANUT[[#This Row],[Hora Final]]-TAB_HISTORICO_MANUT[[#This Row],[Hora Inicio]],0),0)</f>
        <v>0</v>
      </c>
      <c r="W53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3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35" s="117">
        <v>46084.689652777779</v>
      </c>
      <c r="Z535" s="118">
        <v>46084.986597222225</v>
      </c>
      <c r="AA535" s="119" t="s">
        <v>208</v>
      </c>
      <c r="AB535" s="119"/>
      <c r="AC535" s="115" t="s">
        <v>204</v>
      </c>
      <c r="AD535" s="117" t="s">
        <v>144</v>
      </c>
      <c r="AE535" s="117" t="s">
        <v>172</v>
      </c>
      <c r="AF535" s="88" t="s">
        <v>210</v>
      </c>
      <c r="AG535" s="123">
        <f>IF(TAB_HISTORICO_MANUT[[#This Row],[Hora Inicio]]="","",MONTH(TAB_HISTORICO_MANUT[[#This Row],[Hora Inicio]]))</f>
        <v>3</v>
      </c>
      <c r="AH535" s="120" t="s">
        <v>671</v>
      </c>
      <c r="AI535" s="115" t="s">
        <v>22</v>
      </c>
      <c r="AJ535" s="115" t="s">
        <v>614</v>
      </c>
      <c r="AK535" s="115" t="s">
        <v>290</v>
      </c>
      <c r="AL535" s="115" t="s">
        <v>275</v>
      </c>
      <c r="AM535" s="121" t="s">
        <v>283</v>
      </c>
      <c r="AN535" s="115"/>
      <c r="AO535" s="115"/>
      <c r="AP535" s="115"/>
    </row>
    <row r="536" spans="1:42" ht="50.1" customHeight="1" x14ac:dyDescent="0.25">
      <c r="A536" s="43">
        <f>MONTH(TAB_HISTORICO_MANUT[[#This Row],[Hora Final]])-MONTH(TAB_HISTORICO_MANUT[[#This Row],[Hora Inicio]])</f>
        <v>0</v>
      </c>
      <c r="B536" s="42"/>
      <c r="C536" s="43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Inicio]]=Z535,TAB_HISTORICO_MANUT[[#This Row],[Equipamento]]=AA535,TAB_HISTORICO_MANUT[[#This Row],[Descricao Despacho]]=AD535),0,1)))</f>
        <v>1</v>
      </c>
      <c r="O53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AR CONDICIONADO</v>
      </c>
      <c r="P53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3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536" s="50">
        <f>IF($Q536="","",(TAB_HISTORICO_MANUT[[#This Row],[Hora Final]]-TAB_HISTORICO_MANUT[[#This Row],[Hora Inicio]])*24)</f>
        <v>0.91138888889690861</v>
      </c>
      <c r="S53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36" s="54" t="str">
        <f>IF(AND(TAB_HISTORICO_MANUT[[#This Row],[EXPURGO Mãe]]="SIM",TAB_HISTORICO_MANUT[[#This Row],[Tipo]]="MÃE"),"EXP.MAE",IF(TAB_HISTORICO_MANUT[[#This Row],[EXPURGO Mãe]]="NÃO","NÃO EXP.MAE",T535))</f>
        <v>NÃO EXP.MAE</v>
      </c>
      <c r="U53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36" s="56">
        <f>IF(TAB_HISTORICO_MANUT[[#This Row],[EXPURGO Filhas]]="SIM",MAX(TAB_HISTORICO_MANUT[[#This Row],[Hora Final]]-TAB_HISTORICO_MANUT[[#This Row],[Hora Inicio]],0),0)</f>
        <v>0</v>
      </c>
      <c r="W53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3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36" s="46">
        <v>46085.507395833331</v>
      </c>
      <c r="Z536" s="47">
        <v>46085.545370370368</v>
      </c>
      <c r="AA536" s="48" t="s">
        <v>208</v>
      </c>
      <c r="AB536" s="119" t="s">
        <v>674</v>
      </c>
      <c r="AC536" s="115" t="s">
        <v>204</v>
      </c>
      <c r="AD536" s="46" t="s">
        <v>144</v>
      </c>
      <c r="AE536" s="46" t="s">
        <v>172</v>
      </c>
      <c r="AF536" s="88" t="s">
        <v>210</v>
      </c>
      <c r="AG536" s="105">
        <f>IF(TAB_HISTORICO_MANUT[[#This Row],[Hora Inicio]]="","",MONTH(TAB_HISTORICO_MANUT[[#This Row],[Hora Inicio]]))</f>
        <v>3</v>
      </c>
      <c r="AH536" s="120" t="s">
        <v>686</v>
      </c>
      <c r="AI536" s="115" t="s">
        <v>37</v>
      </c>
      <c r="AJ536" s="115" t="s">
        <v>692</v>
      </c>
      <c r="AK536" s="115" t="s">
        <v>693</v>
      </c>
      <c r="AL536" s="115" t="s">
        <v>275</v>
      </c>
      <c r="AM536" s="121" t="s">
        <v>276</v>
      </c>
      <c r="AN536" s="43" t="s">
        <v>215</v>
      </c>
      <c r="AO536" s="43" t="s">
        <v>680</v>
      </c>
      <c r="AP536" s="43" t="s">
        <v>681</v>
      </c>
    </row>
    <row r="537" spans="1:42" ht="50.1" customHeight="1" x14ac:dyDescent="0.25">
      <c r="A537" s="115">
        <f>MONTH(TAB_HISTORICO_MANUT[[#This Row],[Hora Final]])-MONTH(TAB_HISTORICO_MANUT[[#This Row],[Hora Inicio]])</f>
        <v>0</v>
      </c>
      <c r="B537" s="116"/>
      <c r="C537" s="115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Inicio]]=Z536,TAB_HISTORICO_MANUT[[#This Row],[Equipamento]]=AA536,TAB_HISTORICO_MANUT[[#This Row],[Descricao Despacho]]=AD536),0,1)))</f>
        <v>1</v>
      </c>
      <c r="O53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53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3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537" s="107">
        <f>IF($Q537="","",(TAB_HISTORICO_MANUT[[#This Row],[Hora Final]]-TAB_HISTORICO_MANUT[[#This Row],[Hora Inicio]])*24)</f>
        <v>0.88722222216892987</v>
      </c>
      <c r="S53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537" s="54" t="str">
        <f>IF(AND(TAB_HISTORICO_MANUT[[#This Row],[EXPURGO Mãe]]="SIM",TAB_HISTORICO_MANUT[[#This Row],[Tipo]]="MÃE"),"EXP.MAE",IF(TAB_HISTORICO_MANUT[[#This Row],[EXPURGO Mãe]]="NÃO","NÃO EXP.MAE",T536))</f>
        <v>EXP.MAE</v>
      </c>
      <c r="U53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37" s="110">
        <f>IF(TAB_HISTORICO_MANUT[[#This Row],[EXPURGO Filhas]]="SIM",MAX(TAB_HISTORICO_MANUT[[#This Row],[Hora Final]]-TAB_HISTORICO_MANUT[[#This Row],[Hora Inicio]],0),0)</f>
        <v>0</v>
      </c>
      <c r="W53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3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37" s="117">
        <v>46090.871736111112</v>
      </c>
      <c r="Z537" s="118">
        <v>46090.908703703702</v>
      </c>
      <c r="AA537" s="119" t="s">
        <v>208</v>
      </c>
      <c r="AB537" s="119" t="s">
        <v>679</v>
      </c>
      <c r="AC537" s="115" t="s">
        <v>212</v>
      </c>
      <c r="AD537" s="117" t="s">
        <v>144</v>
      </c>
      <c r="AE537" s="117" t="s">
        <v>214</v>
      </c>
      <c r="AF537" s="88" t="s">
        <v>210</v>
      </c>
      <c r="AG537" s="123">
        <f>IF(TAB_HISTORICO_MANUT[[#This Row],[Hora Inicio]]="","",MONTH(TAB_HISTORICO_MANUT[[#This Row],[Hora Inicio]]))</f>
        <v>3</v>
      </c>
      <c r="AH537" s="120" t="s">
        <v>691</v>
      </c>
      <c r="AI537" s="115" t="s">
        <v>82</v>
      </c>
      <c r="AJ537" s="115" t="s">
        <v>82</v>
      </c>
      <c r="AK537" s="115" t="s">
        <v>82</v>
      </c>
      <c r="AL537" s="115" t="s">
        <v>82</v>
      </c>
      <c r="AM537" s="121" t="s">
        <v>82</v>
      </c>
      <c r="AN537" s="115" t="s">
        <v>217</v>
      </c>
      <c r="AO537" s="115" t="s">
        <v>419</v>
      </c>
      <c r="AP537" s="115" t="s">
        <v>420</v>
      </c>
    </row>
    <row r="538" spans="1:42" ht="50.1" customHeight="1" x14ac:dyDescent="0.25">
      <c r="A538" s="43">
        <f>MONTH(TAB_HISTORICO_MANUT[[#This Row],[Hora Final]])-MONTH(TAB_HISTORICO_MANUT[[#This Row],[Hora Inicio]])</f>
        <v>0</v>
      </c>
      <c r="B538" s="42"/>
      <c r="C538" s="43"/>
      <c r="D538" s="42"/>
      <c r="E538" s="42"/>
      <c r="F538" s="42"/>
      <c r="G538" s="42"/>
      <c r="H538" s="42"/>
      <c r="I538" s="42"/>
      <c r="J538" s="42"/>
      <c r="K538" s="42"/>
      <c r="L538" s="42"/>
      <c r="M538" s="42" t="s">
        <v>99</v>
      </c>
      <c r="N53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Inicio]]=Z537,TAB_HISTORICO_MANUT[[#This Row],[Equipamento]]=AA537,TAB_HISTORICO_MANUT[[#This Row],[Descricao Despacho]]=AD537),0,1)))</f>
        <v>1</v>
      </c>
      <c r="O53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53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3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538" s="107">
        <f>IF($Q538="","",(TAB_HISTORICO_MANUT[[#This Row],[Hora Final]]-TAB_HISTORICO_MANUT[[#This Row],[Hora Inicio]])*24)</f>
        <v>0.73583333333954215</v>
      </c>
      <c r="S53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38" s="54" t="str">
        <f>IF(AND(TAB_HISTORICO_MANUT[[#This Row],[EXPURGO Mãe]]="SIM",TAB_HISTORICO_MANUT[[#This Row],[Tipo]]="MÃE"),"EXP.MAE",IF(TAB_HISTORICO_MANUT[[#This Row],[EXPURGO Mãe]]="NÃO","NÃO EXP.MAE",T537))</f>
        <v>NÃO EXP.MAE</v>
      </c>
      <c r="U53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38" s="110">
        <f>IF(TAB_HISTORICO_MANUT[[#This Row],[EXPURGO Filhas]]="SIM",MAX(TAB_HISTORICO_MANUT[[#This Row],[Hora Final]]-TAB_HISTORICO_MANUT[[#This Row],[Hora Inicio]],0),0)</f>
        <v>0</v>
      </c>
      <c r="W53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3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38" s="46">
        <v>46091.379062499997</v>
      </c>
      <c r="Z538" s="47">
        <v>46091.409722222219</v>
      </c>
      <c r="AA538" s="48" t="s">
        <v>208</v>
      </c>
      <c r="AB538" s="48"/>
      <c r="AC538" s="115" t="s">
        <v>300</v>
      </c>
      <c r="AD538" s="46" t="s">
        <v>146</v>
      </c>
      <c r="AE538" s="46" t="s">
        <v>178</v>
      </c>
      <c r="AF538" s="88" t="s">
        <v>210</v>
      </c>
      <c r="AG538" s="105">
        <f>IF(TAB_HISTORICO_MANUT[[#This Row],[Hora Inicio]]="","",MONTH(TAB_HISTORICO_MANUT[[#This Row],[Hora Inicio]]))</f>
        <v>3</v>
      </c>
      <c r="AH538" s="58" t="s">
        <v>731</v>
      </c>
      <c r="AI538" s="115" t="s">
        <v>340</v>
      </c>
      <c r="AJ538" s="115" t="s">
        <v>436</v>
      </c>
      <c r="AK538" s="115"/>
      <c r="AL538" s="115"/>
      <c r="AM538" s="121"/>
      <c r="AN538" s="43"/>
      <c r="AO538" s="43"/>
      <c r="AP538" s="43"/>
    </row>
    <row r="539" spans="1:42" ht="50.1" customHeight="1" x14ac:dyDescent="0.25">
      <c r="A539" s="115">
        <f>MONTH(TAB_HISTORICO_MANUT[[#This Row],[Hora Final]])-MONTH(TAB_HISTORICO_MANUT[[#This Row],[Hora Inicio]])</f>
        <v>0</v>
      </c>
      <c r="B539" s="116"/>
      <c r="C539" s="115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Inicio]]=Z538,TAB_HISTORICO_MANUT[[#This Row],[Equipamento]]=AA538,TAB_HISTORICO_MANUT[[#This Row],[Descricao Despacho]]=AD538),0,1)))</f>
        <v>0</v>
      </c>
      <c r="O53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53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3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539" s="107">
        <f>IF($Q539="","",(TAB_HISTORICO_MANUT[[#This Row],[Hora Final]]-TAB_HISTORICO_MANUT[[#This Row],[Hora Inicio]])*24)</f>
        <v>4.6877777778427117</v>
      </c>
      <c r="S53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39" s="109" t="str">
        <f>IF(AND(TAB_HISTORICO_MANUT[[#This Row],[EXPURGO Mãe]]="SIM",TAB_HISTORICO_MANUT[[#This Row],[Tipo]]="MÃE"),"EXP.MAE",IF(TAB_HISTORICO_MANUT[[#This Row],[EXPURGO Mãe]]="NÃO","NÃO EXP.MAE",T538))</f>
        <v>NÃO EXP.MAE</v>
      </c>
      <c r="U53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39" s="110">
        <f>IF(TAB_HISTORICO_MANUT[[#This Row],[EXPURGO Filhas]]="SIM",MAX(TAB_HISTORICO_MANUT[[#This Row],[Hora Final]]-TAB_HISTORICO_MANUT[[#This Row],[Hora Inicio]],0),0)</f>
        <v>0</v>
      </c>
      <c r="W53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3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39" s="117">
        <v>46091.409722222219</v>
      </c>
      <c r="Z539" s="118">
        <v>46091.605046296296</v>
      </c>
      <c r="AA539" s="119" t="s">
        <v>208</v>
      </c>
      <c r="AB539" s="119"/>
      <c r="AC539" s="115" t="s">
        <v>301</v>
      </c>
      <c r="AD539" s="117" t="s">
        <v>146</v>
      </c>
      <c r="AE539" s="117" t="s">
        <v>310</v>
      </c>
      <c r="AF539" s="88" t="s">
        <v>210</v>
      </c>
      <c r="AG539" s="123">
        <f>IF(TAB_HISTORICO_MANUT[[#This Row],[Hora Inicio]]="","",MONTH(TAB_HISTORICO_MANUT[[#This Row],[Hora Inicio]]))</f>
        <v>3</v>
      </c>
      <c r="AH539" s="120" t="s">
        <v>731</v>
      </c>
      <c r="AI539" s="115" t="s">
        <v>340</v>
      </c>
      <c r="AJ539" s="115" t="s">
        <v>436</v>
      </c>
      <c r="AK539" s="115"/>
      <c r="AL539" s="115"/>
      <c r="AM539" s="121"/>
      <c r="AN539" s="115"/>
      <c r="AO539" s="115"/>
      <c r="AP539" s="115"/>
    </row>
    <row r="540" spans="1:42" ht="50.1" customHeight="1" x14ac:dyDescent="0.25">
      <c r="A540" s="115">
        <f>MONTH(TAB_HISTORICO_MANUT[[#This Row],[Hora Final]])-MONTH(TAB_HISTORICO_MANUT[[#This Row],[Hora Inicio]])</f>
        <v>0</v>
      </c>
      <c r="B540" s="116"/>
      <c r="C540" s="115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Inicio]]=Z539,TAB_HISTORICO_MANUT[[#This Row],[Equipamento]]=AA539,TAB_HISTORICO_MANUT[[#This Row],[Descricao Despacho]]=AD539),0,1)))</f>
        <v>1</v>
      </c>
      <c r="O54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54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4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540" s="107">
        <f>IF($Q540="","",(TAB_HISTORICO_MANUT[[#This Row],[Hora Final]]-TAB_HISTORICO_MANUT[[#This Row],[Hora Inicio]])*24)</f>
        <v>7.1052777778822929</v>
      </c>
      <c r="S54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40" s="109" t="str">
        <f>IF(AND(TAB_HISTORICO_MANUT[[#This Row],[EXPURGO Mãe]]="SIM",TAB_HISTORICO_MANUT[[#This Row],[Tipo]]="MÃE"),"EXP.MAE",IF(TAB_HISTORICO_MANUT[[#This Row],[EXPURGO Mãe]]="NÃO","NÃO EXP.MAE",T539))</f>
        <v>NÃO EXP.MAE</v>
      </c>
      <c r="U54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40" s="110">
        <f>IF(TAB_HISTORICO_MANUT[[#This Row],[EXPURGO Filhas]]="SIM",MAX(TAB_HISTORICO_MANUT[[#This Row],[Hora Final]]-TAB_HISTORICO_MANUT[[#This Row],[Hora Inicio]],0),0)</f>
        <v>0</v>
      </c>
      <c r="W54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4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40" s="117">
        <v>46092.513807870368</v>
      </c>
      <c r="Z540" s="118">
        <v>46092.809861111113</v>
      </c>
      <c r="AA540" s="119" t="s">
        <v>208</v>
      </c>
      <c r="AB540" s="119" t="s">
        <v>699</v>
      </c>
      <c r="AC540" s="115" t="s">
        <v>204</v>
      </c>
      <c r="AD540" s="117" t="s">
        <v>144</v>
      </c>
      <c r="AE540" s="117" t="s">
        <v>172</v>
      </c>
      <c r="AF540" s="88" t="s">
        <v>210</v>
      </c>
      <c r="AG540" s="123">
        <f>IF(TAB_HISTORICO_MANUT[[#This Row],[Hora Inicio]]="","",MONTH(TAB_HISTORICO_MANUT[[#This Row],[Hora Inicio]]))</f>
        <v>3</v>
      </c>
      <c r="AH540" s="120" t="s">
        <v>710</v>
      </c>
      <c r="AI540" s="115" t="s">
        <v>28</v>
      </c>
      <c r="AJ540" s="115" t="s">
        <v>30</v>
      </c>
      <c r="AK540" s="115" t="s">
        <v>462</v>
      </c>
      <c r="AL540" s="115" t="s">
        <v>275</v>
      </c>
      <c r="AM540" s="121" t="s">
        <v>238</v>
      </c>
      <c r="AN540" s="115" t="s">
        <v>217</v>
      </c>
      <c r="AO540" s="115" t="s">
        <v>316</v>
      </c>
      <c r="AP540" s="115" t="s">
        <v>456</v>
      </c>
    </row>
    <row r="541" spans="1:42" ht="50.1" customHeight="1" x14ac:dyDescent="0.25">
      <c r="A541" s="43">
        <f>MONTH(TAB_HISTORICO_MANUT[[#This Row],[Hora Final]])-MONTH(TAB_HISTORICO_MANUT[[#This Row],[Hora Inicio]])</f>
        <v>0</v>
      </c>
      <c r="B541" s="42"/>
      <c r="C541" s="43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Inicio]]=Z540,TAB_HISTORICO_MANUT[[#This Row],[Equipamento]]=AA540,TAB_HISTORICO_MANUT[[#This Row],[Descricao Despacho]]=AD540),0,1)))</f>
        <v>1</v>
      </c>
      <c r="O54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541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54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541" s="50">
        <f>IF($Q541="","",(TAB_HISTORICO_MANUT[[#This Row],[Hora Final]]-TAB_HISTORICO_MANUT[[#This Row],[Hora Inicio]])*24)</f>
        <v>2.121944444370456</v>
      </c>
      <c r="S54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41" s="54" t="str">
        <f>IF(AND(TAB_HISTORICO_MANUT[[#This Row],[EXPURGO Mãe]]="SIM",TAB_HISTORICO_MANUT[[#This Row],[Tipo]]="MÃE"),"EXP.MAE",IF(TAB_HISTORICO_MANUT[[#This Row],[EXPURGO Mãe]]="NÃO","NÃO EXP.MAE",T540))</f>
        <v>NÃO EXP.MAE</v>
      </c>
      <c r="U54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41" s="56">
        <f>IF(TAB_HISTORICO_MANUT[[#This Row],[EXPURGO Filhas]]="SIM",MAX(TAB_HISTORICO_MANUT[[#This Row],[Hora Final]]-TAB_HISTORICO_MANUT[[#This Row],[Hora Inicio]],0),0)</f>
        <v>0</v>
      </c>
      <c r="W54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4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41" s="46">
        <v>46094.445127314815</v>
      </c>
      <c r="Z541" s="47">
        <v>46094.533541666664</v>
      </c>
      <c r="AA541" s="48" t="s">
        <v>208</v>
      </c>
      <c r="AB541" s="48"/>
      <c r="AC541" s="115" t="s">
        <v>363</v>
      </c>
      <c r="AD541" s="46" t="s">
        <v>145</v>
      </c>
      <c r="AE541" s="46" t="s">
        <v>359</v>
      </c>
      <c r="AF541" s="88" t="s">
        <v>210</v>
      </c>
      <c r="AG541" s="105">
        <f>IF(TAB_HISTORICO_MANUT[[#This Row],[Hora Inicio]]="","",MONTH(TAB_HISTORICO_MANUT[[#This Row],[Hora Inicio]]))</f>
        <v>3</v>
      </c>
      <c r="AH541" s="58"/>
      <c r="AI541" s="115" t="s">
        <v>25</v>
      </c>
      <c r="AJ541" s="115" t="s">
        <v>25</v>
      </c>
      <c r="AK541" s="115" t="s">
        <v>25</v>
      </c>
      <c r="AL541" s="115" t="s">
        <v>25</v>
      </c>
      <c r="AM541" s="121" t="s">
        <v>25</v>
      </c>
      <c r="AN541" s="43"/>
      <c r="AO541" s="43"/>
      <c r="AP541" s="43"/>
    </row>
    <row r="542" spans="1:42" ht="50.1" customHeight="1" x14ac:dyDescent="0.25">
      <c r="A542" s="115">
        <f>MONTH(TAB_HISTORICO_MANUT[[#This Row],[Hora Final]])-MONTH(TAB_HISTORICO_MANUT[[#This Row],[Hora Inicio]])</f>
        <v>0</v>
      </c>
      <c r="B542" s="116"/>
      <c r="C542" s="115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Inicio]]=Z541,TAB_HISTORICO_MANUT[[#This Row],[Equipamento]]=AA541,TAB_HISTORICO_MANUT[[#This Row],[Descricao Despacho]]=AD541),0,1)))</f>
        <v>1</v>
      </c>
      <c r="O54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54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4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542" s="107">
        <f>IF($Q542="","",(TAB_HISTORICO_MANUT[[#This Row],[Hora Final]]-TAB_HISTORICO_MANUT[[#This Row],[Hora Inicio]])*24)</f>
        <v>3.588888888945803</v>
      </c>
      <c r="S54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42" s="54" t="str">
        <f>IF(AND(TAB_HISTORICO_MANUT[[#This Row],[EXPURGO Mãe]]="SIM",TAB_HISTORICO_MANUT[[#This Row],[Tipo]]="MÃE"),"EXP.MAE",IF(TAB_HISTORICO_MANUT[[#This Row],[EXPURGO Mãe]]="NÃO","NÃO EXP.MAE",T541))</f>
        <v>NÃO EXP.MAE</v>
      </c>
      <c r="U54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42" s="110">
        <f>IF(TAB_HISTORICO_MANUT[[#This Row],[EXPURGO Filhas]]="SIM",MAX(TAB_HISTORICO_MANUT[[#This Row],[Hora Final]]-TAB_HISTORICO_MANUT[[#This Row],[Hora Inicio]],0),0)</f>
        <v>0</v>
      </c>
      <c r="W54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4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42" s="117">
        <v>46099.379293981481</v>
      </c>
      <c r="Z542" s="118">
        <v>46099.528831018521</v>
      </c>
      <c r="AA542" s="119" t="s">
        <v>208</v>
      </c>
      <c r="AB542" s="119" t="s">
        <v>738</v>
      </c>
      <c r="AC542" s="115" t="s">
        <v>204</v>
      </c>
      <c r="AD542" s="117" t="s">
        <v>144</v>
      </c>
      <c r="AE542" s="117" t="s">
        <v>172</v>
      </c>
      <c r="AF542" s="88" t="s">
        <v>210</v>
      </c>
      <c r="AG542" s="123">
        <f>IF(TAB_HISTORICO_MANUT[[#This Row],[Hora Inicio]]="","",MONTH(TAB_HISTORICO_MANUT[[#This Row],[Hora Inicio]]))</f>
        <v>3</v>
      </c>
      <c r="AH542" s="120" t="s">
        <v>746</v>
      </c>
      <c r="AI542" s="115" t="s">
        <v>22</v>
      </c>
      <c r="AJ542" s="115" t="s">
        <v>762</v>
      </c>
      <c r="AK542" s="115" t="s">
        <v>763</v>
      </c>
      <c r="AL542" s="115" t="s">
        <v>526</v>
      </c>
      <c r="AM542" s="121" t="s">
        <v>527</v>
      </c>
      <c r="AN542" s="115" t="s">
        <v>217</v>
      </c>
      <c r="AO542" s="115" t="s">
        <v>755</v>
      </c>
      <c r="AP542" s="115" t="s">
        <v>756</v>
      </c>
    </row>
    <row r="543" spans="1:42" ht="50.1" customHeight="1" x14ac:dyDescent="0.25">
      <c r="A543" s="115">
        <f>MONTH(TAB_HISTORICO_MANUT[[#This Row],[Hora Final]])-MONTH(TAB_HISTORICO_MANUT[[#This Row],[Hora Inicio]])</f>
        <v>0</v>
      </c>
      <c r="B543" s="116"/>
      <c r="C543" s="115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 t="s">
        <v>99</v>
      </c>
      <c r="N543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Inicio]]=Z542,TAB_HISTORICO_MANUT[[#This Row],[Equipamento]]=AA542,TAB_HISTORICO_MANUT[[#This Row],[Descricao Despacho]]=AD542),0,1)))</f>
        <v/>
      </c>
      <c r="O54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543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54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543" s="107" t="str">
        <f>IF($Q543="","",(TAB_HISTORICO_MANUT[[#This Row],[Hora Final]]-TAB_HISTORICO_MANUT[[#This Row],[Hora Inicio]])*24)</f>
        <v/>
      </c>
      <c r="S54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543" s="109" t="str">
        <f>IF(AND(TAB_HISTORICO_MANUT[[#This Row],[EXPURGO Mãe]]="SIM",TAB_HISTORICO_MANUT[[#This Row],[Tipo]]="MÃE"),"EXP.MAE",IF(TAB_HISTORICO_MANUT[[#This Row],[EXPURGO Mãe]]="NÃO","NÃO EXP.MAE",T542))</f>
        <v>NÃO EXP.MAE</v>
      </c>
      <c r="U54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43" s="110">
        <f>IF(TAB_HISTORICO_MANUT[[#This Row],[EXPURGO Filhas]]="SIM",MAX(TAB_HISTORICO_MANUT[[#This Row],[Hora Final]]-TAB_HISTORICO_MANUT[[#This Row],[Hora Inicio]],0),0)</f>
        <v>0</v>
      </c>
      <c r="W54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4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43" s="117">
        <v>46099.417361111111</v>
      </c>
      <c r="Z543" s="118">
        <v>46099.459027777775</v>
      </c>
      <c r="AA543" s="119" t="s">
        <v>208</v>
      </c>
      <c r="AB543" s="119" t="s">
        <v>738</v>
      </c>
      <c r="AC543" s="115" t="s">
        <v>204</v>
      </c>
      <c r="AD543" s="117" t="s">
        <v>144</v>
      </c>
      <c r="AE543" s="117" t="s">
        <v>233</v>
      </c>
      <c r="AF543" s="88" t="s">
        <v>767</v>
      </c>
      <c r="AG543" s="123">
        <f>IF(TAB_HISTORICO_MANUT[[#This Row],[Hora Inicio]]="","",MONTH(TAB_HISTORICO_MANUT[[#This Row],[Hora Inicio]]))</f>
        <v>3</v>
      </c>
      <c r="AH543" s="120" t="s">
        <v>746</v>
      </c>
      <c r="AI543" s="115" t="s">
        <v>22</v>
      </c>
      <c r="AJ543" s="115" t="s">
        <v>762</v>
      </c>
      <c r="AK543" s="115" t="s">
        <v>763</v>
      </c>
      <c r="AL543" s="115" t="s">
        <v>526</v>
      </c>
      <c r="AM543" s="121" t="s">
        <v>527</v>
      </c>
      <c r="AN543" s="115" t="s">
        <v>217</v>
      </c>
      <c r="AO543" s="115" t="s">
        <v>755</v>
      </c>
      <c r="AP543" s="115" t="s">
        <v>756</v>
      </c>
    </row>
    <row r="544" spans="1:42" ht="50.1" customHeight="1" x14ac:dyDescent="0.25">
      <c r="A544" s="43">
        <f>MONTH(TAB_HISTORICO_MANUT[[#This Row],[Hora Final]])-MONTH(TAB_HISTORICO_MANUT[[#This Row],[Hora Inicio]])</f>
        <v>0</v>
      </c>
      <c r="B544" s="42"/>
      <c r="C544" s="43"/>
      <c r="D544" s="42"/>
      <c r="E544" s="42"/>
      <c r="F544" s="42"/>
      <c r="G544" s="42"/>
      <c r="H544" s="42"/>
      <c r="I544" s="116"/>
      <c r="J544" s="116"/>
      <c r="K544" s="116"/>
      <c r="L544" s="116"/>
      <c r="M544" s="116"/>
      <c r="N544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Inicio]]=Z543,TAB_HISTORICO_MANUT[[#This Row],[Equipamento]]=AA543,TAB_HISTORICO_MANUT[[#This Row],[Descricao Despacho]]=AD543),0,1)))</f>
        <v/>
      </c>
      <c r="O54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544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54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544" s="50" t="str">
        <f>IF($Q544="","",(TAB_HISTORICO_MANUT[[#This Row],[Hora Final]]-TAB_HISTORICO_MANUT[[#This Row],[Hora Inicio]])*24)</f>
        <v/>
      </c>
      <c r="S54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544" s="54" t="str">
        <f>IF(AND(TAB_HISTORICO_MANUT[[#This Row],[EXPURGO Mãe]]="SIM",TAB_HISTORICO_MANUT[[#This Row],[Tipo]]="MÃE"),"EXP.MAE",IF(TAB_HISTORICO_MANUT[[#This Row],[EXPURGO Mãe]]="NÃO","NÃO EXP.MAE",T543))</f>
        <v>NÃO EXP.MAE</v>
      </c>
      <c r="U54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544" s="56">
        <f>IF(TAB_HISTORICO_MANUT[[#This Row],[EXPURGO Filhas]]="SIM",MAX(TAB_HISTORICO_MANUT[[#This Row],[Hora Final]]-TAB_HISTORICO_MANUT[[#This Row],[Hora Inicio]],0),0)</f>
        <v>2.4305555554747116E-2</v>
      </c>
      <c r="W54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4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44" s="46">
        <v>46099.459027777775</v>
      </c>
      <c r="Z544" s="47">
        <v>46099.48333333333</v>
      </c>
      <c r="AA544" s="48" t="s">
        <v>208</v>
      </c>
      <c r="AB544" s="48" t="s">
        <v>738</v>
      </c>
      <c r="AC544" s="43" t="s">
        <v>204</v>
      </c>
      <c r="AD544" s="46" t="s">
        <v>144</v>
      </c>
      <c r="AE544" s="46" t="s">
        <v>233</v>
      </c>
      <c r="AF544" s="88" t="s">
        <v>767</v>
      </c>
      <c r="AG544" s="105">
        <f>IF(TAB_HISTORICO_MANUT[[#This Row],[Hora Inicio]]="","",MONTH(TAB_HISTORICO_MANUT[[#This Row],[Hora Inicio]]))</f>
        <v>3</v>
      </c>
      <c r="AH544" s="58" t="s">
        <v>746</v>
      </c>
      <c r="AI544" s="43" t="s">
        <v>22</v>
      </c>
      <c r="AJ544" s="43" t="s">
        <v>762</v>
      </c>
      <c r="AK544" s="43" t="s">
        <v>763</v>
      </c>
      <c r="AL544" s="43" t="s">
        <v>526</v>
      </c>
      <c r="AM544" s="114" t="s">
        <v>527</v>
      </c>
      <c r="AN544" s="43" t="s">
        <v>217</v>
      </c>
      <c r="AO544" s="43" t="s">
        <v>755</v>
      </c>
      <c r="AP544" s="43" t="s">
        <v>756</v>
      </c>
    </row>
    <row r="545" spans="1:42" ht="50.1" customHeight="1" x14ac:dyDescent="0.25">
      <c r="A545" s="43">
        <f>MONTH(TAB_HISTORICO_MANUT[[#This Row],[Hora Final]])-MONTH(TAB_HISTORICO_MANUT[[#This Row],[Hora Inicio]])</f>
        <v>0</v>
      </c>
      <c r="B545" s="42"/>
      <c r="C545" s="43"/>
      <c r="D545" s="42"/>
      <c r="E545" s="42"/>
      <c r="F545" s="42"/>
      <c r="G545" s="42"/>
      <c r="H545" s="42"/>
      <c r="I545" s="116"/>
      <c r="J545" s="116"/>
      <c r="K545" s="116"/>
      <c r="L545" s="116"/>
      <c r="M545" s="116"/>
      <c r="N54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Inicio]]=Z544,TAB_HISTORICO_MANUT[[#This Row],[Equipamento]]=AA544,TAB_HISTORICO_MANUT[[#This Row],[Descricao Despacho]]=AD544),0,1)))</f>
        <v>1</v>
      </c>
      <c r="O54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545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4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545" s="50">
        <f>IF($Q545="","",(TAB_HISTORICO_MANUT[[#This Row],[Hora Final]]-TAB_HISTORICO_MANUT[[#This Row],[Hora Inicio]])*24)</f>
        <v>1.6727777778287418</v>
      </c>
      <c r="S54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45" s="54" t="str">
        <f>IF(AND(TAB_HISTORICO_MANUT[[#This Row],[EXPURGO Mãe]]="SIM",TAB_HISTORICO_MANUT[[#This Row],[Tipo]]="MÃE"),"EXP.MAE",IF(TAB_HISTORICO_MANUT[[#This Row],[EXPURGO Mãe]]="NÃO","NÃO EXP.MAE",T544))</f>
        <v>NÃO EXP.MAE</v>
      </c>
      <c r="U54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45" s="56">
        <f>IF(TAB_HISTORICO_MANUT[[#This Row],[EXPURGO Filhas]]="SIM",MAX(TAB_HISTORICO_MANUT[[#This Row],[Hora Final]]-TAB_HISTORICO_MANUT[[#This Row],[Hora Inicio]],0),0)</f>
        <v>0</v>
      </c>
      <c r="W54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4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45" s="46">
        <v>46100.260462962964</v>
      </c>
      <c r="Z545" s="47">
        <v>46100.33016203704</v>
      </c>
      <c r="AA545" s="48" t="s">
        <v>208</v>
      </c>
      <c r="AB545" s="48" t="s">
        <v>739</v>
      </c>
      <c r="AC545" s="43" t="s">
        <v>204</v>
      </c>
      <c r="AD545" s="46" t="s">
        <v>144</v>
      </c>
      <c r="AE545" s="46" t="s">
        <v>172</v>
      </c>
      <c r="AF545" s="88" t="s">
        <v>210</v>
      </c>
      <c r="AG545" s="105">
        <f>IF(TAB_HISTORICO_MANUT[[#This Row],[Hora Inicio]]="","",MONTH(TAB_HISTORICO_MANUT[[#This Row],[Hora Inicio]]))</f>
        <v>3</v>
      </c>
      <c r="AH545" s="58" t="s">
        <v>747</v>
      </c>
      <c r="AI545" s="43" t="s">
        <v>22</v>
      </c>
      <c r="AJ545" s="43" t="s">
        <v>23</v>
      </c>
      <c r="AK545" s="43" t="s">
        <v>288</v>
      </c>
      <c r="AL545" s="43" t="s">
        <v>460</v>
      </c>
      <c r="AM545" s="114" t="s">
        <v>283</v>
      </c>
      <c r="AN545" s="43" t="s">
        <v>217</v>
      </c>
      <c r="AO545" s="43" t="s">
        <v>682</v>
      </c>
      <c r="AP545" s="43" t="s">
        <v>683</v>
      </c>
    </row>
    <row r="546" spans="1:42" ht="50.1" customHeight="1" x14ac:dyDescent="0.25">
      <c r="A546" s="115">
        <f>MONTH(TAB_HISTORICO_MANUT[[#This Row],[Hora Final]])-MONTH(TAB_HISTORICO_MANUT[[#This Row],[Hora Inicio]])</f>
        <v>0</v>
      </c>
      <c r="B546" s="116"/>
      <c r="C546" s="115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Inicio]]=Z545,TAB_HISTORICO_MANUT[[#This Row],[Equipamento]]=AA545,TAB_HISTORICO_MANUT[[#This Row],[Descricao Despacho]]=AD545),0,1)))</f>
        <v>1</v>
      </c>
      <c r="O54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54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4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546" s="107">
        <f>IF($Q546="","",(TAB_HISTORICO_MANUT[[#This Row],[Hora Final]]-TAB_HISTORICO_MANUT[[#This Row],[Hora Inicio]])*24)</f>
        <v>1.4655555557110347</v>
      </c>
      <c r="S54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46" s="109" t="str">
        <f>IF(AND(TAB_HISTORICO_MANUT[[#This Row],[EXPURGO Mãe]]="SIM",TAB_HISTORICO_MANUT[[#This Row],[Tipo]]="MÃE"),"EXP.MAE",IF(TAB_HISTORICO_MANUT[[#This Row],[EXPURGO Mãe]]="NÃO","NÃO EXP.MAE",T545))</f>
        <v>NÃO EXP.MAE</v>
      </c>
      <c r="U54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46" s="110">
        <f>IF(TAB_HISTORICO_MANUT[[#This Row],[EXPURGO Filhas]]="SIM",MAX(TAB_HISTORICO_MANUT[[#This Row],[Hora Final]]-TAB_HISTORICO_MANUT[[#This Row],[Hora Inicio]],0),0)</f>
        <v>0</v>
      </c>
      <c r="W54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4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46" s="117">
        <v>46100.435960648145</v>
      </c>
      <c r="Z546" s="118">
        <v>46100.497025462966</v>
      </c>
      <c r="AA546" s="119" t="s">
        <v>208</v>
      </c>
      <c r="AB546" s="119" t="s">
        <v>740</v>
      </c>
      <c r="AC546" s="43" t="s">
        <v>204</v>
      </c>
      <c r="AD546" s="117" t="s">
        <v>144</v>
      </c>
      <c r="AE546" s="117" t="s">
        <v>172</v>
      </c>
      <c r="AF546" s="88" t="s">
        <v>210</v>
      </c>
      <c r="AG546" s="123">
        <f>IF(TAB_HISTORICO_MANUT[[#This Row],[Hora Inicio]]="","",MONTH(TAB_HISTORICO_MANUT[[#This Row],[Hora Inicio]]))</f>
        <v>3</v>
      </c>
      <c r="AH546" s="58" t="s">
        <v>749</v>
      </c>
      <c r="AI546" s="43" t="s">
        <v>24</v>
      </c>
      <c r="AJ546" s="43" t="s">
        <v>423</v>
      </c>
      <c r="AK546" s="43" t="s">
        <v>422</v>
      </c>
      <c r="AL546" s="43" t="s">
        <v>279</v>
      </c>
      <c r="AM546" s="121" t="s">
        <v>280</v>
      </c>
      <c r="AN546" s="115" t="s">
        <v>217</v>
      </c>
      <c r="AO546" s="115" t="s">
        <v>405</v>
      </c>
      <c r="AP546" s="115" t="s">
        <v>403</v>
      </c>
    </row>
    <row r="547" spans="1:42" ht="50.1" customHeight="1" x14ac:dyDescent="0.25">
      <c r="A547" s="115">
        <f>MONTH(TAB_HISTORICO_MANUT[[#This Row],[Hora Final]])-MONTH(TAB_HISTORICO_MANUT[[#This Row],[Hora Inicio]])</f>
        <v>0</v>
      </c>
      <c r="B547" s="116"/>
      <c r="C547" s="115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Inicio]]=Z546,TAB_HISTORICO_MANUT[[#This Row],[Equipamento]]=AA546,TAB_HISTORICO_MANUT[[#This Row],[Descricao Despacho]]=AD546),0,1)))</f>
        <v>1</v>
      </c>
      <c r="O54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54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4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547" s="107">
        <f>IF($Q547="","",(TAB_HISTORICO_MANUT[[#This Row],[Hora Final]]-TAB_HISTORICO_MANUT[[#This Row],[Hora Inicio]])*24)</f>
        <v>1.121666666585952</v>
      </c>
      <c r="S54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47" s="109" t="str">
        <f>IF(AND(TAB_HISTORICO_MANUT[[#This Row],[EXPURGO Mãe]]="SIM",TAB_HISTORICO_MANUT[[#This Row],[Tipo]]="MÃE"),"EXP.MAE",IF(TAB_HISTORICO_MANUT[[#This Row],[EXPURGO Mãe]]="NÃO","NÃO EXP.MAE",T546))</f>
        <v>NÃO EXP.MAE</v>
      </c>
      <c r="U54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47" s="110">
        <f>IF(TAB_HISTORICO_MANUT[[#This Row],[EXPURGO Filhas]]="SIM",MAX(TAB_HISTORICO_MANUT[[#This Row],[Hora Final]]-TAB_HISTORICO_MANUT[[#This Row],[Hora Inicio]],0),0)</f>
        <v>0</v>
      </c>
      <c r="W54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4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47" s="117">
        <v>46101.421064814815</v>
      </c>
      <c r="Z547" s="118">
        <v>46101.467800925922</v>
      </c>
      <c r="AA547" s="119" t="s">
        <v>208</v>
      </c>
      <c r="AB547" s="119"/>
      <c r="AC547" s="115" t="s">
        <v>736</v>
      </c>
      <c r="AD547" s="117" t="s">
        <v>146</v>
      </c>
      <c r="AE547" s="117" t="s">
        <v>733</v>
      </c>
      <c r="AF547" s="88" t="s">
        <v>210</v>
      </c>
      <c r="AG547" s="123">
        <f>IF(TAB_HISTORICO_MANUT[[#This Row],[Hora Inicio]]="","",MONTH(TAB_HISTORICO_MANUT[[#This Row],[Hora Inicio]]))</f>
        <v>3</v>
      </c>
      <c r="AH547" s="120" t="s">
        <v>751</v>
      </c>
      <c r="AI547" s="115" t="s">
        <v>25</v>
      </c>
      <c r="AJ547" s="115" t="s">
        <v>25</v>
      </c>
      <c r="AK547" s="115" t="s">
        <v>25</v>
      </c>
      <c r="AL547" s="115" t="s">
        <v>25</v>
      </c>
      <c r="AM547" s="121" t="s">
        <v>25</v>
      </c>
      <c r="AN547" s="115"/>
      <c r="AO547" s="115"/>
      <c r="AP547" s="115"/>
    </row>
    <row r="548" spans="1:42" ht="50.1" customHeight="1" x14ac:dyDescent="0.25">
      <c r="A548" s="43">
        <f>MONTH(TAB_HISTORICO_MANUT[[#This Row],[Hora Final]])-MONTH(TAB_HISTORICO_MANUT[[#This Row],[Hora Inicio]])</f>
        <v>0</v>
      </c>
      <c r="B548" s="42"/>
      <c r="C548" s="43"/>
      <c r="D548" s="42"/>
      <c r="E548" s="42"/>
      <c r="F548" s="42"/>
      <c r="G548" s="42"/>
      <c r="H548" s="42"/>
      <c r="I548" s="116"/>
      <c r="J548" s="116"/>
      <c r="K548" s="116"/>
      <c r="L548" s="116"/>
      <c r="M548" s="116"/>
      <c r="N54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Inicio]]=Z547,TAB_HISTORICO_MANUT[[#This Row],[Equipamento]]=AA547,TAB_HISTORICO_MANUT[[#This Row],[Descricao Despacho]]=AD547),0,1)))</f>
        <v>1</v>
      </c>
      <c r="O54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548" s="50" t="str">
        <f>IF(TAB_HISTORICO_MANUT[[#This Row],[CONT. OCOR.]]="","",IF(TAB_HISTORICO_MANUT[[#This Row],[Ajuste - Cod. Despacho]]="",TAB_HISTORICO_MANUT[[#This Row],[Descricao Despacho]],TAB_HISTORICO_MANUT[[#This Row],[Ajuste - Cod. Despacho]]))</f>
        <v>HAC - Hora Acidente</v>
      </c>
      <c r="Q54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Acidente operacional</v>
      </c>
      <c r="R548" s="50">
        <f>IF($Q548="","",(TAB_HISTORICO_MANUT[[#This Row],[Hora Final]]-TAB_HISTORICO_MANUT[[#This Row],[Hora Inicio]])*24)</f>
        <v>18.421944444417022</v>
      </c>
      <c r="S54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548" s="54" t="str">
        <f>IF(AND(TAB_HISTORICO_MANUT[[#This Row],[EXPURGO Mãe]]="SIM",TAB_HISTORICO_MANUT[[#This Row],[Tipo]]="MÃE"),"EXP.MAE",IF(TAB_HISTORICO_MANUT[[#This Row],[EXPURGO Mãe]]="NÃO","NÃO EXP.MAE",T547))</f>
        <v>EXP.MAE</v>
      </c>
      <c r="U54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48" s="56">
        <f>IF(TAB_HISTORICO_MANUT[[#This Row],[EXPURGO Filhas]]="SIM",MAX(TAB_HISTORICO_MANUT[[#This Row],[Hora Final]]-TAB_HISTORICO_MANUT[[#This Row],[Hora Inicio]],0),0)</f>
        <v>0</v>
      </c>
      <c r="W54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4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48" s="46">
        <v>46104.261793981481</v>
      </c>
      <c r="Z548" s="47">
        <v>46105.029374999998</v>
      </c>
      <c r="AA548" s="48" t="s">
        <v>208</v>
      </c>
      <c r="AB548" s="48"/>
      <c r="AC548" s="43" t="s">
        <v>243</v>
      </c>
      <c r="AD548" s="46" t="s">
        <v>147</v>
      </c>
      <c r="AE548" s="46" t="s">
        <v>244</v>
      </c>
      <c r="AF548" s="88" t="s">
        <v>210</v>
      </c>
      <c r="AG548" s="105">
        <f>IF(TAB_HISTORICO_MANUT[[#This Row],[Hora Inicio]]="","",MONTH(TAB_HISTORICO_MANUT[[#This Row],[Hora Inicio]]))</f>
        <v>3</v>
      </c>
      <c r="AH548" s="58" t="s">
        <v>798</v>
      </c>
      <c r="AI548" s="43" t="s">
        <v>28</v>
      </c>
      <c r="AJ548" s="43" t="s">
        <v>614</v>
      </c>
      <c r="AK548" s="43" t="s">
        <v>422</v>
      </c>
      <c r="AL548" s="43" t="s">
        <v>70</v>
      </c>
      <c r="AM548" s="114" t="s">
        <v>238</v>
      </c>
      <c r="AN548" s="43"/>
      <c r="AO548" s="43"/>
      <c r="AP548" s="43"/>
    </row>
    <row r="549" spans="1:42" ht="50.1" customHeight="1" x14ac:dyDescent="0.25">
      <c r="A549" s="115">
        <f>MONTH(TAB_HISTORICO_MANUT[[#This Row],[Hora Final]])-MONTH(TAB_HISTORICO_MANUT[[#This Row],[Hora Inicio]])</f>
        <v>0</v>
      </c>
      <c r="B549" s="116"/>
      <c r="C549" s="115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Inicio]]=Z548,TAB_HISTORICO_MANUT[[#This Row],[Equipamento]]=AA548,TAB_HISTORICO_MANUT[[#This Row],[Descricao Despacho]]=AD548),0,1)))</f>
        <v>1</v>
      </c>
      <c r="O54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549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4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549" s="50">
        <f>IF($Q549="","",(TAB_HISTORICO_MANUT[[#This Row],[Hora Final]]-TAB_HISTORICO_MANUT[[#This Row],[Hora Inicio]])*24)</f>
        <v>7.345555555424653</v>
      </c>
      <c r="S54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49" s="54" t="str">
        <f>IF(AND(TAB_HISTORICO_MANUT[[#This Row],[EXPURGO Mãe]]="SIM",TAB_HISTORICO_MANUT[[#This Row],[Tipo]]="MÃE"),"EXP.MAE",IF(TAB_HISTORICO_MANUT[[#This Row],[EXPURGO Mãe]]="NÃO","NÃO EXP.MAE",T548))</f>
        <v>NÃO EXP.MAE</v>
      </c>
      <c r="U54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49" s="56">
        <f>IF(TAB_HISTORICO_MANUT[[#This Row],[EXPURGO Filhas]]="SIM",MAX(TAB_HISTORICO_MANUT[[#This Row],[Hora Final]]-TAB_HISTORICO_MANUT[[#This Row],[Hora Inicio]],0),0)</f>
        <v>0</v>
      </c>
      <c r="W54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4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49" s="117">
        <v>46105.269525462965</v>
      </c>
      <c r="Z549" s="118">
        <v>46105.575590277775</v>
      </c>
      <c r="AA549" s="119" t="s">
        <v>208</v>
      </c>
      <c r="AB549" s="119"/>
      <c r="AC549" s="115" t="s">
        <v>481</v>
      </c>
      <c r="AD549" s="117" t="s">
        <v>146</v>
      </c>
      <c r="AE549" s="117" t="s">
        <v>480</v>
      </c>
      <c r="AF549" s="88" t="s">
        <v>210</v>
      </c>
      <c r="AG549" s="123">
        <f>IF(TAB_HISTORICO_MANUT[[#This Row],[Hora Inicio]]="","",MONTH(TAB_HISTORICO_MANUT[[#This Row],[Hora Inicio]]))</f>
        <v>3</v>
      </c>
      <c r="AH549" s="120" t="s">
        <v>482</v>
      </c>
      <c r="AI549" s="115" t="s">
        <v>21</v>
      </c>
      <c r="AJ549" s="115" t="s">
        <v>21</v>
      </c>
      <c r="AK549" s="115" t="s">
        <v>21</v>
      </c>
      <c r="AL549" s="115" t="s">
        <v>21</v>
      </c>
      <c r="AM549" s="121" t="s">
        <v>21</v>
      </c>
      <c r="AN549" s="115"/>
      <c r="AO549" s="115"/>
      <c r="AP549" s="115"/>
    </row>
    <row r="550" spans="1:42" ht="50.1" customHeight="1" x14ac:dyDescent="0.25">
      <c r="A550" s="115">
        <f>MONTH(TAB_HISTORICO_MANUT[[#This Row],[Hora Final]])-MONTH(TAB_HISTORICO_MANUT[[#This Row],[Hora Inicio]])</f>
        <v>0</v>
      </c>
      <c r="B550" s="116"/>
      <c r="C550" s="115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Inicio]]=Z549,TAB_HISTORICO_MANUT[[#This Row],[Equipamento]]=AA549,TAB_HISTORICO_MANUT[[#This Row],[Descricao Despacho]]=AD549),0,1)))</f>
        <v>1</v>
      </c>
      <c r="O55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550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55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550" s="50">
        <f>IF($Q550="","",(TAB_HISTORICO_MANUT[[#This Row],[Hora Final]]-TAB_HISTORICO_MANUT[[#This Row],[Hora Inicio]])*24)</f>
        <v>0.91361111111473292</v>
      </c>
      <c r="S55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50" s="54" t="str">
        <f>IF(AND(TAB_HISTORICO_MANUT[[#This Row],[EXPURGO Mãe]]="SIM",TAB_HISTORICO_MANUT[[#This Row],[Tipo]]="MÃE"),"EXP.MAE",IF(TAB_HISTORICO_MANUT[[#This Row],[EXPURGO Mãe]]="NÃO","NÃO EXP.MAE",T549))</f>
        <v>NÃO EXP.MAE</v>
      </c>
      <c r="U55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50" s="56">
        <f>IF(TAB_HISTORICO_MANUT[[#This Row],[EXPURGO Filhas]]="SIM",MAX(TAB_HISTORICO_MANUT[[#This Row],[Hora Final]]-TAB_HISTORICO_MANUT[[#This Row],[Hora Inicio]],0),0)</f>
        <v>0</v>
      </c>
      <c r="W55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5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50" s="117">
        <v>46106.131053240744</v>
      </c>
      <c r="Z550" s="118">
        <v>46106.169120370374</v>
      </c>
      <c r="AA550" s="119" t="s">
        <v>208</v>
      </c>
      <c r="AB550" s="119"/>
      <c r="AC550" s="115" t="s">
        <v>205</v>
      </c>
      <c r="AD550" s="117" t="s">
        <v>145</v>
      </c>
      <c r="AE550" s="117" t="s">
        <v>173</v>
      </c>
      <c r="AF550" s="88" t="s">
        <v>210</v>
      </c>
      <c r="AG550" s="123">
        <f>IF(TAB_HISTORICO_MANUT[[#This Row],[Hora Inicio]]="","",MONTH(TAB_HISTORICO_MANUT[[#This Row],[Hora Inicio]]))</f>
        <v>3</v>
      </c>
      <c r="AH550" s="120"/>
      <c r="AI550" s="115" t="s">
        <v>21</v>
      </c>
      <c r="AJ550" s="115" t="s">
        <v>21</v>
      </c>
      <c r="AK550" s="115" t="s">
        <v>21</v>
      </c>
      <c r="AL550" s="115" t="s">
        <v>21</v>
      </c>
      <c r="AM550" s="121" t="s">
        <v>21</v>
      </c>
      <c r="AN550" s="115"/>
      <c r="AO550" s="115"/>
      <c r="AP550" s="115"/>
    </row>
    <row r="551" spans="1:42" ht="50.1" customHeight="1" x14ac:dyDescent="0.25">
      <c r="A551" s="115">
        <f>MONTH(TAB_HISTORICO_MANUT[[#This Row],[Hora Final]])-MONTH(TAB_HISTORICO_MANUT[[#This Row],[Hora Inicio]])</f>
        <v>0</v>
      </c>
      <c r="B551" s="116"/>
      <c r="C551" s="115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Inicio]]=Z550,TAB_HISTORICO_MANUT[[#This Row],[Equipamento]]=AA550,TAB_HISTORICO_MANUT[[#This Row],[Descricao Despacho]]=AD550),0,1)))</f>
        <v>1</v>
      </c>
      <c r="O55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55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5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551" s="107">
        <f>IF($Q551="","",(TAB_HISTORICO_MANUT[[#This Row],[Hora Final]]-TAB_HISTORICO_MANUT[[#This Row],[Hora Inicio]])*24)</f>
        <v>4.1758333333418705</v>
      </c>
      <c r="S55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51" s="109" t="str">
        <f>IF(AND(TAB_HISTORICO_MANUT[[#This Row],[EXPURGO Mãe]]="SIM",TAB_HISTORICO_MANUT[[#This Row],[Tipo]]="MÃE"),"EXP.MAE",IF(TAB_HISTORICO_MANUT[[#This Row],[EXPURGO Mãe]]="NÃO","NÃO EXP.MAE",T550))</f>
        <v>NÃO EXP.MAE</v>
      </c>
      <c r="U55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51" s="110">
        <f>IF(TAB_HISTORICO_MANUT[[#This Row],[EXPURGO Filhas]]="SIM",MAX(TAB_HISTORICO_MANUT[[#This Row],[Hora Final]]-TAB_HISTORICO_MANUT[[#This Row],[Hora Inicio]],0),0)</f>
        <v>0</v>
      </c>
      <c r="W55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5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51" s="117">
        <v>46109.050520833334</v>
      </c>
      <c r="Z551" s="118">
        <v>46109.22451388889</v>
      </c>
      <c r="AA551" s="119" t="s">
        <v>208</v>
      </c>
      <c r="AB551" s="119" t="s">
        <v>819</v>
      </c>
      <c r="AC551" s="115" t="s">
        <v>204</v>
      </c>
      <c r="AD551" s="117" t="s">
        <v>144</v>
      </c>
      <c r="AE551" s="117" t="s">
        <v>172</v>
      </c>
      <c r="AF551" s="88" t="s">
        <v>210</v>
      </c>
      <c r="AG551" s="123">
        <f>IF(TAB_HISTORICO_MANUT[[#This Row],[Hora Inicio]]="","",MONTH(TAB_HISTORICO_MANUT[[#This Row],[Hora Inicio]]))</f>
        <v>3</v>
      </c>
      <c r="AH551" s="120" t="s">
        <v>821</v>
      </c>
      <c r="AI551" s="115" t="s">
        <v>23</v>
      </c>
      <c r="AJ551" s="115" t="s">
        <v>277</v>
      </c>
      <c r="AK551" s="115" t="s">
        <v>331</v>
      </c>
      <c r="AL551" s="115" t="s">
        <v>333</v>
      </c>
      <c r="AM551" s="121" t="s">
        <v>276</v>
      </c>
      <c r="AN551" s="115" t="s">
        <v>217</v>
      </c>
      <c r="AO551" s="115" t="s">
        <v>414</v>
      </c>
      <c r="AP551" s="115" t="s">
        <v>823</v>
      </c>
    </row>
    <row r="552" spans="1:42" ht="50.1" customHeight="1" x14ac:dyDescent="0.25">
      <c r="A552" s="115">
        <f>MONTH(TAB_HISTORICO_MANUT[[#This Row],[Hora Final]])-MONTH(TAB_HISTORICO_MANUT[[#This Row],[Hora Inicio]])</f>
        <v>0</v>
      </c>
      <c r="B552" s="116"/>
      <c r="C552" s="115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Inicio]]=Z551,TAB_HISTORICO_MANUT[[#This Row],[Equipamento]]=AA551,TAB_HISTORICO_MANUT[[#This Row],[Descricao Despacho]]=AD551),0,1)))</f>
        <v>1</v>
      </c>
      <c r="O55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55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5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552" s="107">
        <f>IF($Q552="","",(TAB_HISTORICO_MANUT[[#This Row],[Hora Final]]-TAB_HISTORICO_MANUT[[#This Row],[Hora Inicio]])*24)</f>
        <v>4.4297222222085111</v>
      </c>
      <c r="S55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52" s="109" t="str">
        <f>IF(AND(TAB_HISTORICO_MANUT[[#This Row],[EXPURGO Mãe]]="SIM",TAB_HISTORICO_MANUT[[#This Row],[Tipo]]="MÃE"),"EXP.MAE",IF(TAB_HISTORICO_MANUT[[#This Row],[EXPURGO Mãe]]="NÃO","NÃO EXP.MAE",T551))</f>
        <v>NÃO EXP.MAE</v>
      </c>
      <c r="U55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52" s="110">
        <f>IF(TAB_HISTORICO_MANUT[[#This Row],[EXPURGO Filhas]]="SIM",MAX(TAB_HISTORICO_MANUT[[#This Row],[Hora Final]]-TAB_HISTORICO_MANUT[[#This Row],[Hora Inicio]],0),0)</f>
        <v>0</v>
      </c>
      <c r="W55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5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52" s="117">
        <v>46113.307974537034</v>
      </c>
      <c r="Z552" s="118">
        <v>46113.492546296293</v>
      </c>
      <c r="AA552" s="119" t="s">
        <v>208</v>
      </c>
      <c r="AB552" s="119" t="s">
        <v>826</v>
      </c>
      <c r="AC552" s="115" t="s">
        <v>204</v>
      </c>
      <c r="AD552" s="117" t="s">
        <v>144</v>
      </c>
      <c r="AE552" s="117" t="s">
        <v>172</v>
      </c>
      <c r="AF552" s="88" t="s">
        <v>210</v>
      </c>
      <c r="AG552" s="123">
        <f>IF(TAB_HISTORICO_MANUT[[#This Row],[Hora Inicio]]="","",MONTH(TAB_HISTORICO_MANUT[[#This Row],[Hora Inicio]]))</f>
        <v>4</v>
      </c>
      <c r="AH552" s="120" t="s">
        <v>831</v>
      </c>
      <c r="AI552" s="115" t="s">
        <v>22</v>
      </c>
      <c r="AJ552" s="115" t="s">
        <v>30</v>
      </c>
      <c r="AK552" s="115" t="s">
        <v>844</v>
      </c>
      <c r="AL552" s="115" t="s">
        <v>426</v>
      </c>
      <c r="AM552" s="121" t="s">
        <v>283</v>
      </c>
      <c r="AN552" s="115" t="s">
        <v>217</v>
      </c>
      <c r="AO552" s="115" t="s">
        <v>316</v>
      </c>
      <c r="AP552" s="115" t="s">
        <v>838</v>
      </c>
    </row>
    <row r="553" spans="1:42" ht="50.1" customHeight="1" x14ac:dyDescent="0.25">
      <c r="A553" s="115">
        <f>MONTH(TAB_HISTORICO_MANUT[[#This Row],[Hora Final]])-MONTH(TAB_HISTORICO_MANUT[[#This Row],[Hora Inicio]])</f>
        <v>0</v>
      </c>
      <c r="B553" s="116"/>
      <c r="C553" s="115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 t="s">
        <v>99</v>
      </c>
      <c r="N553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Inicio]]=Z552,TAB_HISTORICO_MANUT[[#This Row],[Equipamento]]=AA552,TAB_HISTORICO_MANUT[[#This Row],[Descricao Despacho]]=AD552),0,1)))</f>
        <v/>
      </c>
      <c r="O55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553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55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553" s="107" t="str">
        <f>IF($Q553="","",(TAB_HISTORICO_MANUT[[#This Row],[Hora Final]]-TAB_HISTORICO_MANUT[[#This Row],[Hora Inicio]])*24)</f>
        <v/>
      </c>
      <c r="S55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553" s="109" t="str">
        <f>IF(AND(TAB_HISTORICO_MANUT[[#This Row],[EXPURGO Mãe]]="SIM",TAB_HISTORICO_MANUT[[#This Row],[Tipo]]="MÃE"),"EXP.MAE",IF(TAB_HISTORICO_MANUT[[#This Row],[EXPURGO Mãe]]="NÃO","NÃO EXP.MAE",T552))</f>
        <v>NÃO EXP.MAE</v>
      </c>
      <c r="U55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53" s="110">
        <f>IF(TAB_HISTORICO_MANUT[[#This Row],[EXPURGO Filhas]]="SIM",MAX(TAB_HISTORICO_MANUT[[#This Row],[Hora Final]]-TAB_HISTORICO_MANUT[[#This Row],[Hora Inicio]],0),0)</f>
        <v>0</v>
      </c>
      <c r="W55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5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53" s="117">
        <v>46113.361111111109</v>
      </c>
      <c r="Z553" s="118">
        <v>46113.465277777781</v>
      </c>
      <c r="AA553" s="119" t="s">
        <v>208</v>
      </c>
      <c r="AB553" s="119" t="s">
        <v>826</v>
      </c>
      <c r="AC553" s="115" t="s">
        <v>204</v>
      </c>
      <c r="AD553" s="117" t="s">
        <v>144</v>
      </c>
      <c r="AE553" s="117" t="s">
        <v>765</v>
      </c>
      <c r="AF553" s="88" t="s">
        <v>767</v>
      </c>
      <c r="AG553" s="123">
        <f>IF(TAB_HISTORICO_MANUT[[#This Row],[Hora Inicio]]="","",MONTH(TAB_HISTORICO_MANUT[[#This Row],[Hora Inicio]]))</f>
        <v>4</v>
      </c>
      <c r="AH553" s="120" t="s">
        <v>1068</v>
      </c>
      <c r="AI553" s="115" t="s">
        <v>22</v>
      </c>
      <c r="AJ553" s="115" t="s">
        <v>30</v>
      </c>
      <c r="AK553" s="115" t="s">
        <v>844</v>
      </c>
      <c r="AL553" s="115" t="s">
        <v>426</v>
      </c>
      <c r="AM553" s="121" t="s">
        <v>283</v>
      </c>
      <c r="AN553" s="115"/>
      <c r="AO553" s="115"/>
      <c r="AP553" s="115"/>
    </row>
    <row r="554" spans="1:42" ht="50.1" customHeight="1" x14ac:dyDescent="0.25">
      <c r="A554" s="115">
        <f>MONTH(TAB_HISTORICO_MANUT[[#This Row],[Hora Final]])-MONTH(TAB_HISTORICO_MANUT[[#This Row],[Hora Inicio]])</f>
        <v>0</v>
      </c>
      <c r="B554" s="116"/>
      <c r="C554" s="115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Inicio]]=Z553,TAB_HISTORICO_MANUT[[#This Row],[Equipamento]]=AA553,TAB_HISTORICO_MANUT[[#This Row],[Descricao Despacho]]=AD553),0,1)))</f>
        <v/>
      </c>
      <c r="O55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554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55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554" s="107" t="str">
        <f>IF($Q554="","",(TAB_HISTORICO_MANUT[[#This Row],[Hora Final]]-TAB_HISTORICO_MANUT[[#This Row],[Hora Inicio]])*24)</f>
        <v/>
      </c>
      <c r="S55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554" s="109" t="str">
        <f>IF(AND(TAB_HISTORICO_MANUT[[#This Row],[EXPURGO Mãe]]="SIM",TAB_HISTORICO_MANUT[[#This Row],[Tipo]]="MÃE"),"EXP.MAE",IF(TAB_HISTORICO_MANUT[[#This Row],[EXPURGO Mãe]]="NÃO","NÃO EXP.MAE",T553))</f>
        <v>NÃO EXP.MAE</v>
      </c>
      <c r="U55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554" s="110">
        <f>IF(TAB_HISTORICO_MANUT[[#This Row],[EXPURGO Filhas]]="SIM",MAX(TAB_HISTORICO_MANUT[[#This Row],[Hora Final]]-TAB_HISTORICO_MANUT[[#This Row],[Hora Inicio]],0),0)</f>
        <v>8.3333333335758653E-2</v>
      </c>
      <c r="W55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5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54" s="117">
        <v>46113.381944444445</v>
      </c>
      <c r="Z554" s="118">
        <v>46113.465277777781</v>
      </c>
      <c r="AA554" s="119" t="s">
        <v>208</v>
      </c>
      <c r="AB554" s="119" t="s">
        <v>826</v>
      </c>
      <c r="AC554" s="115" t="s">
        <v>204</v>
      </c>
      <c r="AD554" s="117" t="s">
        <v>144</v>
      </c>
      <c r="AE554" s="117" t="s">
        <v>765</v>
      </c>
      <c r="AF554" s="88" t="s">
        <v>767</v>
      </c>
      <c r="AG554" s="123">
        <v>4</v>
      </c>
      <c r="AH554" s="120" t="s">
        <v>1068</v>
      </c>
      <c r="AI554" s="115" t="s">
        <v>22</v>
      </c>
      <c r="AJ554" s="115" t="s">
        <v>30</v>
      </c>
      <c r="AK554" s="115" t="s">
        <v>844</v>
      </c>
      <c r="AL554" s="115" t="s">
        <v>426</v>
      </c>
      <c r="AM554" s="121" t="s">
        <v>283</v>
      </c>
      <c r="AN554" s="115"/>
      <c r="AO554" s="115"/>
      <c r="AP554" s="115"/>
    </row>
    <row r="555" spans="1:42" ht="50.1" customHeight="1" x14ac:dyDescent="0.25">
      <c r="A555" s="115">
        <f>MONTH(TAB_HISTORICO_MANUT[[#This Row],[Hora Final]])-MONTH(TAB_HISTORICO_MANUT[[#This Row],[Hora Inicio]])</f>
        <v>0</v>
      </c>
      <c r="B555" s="116"/>
      <c r="C555" s="115"/>
      <c r="D555" s="116"/>
      <c r="E555" s="116"/>
      <c r="F555" s="116"/>
      <c r="G555" s="116"/>
      <c r="H555" s="116"/>
      <c r="I555" s="116"/>
      <c r="J555" s="116"/>
      <c r="K555" s="116"/>
      <c r="L555" s="116">
        <v>0</v>
      </c>
      <c r="M555" s="116"/>
      <c r="N55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Inicio]]=Z553,TAB_HISTORICO_MANUT[[#This Row],[Equipamento]]=AA553,TAB_HISTORICO_MANUT[[#This Row],[Descricao Despacho]]=AD553),0,1)))</f>
        <v>0</v>
      </c>
      <c r="O55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55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5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555" s="107">
        <f>IF($Q555="","",(TAB_HISTORICO_MANUT[[#This Row],[Hora Final]]-TAB_HISTORICO_MANUT[[#This Row],[Hora Inicio]])*24)</f>
        <v>0.63805555558064952</v>
      </c>
      <c r="S55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555" s="109" t="str">
        <f>IF(AND(TAB_HISTORICO_MANUT[[#This Row],[EXPURGO Mãe]]="SIM",TAB_HISTORICO_MANUT[[#This Row],[Tipo]]="MÃE"),"EXP.MAE",IF(TAB_HISTORICO_MANUT[[#This Row],[EXPURGO Mãe]]="NÃO","NÃO EXP.MAE",T554))</f>
        <v>EXP.MAE</v>
      </c>
      <c r="U55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55" s="110">
        <f>IF(TAB_HISTORICO_MANUT[[#This Row],[EXPURGO Filhas]]="SIM",MAX(TAB_HISTORICO_MANUT[[#This Row],[Hora Final]]-TAB_HISTORICO_MANUT[[#This Row],[Hora Inicio]],0),0)</f>
        <v>0</v>
      </c>
      <c r="W55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5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55" s="117">
        <v>46116.345347222225</v>
      </c>
      <c r="Z555" s="118">
        <v>46116.371932870374</v>
      </c>
      <c r="AA555" s="119" t="s">
        <v>208</v>
      </c>
      <c r="AB555" s="119"/>
      <c r="AC555" s="115" t="s">
        <v>300</v>
      </c>
      <c r="AD555" s="117" t="s">
        <v>146</v>
      </c>
      <c r="AE555" s="117" t="s">
        <v>178</v>
      </c>
      <c r="AF555" s="88" t="s">
        <v>210</v>
      </c>
      <c r="AG555" s="123">
        <f>IF(TAB_HISTORICO_MANUT[[#This Row],[Hora Inicio]]="","",MONTH(TAB_HISTORICO_MANUT[[#This Row],[Hora Inicio]]))</f>
        <v>4</v>
      </c>
      <c r="AH555" s="120" t="s">
        <v>847</v>
      </c>
      <c r="AI555" s="115" t="s">
        <v>340</v>
      </c>
      <c r="AJ555" s="115" t="s">
        <v>617</v>
      </c>
      <c r="AK555" s="115"/>
      <c r="AL555" s="115"/>
      <c r="AM555" s="121"/>
      <c r="AN555" s="115"/>
      <c r="AO555" s="115"/>
      <c r="AP555" s="115"/>
    </row>
    <row r="556" spans="1:42" ht="50.1" customHeight="1" x14ac:dyDescent="0.25">
      <c r="A556" s="115">
        <f>MONTH(TAB_HISTORICO_MANUT[[#This Row],[Hora Final]])-MONTH(TAB_HISTORICO_MANUT[[#This Row],[Hora Inicio]])</f>
        <v>0</v>
      </c>
      <c r="B556" s="116"/>
      <c r="C556" s="115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Inicio]]=Z555,TAB_HISTORICO_MANUT[[#This Row],[Equipamento]]=AA555,TAB_HISTORICO_MANUT[[#This Row],[Descricao Despacho]]=AD555),0,1)))</f>
        <v>1</v>
      </c>
      <c r="O55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55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5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556" s="107">
        <f>IF($Q556="","",(TAB_HISTORICO_MANUT[[#This Row],[Hora Final]]-TAB_HISTORICO_MANUT[[#This Row],[Hora Inicio]])*24)</f>
        <v>2.0800000000745058</v>
      </c>
      <c r="S55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56" s="109" t="str">
        <f>IF(AND(TAB_HISTORICO_MANUT[[#This Row],[EXPURGO Mãe]]="SIM",TAB_HISTORICO_MANUT[[#This Row],[Tipo]]="MÃE"),"EXP.MAE",IF(TAB_HISTORICO_MANUT[[#This Row],[EXPURGO Mãe]]="NÃO","NÃO EXP.MAE",T555))</f>
        <v>NÃO EXP.MAE</v>
      </c>
      <c r="U55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56" s="110">
        <f>IF(TAB_HISTORICO_MANUT[[#This Row],[EXPURGO Filhas]]="SIM",MAX(TAB_HISTORICO_MANUT[[#This Row],[Hora Final]]-TAB_HISTORICO_MANUT[[#This Row],[Hora Inicio]],0),0)</f>
        <v>0</v>
      </c>
      <c r="W55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5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56" s="117">
        <v>46116.372013888889</v>
      </c>
      <c r="Z556" s="118">
        <v>46116.458680555559</v>
      </c>
      <c r="AA556" s="119" t="s">
        <v>208</v>
      </c>
      <c r="AB556" s="119"/>
      <c r="AC556" s="115" t="s">
        <v>301</v>
      </c>
      <c r="AD556" s="117" t="s">
        <v>146</v>
      </c>
      <c r="AE556" s="117" t="s">
        <v>310</v>
      </c>
      <c r="AF556" s="88" t="s">
        <v>210</v>
      </c>
      <c r="AG556" s="123">
        <f>IF(TAB_HISTORICO_MANUT[[#This Row],[Hora Inicio]]="","",MONTH(TAB_HISTORICO_MANUT[[#This Row],[Hora Inicio]]))</f>
        <v>4</v>
      </c>
      <c r="AH556" s="120" t="s">
        <v>847</v>
      </c>
      <c r="AI556" s="115" t="s">
        <v>340</v>
      </c>
      <c r="AJ556" s="115" t="s">
        <v>617</v>
      </c>
      <c r="AK556" s="115"/>
      <c r="AL556" s="115"/>
      <c r="AM556" s="121"/>
      <c r="AN556" s="115"/>
      <c r="AO556" s="115"/>
      <c r="AP556" s="115"/>
    </row>
    <row r="557" spans="1:42" ht="50.1" customHeight="1" x14ac:dyDescent="0.25">
      <c r="A557" s="115">
        <f>MONTH(TAB_HISTORICO_MANUT[[#This Row],[Hora Final]])-MONTH(TAB_HISTORICO_MANUT[[#This Row],[Hora Inicio]])</f>
        <v>0</v>
      </c>
      <c r="B557" s="116"/>
      <c r="C557" s="115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Inicio]]=Z556,TAB_HISTORICO_MANUT[[#This Row],[Equipamento]]=AA556,TAB_HISTORICO_MANUT[[#This Row],[Descricao Despacho]]=AD556),0,1)))</f>
        <v>0</v>
      </c>
      <c r="O55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55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5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557" s="107">
        <f>IF($Q557="","",(TAB_HISTORICO_MANUT[[#This Row],[Hora Final]]-TAB_HISTORICO_MANUT[[#This Row],[Hora Inicio]])*24)</f>
        <v>0.65833333320915699</v>
      </c>
      <c r="S55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557" s="109" t="str">
        <f>IF(AND(TAB_HISTORICO_MANUT[[#This Row],[EXPURGO Mãe]]="SIM",TAB_HISTORICO_MANUT[[#This Row],[Tipo]]="MÃE"),"EXP.MAE",IF(TAB_HISTORICO_MANUT[[#This Row],[EXPURGO Mãe]]="NÃO","NÃO EXP.MAE",T556))</f>
        <v>EXP.MAE</v>
      </c>
      <c r="U55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57" s="110">
        <f>IF(TAB_HISTORICO_MANUT[[#This Row],[EXPURGO Filhas]]="SIM",MAX(TAB_HISTORICO_MANUT[[#This Row],[Hora Final]]-TAB_HISTORICO_MANUT[[#This Row],[Hora Inicio]],0),0)</f>
        <v>0</v>
      </c>
      <c r="W55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5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57" s="117">
        <v>46116.458680555559</v>
      </c>
      <c r="Z557" s="118">
        <v>46116.486111111109</v>
      </c>
      <c r="AA557" s="119" t="s">
        <v>208</v>
      </c>
      <c r="AB557" s="119"/>
      <c r="AC557" s="115">
        <v>7111</v>
      </c>
      <c r="AD557" s="117" t="s">
        <v>146</v>
      </c>
      <c r="AE557" s="117" t="s">
        <v>175</v>
      </c>
      <c r="AF557" s="88" t="s">
        <v>210</v>
      </c>
      <c r="AG557" s="123">
        <f>IF(TAB_HISTORICO_MANUT[[#This Row],[Hora Inicio]]="","",MONTH(TAB_HISTORICO_MANUT[[#This Row],[Hora Inicio]]))</f>
        <v>4</v>
      </c>
      <c r="AH557" s="120" t="s">
        <v>847</v>
      </c>
      <c r="AI557" s="115" t="s">
        <v>340</v>
      </c>
      <c r="AJ557" s="115" t="s">
        <v>617</v>
      </c>
      <c r="AK557" s="115"/>
      <c r="AL557" s="115"/>
      <c r="AM557" s="121"/>
      <c r="AN557" s="115"/>
      <c r="AO557" s="115"/>
      <c r="AP557" s="115"/>
    </row>
    <row r="558" spans="1:42" ht="50.1" customHeight="1" x14ac:dyDescent="0.25">
      <c r="A558" s="115">
        <f>MONTH(TAB_HISTORICO_MANUT[[#This Row],[Hora Final]])-MONTH(TAB_HISTORICO_MANUT[[#This Row],[Hora Inicio]])</f>
        <v>0</v>
      </c>
      <c r="B558" s="116"/>
      <c r="C558" s="115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Inicio]]=Z557,TAB_HISTORICO_MANUT[[#This Row],[Equipamento]]=AA557,TAB_HISTORICO_MANUT[[#This Row],[Descricao Despacho]]=AD557),0,1)))</f>
        <v>0</v>
      </c>
      <c r="O55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55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5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558" s="107">
        <f>IF($Q558="","",(TAB_HISTORICO_MANUT[[#This Row],[Hora Final]]-TAB_HISTORICO_MANUT[[#This Row],[Hora Inicio]])*24)</f>
        <v>5.6683333333348855</v>
      </c>
      <c r="S55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58" s="109" t="str">
        <f>IF(AND(TAB_HISTORICO_MANUT[[#This Row],[EXPURGO Mãe]]="SIM",TAB_HISTORICO_MANUT[[#This Row],[Tipo]]="MÃE"),"EXP.MAE",IF(TAB_HISTORICO_MANUT[[#This Row],[EXPURGO Mãe]]="NÃO","NÃO EXP.MAE",T557))</f>
        <v>NÃO EXP.MAE</v>
      </c>
      <c r="U55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58" s="110">
        <f>IF(TAB_HISTORICO_MANUT[[#This Row],[EXPURGO Filhas]]="SIM",MAX(TAB_HISTORICO_MANUT[[#This Row],[Hora Final]]-TAB_HISTORICO_MANUT[[#This Row],[Hora Inicio]],0),0)</f>
        <v>0</v>
      </c>
      <c r="W55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5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58" s="117">
        <v>46116.486111111109</v>
      </c>
      <c r="Z558" s="118">
        <v>46116.722291666665</v>
      </c>
      <c r="AA558" s="119" t="s">
        <v>208</v>
      </c>
      <c r="AB558" s="119"/>
      <c r="AC558" s="115" t="s">
        <v>302</v>
      </c>
      <c r="AD558" s="117" t="s">
        <v>146</v>
      </c>
      <c r="AE558" s="117" t="s">
        <v>311</v>
      </c>
      <c r="AF558" s="88" t="s">
        <v>210</v>
      </c>
      <c r="AG558" s="123">
        <f>IF(TAB_HISTORICO_MANUT[[#This Row],[Hora Inicio]]="","",MONTH(TAB_HISTORICO_MANUT[[#This Row],[Hora Inicio]]))</f>
        <v>4</v>
      </c>
      <c r="AH558" s="120" t="s">
        <v>847</v>
      </c>
      <c r="AI558" s="115" t="s">
        <v>340</v>
      </c>
      <c r="AJ558" s="115" t="s">
        <v>617</v>
      </c>
      <c r="AK558" s="115"/>
      <c r="AL558" s="115"/>
      <c r="AM558" s="121"/>
      <c r="AN558" s="115"/>
      <c r="AO558" s="115"/>
      <c r="AP558" s="115"/>
    </row>
    <row r="559" spans="1:42" ht="50.1" customHeight="1" x14ac:dyDescent="0.25">
      <c r="A559" s="43">
        <f>MONTH(TAB_HISTORICO_MANUT[[#This Row],[Hora Final]])-MONTH(TAB_HISTORICO_MANUT[[#This Row],[Hora Inicio]])</f>
        <v>0</v>
      </c>
      <c r="B559" s="42"/>
      <c r="C559" s="43"/>
      <c r="D559" s="42"/>
      <c r="E559" s="42"/>
      <c r="F559" s="42"/>
      <c r="G559" s="42"/>
      <c r="H559" s="42"/>
      <c r="I559" s="116"/>
      <c r="J559" s="116"/>
      <c r="K559" s="116"/>
      <c r="L559" s="116"/>
      <c r="M559" s="116" t="s">
        <v>98</v>
      </c>
      <c r="N559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Inicio]]=Z558,TAB_HISTORICO_MANUT[[#This Row],[Equipamento]]=AA558,TAB_HISTORICO_MANUT[[#This Row],[Descricao Despacho]]=AD558),0,1)))</f>
        <v/>
      </c>
      <c r="O55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559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55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559" s="50" t="str">
        <f>IF($Q559="","",(TAB_HISTORICO_MANUT[[#This Row],[Hora Final]]-TAB_HISTORICO_MANUT[[#This Row],[Hora Inicio]])*24)</f>
        <v/>
      </c>
      <c r="S55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559" s="54" t="str">
        <f>IF(AND(TAB_HISTORICO_MANUT[[#This Row],[EXPURGO Mãe]]="SIM",TAB_HISTORICO_MANUT[[#This Row],[Tipo]]="MÃE"),"EXP.MAE",IF(TAB_HISTORICO_MANUT[[#This Row],[EXPURGO Mãe]]="NÃO","NÃO EXP.MAE",T558))</f>
        <v>NÃO EXP.MAE</v>
      </c>
      <c r="U55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559" s="56">
        <f>IF(TAB_HISTORICO_MANUT[[#This Row],[EXPURGO Filhas]]="SIM",MAX(TAB_HISTORICO_MANUT[[#This Row],[Hora Final]]-TAB_HISTORICO_MANUT[[#This Row],[Hora Inicio]],0),0)</f>
        <v>2.7847222219861578E-2</v>
      </c>
      <c r="W55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5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59" s="46">
        <v>46116.694444444445</v>
      </c>
      <c r="Z559" s="47">
        <v>46116.722291666665</v>
      </c>
      <c r="AA559" s="48" t="s">
        <v>208</v>
      </c>
      <c r="AB559" s="119"/>
      <c r="AC559" s="115" t="s">
        <v>302</v>
      </c>
      <c r="AD559" s="46" t="s">
        <v>146</v>
      </c>
      <c r="AE559" s="46" t="s">
        <v>311</v>
      </c>
      <c r="AF559" s="88" t="s">
        <v>767</v>
      </c>
      <c r="AG559" s="105">
        <v>4</v>
      </c>
      <c r="AH559" s="58" t="s">
        <v>847</v>
      </c>
      <c r="AI559" s="115" t="s">
        <v>340</v>
      </c>
      <c r="AJ559" s="115" t="s">
        <v>617</v>
      </c>
      <c r="AK559" s="115"/>
      <c r="AL559" s="115"/>
      <c r="AM559" s="121"/>
      <c r="AN559" s="43"/>
      <c r="AO559" s="43"/>
      <c r="AP559" s="43"/>
    </row>
    <row r="560" spans="1:42" ht="50.1" customHeight="1" x14ac:dyDescent="0.25">
      <c r="A560" s="43">
        <f>MONTH(TAB_HISTORICO_MANUT[[#This Row],[Hora Final]])-MONTH(TAB_HISTORICO_MANUT[[#This Row],[Hora Inicio]])</f>
        <v>0</v>
      </c>
      <c r="B560" s="42"/>
      <c r="C560" s="43"/>
      <c r="D560" s="42"/>
      <c r="E560" s="42"/>
      <c r="F560" s="42"/>
      <c r="G560" s="42"/>
      <c r="H560" s="42"/>
      <c r="I560" s="116"/>
      <c r="J560" s="116"/>
      <c r="K560" s="116"/>
      <c r="L560" s="116">
        <v>0</v>
      </c>
      <c r="M560" s="116"/>
      <c r="N56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Inicio]]=Z559,TAB_HISTORICO_MANUT[[#This Row],[Equipamento]]=AA559,TAB_HISTORICO_MANUT[[#This Row],[Descricao Despacho]]=AD559),0,1)))</f>
        <v>0</v>
      </c>
      <c r="O56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560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6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560" s="50">
        <f>IF($Q560="","",(TAB_HISTORICO_MANUT[[#This Row],[Hora Final]]-TAB_HISTORICO_MANUT[[#This Row],[Hora Inicio]])*24)</f>
        <v>69.465000000083819</v>
      </c>
      <c r="S56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60" s="54" t="str">
        <f>IF(AND(TAB_HISTORICO_MANUT[[#This Row],[EXPURGO Mãe]]="SIM",TAB_HISTORICO_MANUT[[#This Row],[Tipo]]="MÃE"),"EXP.MAE",IF(TAB_HISTORICO_MANUT[[#This Row],[EXPURGO Mãe]]="NÃO","NÃO EXP.MAE",T559))</f>
        <v>NÃO EXP.MAE</v>
      </c>
      <c r="U56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60" s="56">
        <f>IF(TAB_HISTORICO_MANUT[[#This Row],[EXPURGO Filhas]]="SIM",MAX(TAB_HISTORICO_MANUT[[#This Row],[Hora Final]]-TAB_HISTORICO_MANUT[[#This Row],[Hora Inicio]],0),0)</f>
        <v>0</v>
      </c>
      <c r="W56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6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60" s="46">
        <v>46116.722291666665</v>
      </c>
      <c r="Z560" s="47">
        <v>46119.616666666669</v>
      </c>
      <c r="AA560" s="48" t="s">
        <v>208</v>
      </c>
      <c r="AB560" s="119"/>
      <c r="AC560" s="115" t="s">
        <v>301</v>
      </c>
      <c r="AD560" s="46" t="s">
        <v>146</v>
      </c>
      <c r="AE560" s="46" t="s">
        <v>310</v>
      </c>
      <c r="AF560" s="88" t="s">
        <v>210</v>
      </c>
      <c r="AG560" s="105">
        <f>IF(TAB_HISTORICO_MANUT[[#This Row],[Hora Inicio]]="","",MONTH(TAB_HISTORICO_MANUT[[#This Row],[Hora Inicio]]))</f>
        <v>4</v>
      </c>
      <c r="AH560" s="58" t="s">
        <v>847</v>
      </c>
      <c r="AI560" s="115" t="s">
        <v>340</v>
      </c>
      <c r="AJ560" s="115" t="s">
        <v>617</v>
      </c>
      <c r="AK560" s="115"/>
      <c r="AL560" s="115"/>
      <c r="AM560" s="121"/>
      <c r="AN560" s="43"/>
      <c r="AO560" s="43"/>
      <c r="AP560" s="43"/>
    </row>
    <row r="561" spans="1:42" ht="50.1" customHeight="1" x14ac:dyDescent="0.25">
      <c r="A561" s="43">
        <f>MONTH(TAB_HISTORICO_MANUT[[#This Row],[Hora Final]])-MONTH(TAB_HISTORICO_MANUT[[#This Row],[Hora Inicio]])</f>
        <v>0</v>
      </c>
      <c r="B561" s="42"/>
      <c r="C561" s="43"/>
      <c r="D561" s="42"/>
      <c r="E561" s="42"/>
      <c r="F561" s="42"/>
      <c r="G561" s="42"/>
      <c r="H561" s="42"/>
      <c r="I561" s="116"/>
      <c r="J561" s="116"/>
      <c r="K561" s="116"/>
      <c r="L561" s="116"/>
      <c r="M561" s="116"/>
      <c r="N56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Inicio]]=Z560,TAB_HISTORICO_MANUT[[#This Row],[Equipamento]]=AA560,TAB_HISTORICO_MANUT[[#This Row],[Descricao Despacho]]=AD560),0,1)))</f>
        <v>1</v>
      </c>
      <c r="O56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561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6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561" s="50">
        <f>IF($Q561="","",(TAB_HISTORICO_MANUT[[#This Row],[Hora Final]]-TAB_HISTORICO_MANUT[[#This Row],[Hora Inicio]])*24)</f>
        <v>0.84083333326270804</v>
      </c>
      <c r="S56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561" s="54" t="str">
        <f>IF(AND(TAB_HISTORICO_MANUT[[#This Row],[EXPURGO Mãe]]="SIM",TAB_HISTORICO_MANUT[[#This Row],[Tipo]]="MÃE"),"EXP.MAE",IF(TAB_HISTORICO_MANUT[[#This Row],[EXPURGO Mãe]]="NÃO","NÃO EXP.MAE",T560))</f>
        <v>EXP.MAE</v>
      </c>
      <c r="U56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61" s="56">
        <f>IF(TAB_HISTORICO_MANUT[[#This Row],[EXPURGO Filhas]]="SIM",MAX(TAB_HISTORICO_MANUT[[#This Row],[Hora Final]]-TAB_HISTORICO_MANUT[[#This Row],[Hora Inicio]],0),0)</f>
        <v>0</v>
      </c>
      <c r="W56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6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61" s="46">
        <v>46121.868368055555</v>
      </c>
      <c r="Z561" s="47">
        <v>46121.903402777774</v>
      </c>
      <c r="AA561" s="48" t="s">
        <v>208</v>
      </c>
      <c r="AB561" s="119"/>
      <c r="AC561" s="115" t="s">
        <v>212</v>
      </c>
      <c r="AD561" s="46" t="s">
        <v>144</v>
      </c>
      <c r="AE561" s="46" t="s">
        <v>214</v>
      </c>
      <c r="AF561" s="88" t="s">
        <v>210</v>
      </c>
      <c r="AG561" s="105">
        <f>IF(TAB_HISTORICO_MANUT[[#This Row],[Hora Inicio]]="","",MONTH(TAB_HISTORICO_MANUT[[#This Row],[Hora Inicio]]))</f>
        <v>4</v>
      </c>
      <c r="AH561" s="58" t="s">
        <v>875</v>
      </c>
      <c r="AI561" s="115" t="s">
        <v>82</v>
      </c>
      <c r="AJ561" s="115" t="s">
        <v>82</v>
      </c>
      <c r="AK561" s="115" t="s">
        <v>290</v>
      </c>
      <c r="AL561" s="115" t="s">
        <v>275</v>
      </c>
      <c r="AM561" s="121" t="s">
        <v>276</v>
      </c>
      <c r="AN561" s="43" t="s">
        <v>241</v>
      </c>
      <c r="AO561" s="43" t="s">
        <v>312</v>
      </c>
      <c r="AP561" s="43" t="s">
        <v>313</v>
      </c>
    </row>
    <row r="562" spans="1:42" ht="50.1" customHeight="1" x14ac:dyDescent="0.25">
      <c r="A562" s="43">
        <f>MONTH(TAB_HISTORICO_MANUT[[#This Row],[Hora Final]])-MONTH(TAB_HISTORICO_MANUT[[#This Row],[Hora Inicio]])</f>
        <v>0</v>
      </c>
      <c r="B562" s="42"/>
      <c r="C562" s="43"/>
      <c r="D562" s="42"/>
      <c r="E562" s="42"/>
      <c r="F562" s="42"/>
      <c r="G562" s="42"/>
      <c r="H562" s="42"/>
      <c r="I562" s="116"/>
      <c r="J562" s="116"/>
      <c r="K562" s="116"/>
      <c r="L562" s="116"/>
      <c r="M562" s="116"/>
      <c r="N56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Inicio]]=Z561,TAB_HISTORICO_MANUT[[#This Row],[Equipamento]]=AA561,TAB_HISTORICO_MANUT[[#This Row],[Descricao Despacho]]=AD561),0,1)))</f>
        <v>1</v>
      </c>
      <c r="O56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ALERTA DE PROXIMIDADE</v>
      </c>
      <c r="P562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6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562" s="50">
        <f>IF($Q562="","",(TAB_HISTORICO_MANUT[[#This Row],[Hora Final]]-TAB_HISTORICO_MANUT[[#This Row],[Hora Inicio]])*24)</f>
        <v>3.7719444443355314</v>
      </c>
      <c r="S56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562" s="54" t="str">
        <f>IF(AND(TAB_HISTORICO_MANUT[[#This Row],[EXPURGO Mãe]]="SIM",TAB_HISTORICO_MANUT[[#This Row],[Tipo]]="MÃE"),"EXP.MAE",IF(TAB_HISTORICO_MANUT[[#This Row],[EXPURGO Mãe]]="NÃO","NÃO EXP.MAE",T561))</f>
        <v>EXP.MAE</v>
      </c>
      <c r="U56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62" s="56">
        <f>IF(TAB_HISTORICO_MANUT[[#This Row],[EXPURGO Filhas]]="SIM",MAX(TAB_HISTORICO_MANUT[[#This Row],[Hora Final]]-TAB_HISTORICO_MANUT[[#This Row],[Hora Inicio]],0),0)</f>
        <v>0</v>
      </c>
      <c r="W56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6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62" s="46">
        <v>46123.06453703704</v>
      </c>
      <c r="Z562" s="47">
        <v>46123.221701388888</v>
      </c>
      <c r="AA562" s="48" t="s">
        <v>208</v>
      </c>
      <c r="AB562" s="119" t="s">
        <v>854</v>
      </c>
      <c r="AC562" s="115" t="s">
        <v>212</v>
      </c>
      <c r="AD562" s="46" t="s">
        <v>144</v>
      </c>
      <c r="AE562" s="46" t="s">
        <v>214</v>
      </c>
      <c r="AF562" s="88" t="s">
        <v>210</v>
      </c>
      <c r="AG562" s="105">
        <f>IF(TAB_HISTORICO_MANUT[[#This Row],[Hora Inicio]]="","",MONTH(TAB_HISTORICO_MANUT[[#This Row],[Hora Inicio]]))</f>
        <v>4</v>
      </c>
      <c r="AH562" s="58" t="s">
        <v>859</v>
      </c>
      <c r="AI562" s="115" t="s">
        <v>153</v>
      </c>
      <c r="AJ562" s="115" t="s">
        <v>428</v>
      </c>
      <c r="AK562" s="115" t="s">
        <v>290</v>
      </c>
      <c r="AL562" s="115" t="s">
        <v>275</v>
      </c>
      <c r="AM562" s="121" t="s">
        <v>276</v>
      </c>
      <c r="AN562" s="43" t="s">
        <v>241</v>
      </c>
      <c r="AO562" s="43" t="s">
        <v>412</v>
      </c>
      <c r="AP562" s="43" t="s">
        <v>413</v>
      </c>
    </row>
    <row r="563" spans="1:42" ht="50.1" customHeight="1" x14ac:dyDescent="0.25">
      <c r="A563" s="43">
        <f>MONTH(TAB_HISTORICO_MANUT[[#This Row],[Hora Final]])-MONTH(TAB_HISTORICO_MANUT[[#This Row],[Hora Inicio]])</f>
        <v>0</v>
      </c>
      <c r="B563" s="42"/>
      <c r="C563" s="43"/>
      <c r="D563" s="42"/>
      <c r="E563" s="42"/>
      <c r="F563" s="42"/>
      <c r="G563" s="42"/>
      <c r="H563" s="42"/>
      <c r="I563" s="116"/>
      <c r="J563" s="116"/>
      <c r="K563" s="116"/>
      <c r="L563" s="116"/>
      <c r="M563" s="116"/>
      <c r="N56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Inicio]]=Z562,TAB_HISTORICO_MANUT[[#This Row],[Equipamento]]=AA562,TAB_HISTORICO_MANUT[[#This Row],[Descricao Despacho]]=AD562),0,1)))</f>
        <v>1</v>
      </c>
      <c r="O56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ELEVAÇÃO</v>
      </c>
      <c r="P563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6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563" s="50">
        <f>IF($Q563="","",(TAB_HISTORICO_MANUT[[#This Row],[Hora Final]]-TAB_HISTORICO_MANUT[[#This Row],[Hora Inicio]])*24)</f>
        <v>4.7369444443029352</v>
      </c>
      <c r="S56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63" s="54" t="str">
        <f>IF(AND(TAB_HISTORICO_MANUT[[#This Row],[EXPURGO Mãe]]="SIM",TAB_HISTORICO_MANUT[[#This Row],[Tipo]]="MÃE"),"EXP.MAE",IF(TAB_HISTORICO_MANUT[[#This Row],[EXPURGO Mãe]]="NÃO","NÃO EXP.MAE",T562))</f>
        <v>NÃO EXP.MAE</v>
      </c>
      <c r="U56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63" s="56">
        <f>IF(TAB_HISTORICO_MANUT[[#This Row],[EXPURGO Filhas]]="SIM",MAX(TAB_HISTORICO_MANUT[[#This Row],[Hora Final]]-TAB_HISTORICO_MANUT[[#This Row],[Hora Inicio]],0),0)</f>
        <v>0</v>
      </c>
      <c r="W56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6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63" s="46">
        <v>46123.295613425929</v>
      </c>
      <c r="Z563" s="47">
        <v>46123.492986111109</v>
      </c>
      <c r="AA563" s="48" t="s">
        <v>208</v>
      </c>
      <c r="AB563" s="48"/>
      <c r="AC563" s="43" t="s">
        <v>204</v>
      </c>
      <c r="AD563" s="46" t="s">
        <v>144</v>
      </c>
      <c r="AE563" s="46" t="s">
        <v>172</v>
      </c>
      <c r="AF563" s="88" t="s">
        <v>210</v>
      </c>
      <c r="AG563" s="105">
        <f>IF(TAB_HISTORICO_MANUT[[#This Row],[Hora Inicio]]="","",MONTH(TAB_HISTORICO_MANUT[[#This Row],[Hora Inicio]]))</f>
        <v>4</v>
      </c>
      <c r="AH563" s="58" t="s">
        <v>861</v>
      </c>
      <c r="AI563" s="43" t="s">
        <v>44</v>
      </c>
      <c r="AJ563" s="43" t="s">
        <v>423</v>
      </c>
      <c r="AK563" s="43" t="s">
        <v>422</v>
      </c>
      <c r="AL563" s="43" t="s">
        <v>279</v>
      </c>
      <c r="AM563" s="114" t="s">
        <v>280</v>
      </c>
      <c r="AN563" s="43"/>
      <c r="AO563" s="43"/>
      <c r="AP563" s="43"/>
    </row>
    <row r="564" spans="1:42" ht="50.1" customHeight="1" x14ac:dyDescent="0.25">
      <c r="A564" s="43">
        <f>MONTH(TAB_HISTORICO_MANUT[[#This Row],[Hora Final]])-MONTH(TAB_HISTORICO_MANUT[[#This Row],[Hora Inicio]])</f>
        <v>0</v>
      </c>
      <c r="B564" s="42"/>
      <c r="C564" s="43"/>
      <c r="D564" s="42"/>
      <c r="E564" s="42"/>
      <c r="F564" s="42"/>
      <c r="G564" s="42"/>
      <c r="H564" s="42"/>
      <c r="I564" s="116"/>
      <c r="J564" s="116"/>
      <c r="K564" s="116"/>
      <c r="L564" s="116"/>
      <c r="M564" s="116" t="s">
        <v>99</v>
      </c>
      <c r="N564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Inicio]]=Z563,TAB_HISTORICO_MANUT[[#This Row],[Equipamento]]=AA563,TAB_HISTORICO_MANUT[[#This Row],[Descricao Despacho]]=AD563),0,1)))</f>
        <v/>
      </c>
      <c r="O56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564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56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564" s="50" t="str">
        <f>IF($Q564="","",(TAB_HISTORICO_MANUT[[#This Row],[Hora Final]]-TAB_HISTORICO_MANUT[[#This Row],[Hora Inicio]])*24)</f>
        <v/>
      </c>
      <c r="S56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564" s="54" t="str">
        <f>IF(AND(TAB_HISTORICO_MANUT[[#This Row],[EXPURGO Mãe]]="SIM",TAB_HISTORICO_MANUT[[#This Row],[Tipo]]="MÃE"),"EXP.MAE",IF(TAB_HISTORICO_MANUT[[#This Row],[EXPURGO Mãe]]="NÃO","NÃO EXP.MAE",T563))</f>
        <v>NÃO EXP.MAE</v>
      </c>
      <c r="U56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64" s="56">
        <f>IF(TAB_HISTORICO_MANUT[[#This Row],[EXPURGO Filhas]]="SIM",MAX(TAB_HISTORICO_MANUT[[#This Row],[Hora Final]]-TAB_HISTORICO_MANUT[[#This Row],[Hora Inicio]],0),0)</f>
        <v>0</v>
      </c>
      <c r="W56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6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64" s="46">
        <v>46123.315972222219</v>
      </c>
      <c r="Z564" s="47">
        <v>46123.340277777781</v>
      </c>
      <c r="AA564" s="48" t="s">
        <v>208</v>
      </c>
      <c r="AB564" s="48"/>
      <c r="AC564" s="43" t="s">
        <v>204</v>
      </c>
      <c r="AD564" s="46" t="s">
        <v>144</v>
      </c>
      <c r="AE564" s="46" t="s">
        <v>765</v>
      </c>
      <c r="AF564" s="88" t="s">
        <v>767</v>
      </c>
      <c r="AG564" s="105">
        <f>IF(TAB_HISTORICO_MANUT[[#This Row],[Hora Inicio]]="","",MONTH(TAB_HISTORICO_MANUT[[#This Row],[Hora Inicio]]))</f>
        <v>4</v>
      </c>
      <c r="AH564" s="58" t="s">
        <v>1068</v>
      </c>
      <c r="AI564" s="43" t="s">
        <v>44</v>
      </c>
      <c r="AJ564" s="43" t="s">
        <v>423</v>
      </c>
      <c r="AK564" s="43" t="s">
        <v>422</v>
      </c>
      <c r="AL564" s="43" t="s">
        <v>279</v>
      </c>
      <c r="AM564" s="114" t="s">
        <v>280</v>
      </c>
      <c r="AN564" s="43"/>
      <c r="AO564" s="43"/>
      <c r="AP564" s="43"/>
    </row>
    <row r="565" spans="1:42" ht="50.1" customHeight="1" x14ac:dyDescent="0.25">
      <c r="A565" s="43">
        <f>MONTH(TAB_HISTORICO_MANUT[[#This Row],[Hora Final]])-MONTH(TAB_HISTORICO_MANUT[[#This Row],[Hora Inicio]])</f>
        <v>0</v>
      </c>
      <c r="B565" s="42"/>
      <c r="C565" s="43"/>
      <c r="D565" s="42"/>
      <c r="E565" s="42"/>
      <c r="F565" s="42"/>
      <c r="G565" s="42"/>
      <c r="H565" s="42"/>
      <c r="I565" s="116"/>
      <c r="J565" s="116"/>
      <c r="K565" s="116"/>
      <c r="L565" s="116"/>
      <c r="M565" s="116"/>
      <c r="N565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Inicio]]=Z564,TAB_HISTORICO_MANUT[[#This Row],[Equipamento]]=AA564,TAB_HISTORICO_MANUT[[#This Row],[Descricao Despacho]]=AD564),0,1)))</f>
        <v/>
      </c>
      <c r="O56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565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56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565" s="50" t="str">
        <f>IF($Q565="","",(TAB_HISTORICO_MANUT[[#This Row],[Hora Final]]-TAB_HISTORICO_MANUT[[#This Row],[Hora Inicio]])*24)</f>
        <v/>
      </c>
      <c r="S56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565" s="54" t="str">
        <f>IF(AND(TAB_HISTORICO_MANUT[[#This Row],[EXPURGO Mãe]]="SIM",TAB_HISTORICO_MANUT[[#This Row],[Tipo]]="MÃE"),"EXP.MAE",IF(TAB_HISTORICO_MANUT[[#This Row],[EXPURGO Mãe]]="NÃO","NÃO EXP.MAE",T564))</f>
        <v>NÃO EXP.MAE</v>
      </c>
      <c r="U56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565" s="56">
        <f>IF(TAB_HISTORICO_MANUT[[#This Row],[EXPURGO Filhas]]="SIM",MAX(TAB_HISTORICO_MANUT[[#This Row],[Hora Final]]-TAB_HISTORICO_MANUT[[#This Row],[Hora Inicio]],0),0)</f>
        <v>3.4722222262644209E-3</v>
      </c>
      <c r="W56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6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65" s="46">
        <v>46123.336805555555</v>
      </c>
      <c r="Z565" s="47">
        <v>46123.340277777781</v>
      </c>
      <c r="AA565" s="48" t="s">
        <v>208</v>
      </c>
      <c r="AB565" s="48"/>
      <c r="AC565" s="43" t="s">
        <v>204</v>
      </c>
      <c r="AD565" s="46" t="s">
        <v>144</v>
      </c>
      <c r="AE565" s="46" t="s">
        <v>765</v>
      </c>
      <c r="AF565" s="88" t="s">
        <v>767</v>
      </c>
      <c r="AG565" s="105">
        <v>4</v>
      </c>
      <c r="AH565" s="58" t="s">
        <v>1068</v>
      </c>
      <c r="AI565" s="43" t="s">
        <v>44</v>
      </c>
      <c r="AJ565" s="43" t="s">
        <v>423</v>
      </c>
      <c r="AK565" s="43" t="s">
        <v>422</v>
      </c>
      <c r="AL565" s="43" t="s">
        <v>279</v>
      </c>
      <c r="AM565" s="114" t="s">
        <v>280</v>
      </c>
      <c r="AN565" s="43"/>
      <c r="AO565" s="43"/>
      <c r="AP565" s="43"/>
    </row>
    <row r="566" spans="1:42" ht="50.1" customHeight="1" x14ac:dyDescent="0.25">
      <c r="A566" s="43">
        <f>MONTH(TAB_HISTORICO_MANUT[[#This Row],[Hora Final]])-MONTH(TAB_HISTORICO_MANUT[[#This Row],[Hora Inicio]])</f>
        <v>0</v>
      </c>
      <c r="B566" s="42"/>
      <c r="C566" s="43"/>
      <c r="D566" s="42"/>
      <c r="E566" s="42"/>
      <c r="F566" s="42"/>
      <c r="G566" s="42"/>
      <c r="H566" s="42"/>
      <c r="I566" s="116"/>
      <c r="J566" s="116"/>
      <c r="K566" s="116"/>
      <c r="L566" s="116"/>
      <c r="M566" s="116"/>
      <c r="N56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Inicio]]=Z565,TAB_HISTORICO_MANUT[[#This Row],[Equipamento]]=AA565,TAB_HISTORICO_MANUT[[#This Row],[Descricao Despacho]]=AD565),0,1)))</f>
        <v>1</v>
      </c>
      <c r="O56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56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6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566" s="50">
        <f>IF($Q566="","",(TAB_HISTORICO_MANUT[[#This Row],[Hora Final]]-TAB_HISTORICO_MANUT[[#This Row],[Hora Inicio]])*24)</f>
        <v>3.437777777784504</v>
      </c>
      <c r="S56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66" s="54" t="str">
        <f>IF(AND(TAB_HISTORICO_MANUT[[#This Row],[EXPURGO Mãe]]="SIM",TAB_HISTORICO_MANUT[[#This Row],[Tipo]]="MÃE"),"EXP.MAE",IF(TAB_HISTORICO_MANUT[[#This Row],[EXPURGO Mãe]]="NÃO","NÃO EXP.MAE",T565))</f>
        <v>NÃO EXP.MAE</v>
      </c>
      <c r="U56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66" s="56">
        <f>IF(TAB_HISTORICO_MANUT[[#This Row],[EXPURGO Filhas]]="SIM",MAX(TAB_HISTORICO_MANUT[[#This Row],[Hora Final]]-TAB_HISTORICO_MANUT[[#This Row],[Hora Inicio]],0),0)</f>
        <v>0</v>
      </c>
      <c r="W56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6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66" s="46">
        <v>46123.979212962964</v>
      </c>
      <c r="Z566" s="47">
        <v>46124.122453703705</v>
      </c>
      <c r="AA566" s="48" t="s">
        <v>208</v>
      </c>
      <c r="AB566" s="48" t="s">
        <v>855</v>
      </c>
      <c r="AC566" s="43" t="s">
        <v>204</v>
      </c>
      <c r="AD566" s="46" t="s">
        <v>144</v>
      </c>
      <c r="AE566" s="46" t="s">
        <v>172</v>
      </c>
      <c r="AF566" s="88" t="s">
        <v>210</v>
      </c>
      <c r="AG566" s="105">
        <f>IF(TAB_HISTORICO_MANUT[[#This Row],[Hora Inicio]]="","",MONTH(TAB_HISTORICO_MANUT[[#This Row],[Hora Inicio]]))</f>
        <v>4</v>
      </c>
      <c r="AH566" s="58" t="s">
        <v>863</v>
      </c>
      <c r="AI566" s="43" t="s">
        <v>235</v>
      </c>
      <c r="AJ566" s="43" t="s">
        <v>879</v>
      </c>
      <c r="AK566" s="43" t="s">
        <v>878</v>
      </c>
      <c r="AL566" s="43" t="s">
        <v>297</v>
      </c>
      <c r="AM566" s="114" t="s">
        <v>283</v>
      </c>
      <c r="AN566" s="43" t="s">
        <v>217</v>
      </c>
      <c r="AO566" s="43" t="s">
        <v>405</v>
      </c>
      <c r="AP566" s="43" t="s">
        <v>633</v>
      </c>
    </row>
    <row r="567" spans="1:42" ht="50.1" customHeight="1" x14ac:dyDescent="0.25">
      <c r="A567" s="43">
        <f>MONTH(TAB_HISTORICO_MANUT[[#This Row],[Hora Final]])-MONTH(TAB_HISTORICO_MANUT[[#This Row],[Hora Inicio]])</f>
        <v>0</v>
      </c>
      <c r="B567" s="42"/>
      <c r="C567" s="43"/>
      <c r="D567" s="42"/>
      <c r="E567" s="42"/>
      <c r="F567" s="42"/>
      <c r="G567" s="42"/>
      <c r="H567" s="42"/>
      <c r="I567" s="116"/>
      <c r="J567" s="116"/>
      <c r="K567" s="116"/>
      <c r="L567" s="116"/>
      <c r="M567" s="116"/>
      <c r="N56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Inicio]]=Z566,TAB_HISTORICO_MANUT[[#This Row],[Equipamento]]=AA566,TAB_HISTORICO_MANUT[[#This Row],[Descricao Despacho]]=AD566),0,1)))</f>
        <v>1</v>
      </c>
      <c r="O56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COMBATE INCENDIO</v>
      </c>
      <c r="P567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6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567" s="50">
        <f>IF($Q567="","",(TAB_HISTORICO_MANUT[[#This Row],[Hora Final]]-TAB_HISTORICO_MANUT[[#This Row],[Hora Inicio]])*24)</f>
        <v>0.75722222233889624</v>
      </c>
      <c r="S56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567" s="54" t="str">
        <f>IF(AND(TAB_HISTORICO_MANUT[[#This Row],[EXPURGO Mãe]]="SIM",TAB_HISTORICO_MANUT[[#This Row],[Tipo]]="MÃE"),"EXP.MAE",IF(TAB_HISTORICO_MANUT[[#This Row],[EXPURGO Mãe]]="NÃO","NÃO EXP.MAE",T566))</f>
        <v>EXP.MAE</v>
      </c>
      <c r="U56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67" s="56">
        <f>IF(TAB_HISTORICO_MANUT[[#This Row],[EXPURGO Filhas]]="SIM",MAX(TAB_HISTORICO_MANUT[[#This Row],[Hora Final]]-TAB_HISTORICO_MANUT[[#This Row],[Hora Inicio]],0),0)</f>
        <v>0</v>
      </c>
      <c r="W56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6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67" s="46">
        <v>46124.180208333331</v>
      </c>
      <c r="Z567" s="47">
        <v>46124.211759259262</v>
      </c>
      <c r="AA567" s="48" t="s">
        <v>208</v>
      </c>
      <c r="AB567" s="48" t="s">
        <v>855</v>
      </c>
      <c r="AC567" s="43" t="s">
        <v>212</v>
      </c>
      <c r="AD567" s="46" t="s">
        <v>144</v>
      </c>
      <c r="AE567" s="46" t="s">
        <v>214</v>
      </c>
      <c r="AF567" s="88" t="s">
        <v>210</v>
      </c>
      <c r="AG567" s="105">
        <f>IF(TAB_HISTORICO_MANUT[[#This Row],[Hora Inicio]]="","",MONTH(TAB_HISTORICO_MANUT[[#This Row],[Hora Inicio]]))</f>
        <v>4</v>
      </c>
      <c r="AH567" s="58" t="s">
        <v>864</v>
      </c>
      <c r="AI567" s="43" t="s">
        <v>152</v>
      </c>
      <c r="AJ567" s="43" t="s">
        <v>80</v>
      </c>
      <c r="AK567" s="43" t="s">
        <v>880</v>
      </c>
      <c r="AL567" s="43" t="s">
        <v>354</v>
      </c>
      <c r="AM567" s="114" t="s">
        <v>355</v>
      </c>
      <c r="AN567" s="43" t="s">
        <v>217</v>
      </c>
      <c r="AO567" s="43" t="s">
        <v>842</v>
      </c>
      <c r="AP567" s="43" t="s">
        <v>868</v>
      </c>
    </row>
    <row r="568" spans="1:42" ht="50.1" customHeight="1" x14ac:dyDescent="0.25">
      <c r="A568" s="43">
        <f>MONTH(TAB_HISTORICO_MANUT[[#This Row],[Hora Final]])-MONTH(TAB_HISTORICO_MANUT[[#This Row],[Hora Inicio]])</f>
        <v>0</v>
      </c>
      <c r="B568" s="42"/>
      <c r="C568" s="43"/>
      <c r="D568" s="42"/>
      <c r="E568" s="42"/>
      <c r="F568" s="42"/>
      <c r="G568" s="42"/>
      <c r="H568" s="42"/>
      <c r="I568" s="116"/>
      <c r="J568" s="116"/>
      <c r="K568" s="116"/>
      <c r="L568" s="116"/>
      <c r="M568" s="116"/>
      <c r="N56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Inicio]]=Z567,TAB_HISTORICO_MANUT[[#This Row],[Equipamento]]=AA567,TAB_HISTORICO_MANUT[[#This Row],[Descricao Despacho]]=AD567),0,1)))</f>
        <v>1</v>
      </c>
      <c r="O56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568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56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568" s="50">
        <f>IF($Q568="","",(TAB_HISTORICO_MANUT[[#This Row],[Hora Final]]-TAB_HISTORICO_MANUT[[#This Row],[Hora Inicio]])*24)</f>
        <v>1.3302777777425945</v>
      </c>
      <c r="S56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568" s="54" t="str">
        <f>IF(AND(TAB_HISTORICO_MANUT[[#This Row],[EXPURGO Mãe]]="SIM",TAB_HISTORICO_MANUT[[#This Row],[Tipo]]="MÃE"),"EXP.MAE",IF(TAB_HISTORICO_MANUT[[#This Row],[EXPURGO Mãe]]="NÃO","NÃO EXP.MAE",T567))</f>
        <v>EXP.MAE</v>
      </c>
      <c r="U56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68" s="56">
        <f>IF(TAB_HISTORICO_MANUT[[#This Row],[EXPURGO Filhas]]="SIM",MAX(TAB_HISTORICO_MANUT[[#This Row],[Hora Final]]-TAB_HISTORICO_MANUT[[#This Row],[Hora Inicio]],0),0)</f>
        <v>0</v>
      </c>
      <c r="W56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6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68" s="46">
        <v>46124.54755787037</v>
      </c>
      <c r="Z568" s="47">
        <v>46124.602986111109</v>
      </c>
      <c r="AA568" s="48" t="s">
        <v>208</v>
      </c>
      <c r="AB568" s="48"/>
      <c r="AC568" s="43" t="s">
        <v>364</v>
      </c>
      <c r="AD568" s="46" t="s">
        <v>145</v>
      </c>
      <c r="AE568" s="46" t="s">
        <v>360</v>
      </c>
      <c r="AF568" s="88" t="s">
        <v>210</v>
      </c>
      <c r="AG568" s="105">
        <f>IF(TAB_HISTORICO_MANUT[[#This Row],[Hora Inicio]]="","",MONTH(TAB_HISTORICO_MANUT[[#This Row],[Hora Inicio]]))</f>
        <v>4</v>
      </c>
      <c r="AH568" s="58" t="s">
        <v>522</v>
      </c>
      <c r="AI568" s="43" t="s">
        <v>82</v>
      </c>
      <c r="AJ568" s="43" t="s">
        <v>82</v>
      </c>
      <c r="AK568" s="43" t="s">
        <v>82</v>
      </c>
      <c r="AL568" s="43" t="s">
        <v>82</v>
      </c>
      <c r="AM568" s="114" t="s">
        <v>82</v>
      </c>
      <c r="AN568" s="43"/>
      <c r="AO568" s="43"/>
      <c r="AP568" s="43"/>
    </row>
    <row r="569" spans="1:42" ht="50.1" customHeight="1" x14ac:dyDescent="0.25">
      <c r="A569" s="43">
        <f>MONTH(TAB_HISTORICO_MANUT[[#This Row],[Hora Final]])-MONTH(TAB_HISTORICO_MANUT[[#This Row],[Hora Inicio]])</f>
        <v>0</v>
      </c>
      <c r="B569" s="42"/>
      <c r="C569" s="43"/>
      <c r="D569" s="42"/>
      <c r="E569" s="42"/>
      <c r="F569" s="42"/>
      <c r="G569" s="42"/>
      <c r="H569" s="42"/>
      <c r="I569" s="116"/>
      <c r="J569" s="116"/>
      <c r="K569" s="116"/>
      <c r="L569" s="116"/>
      <c r="M569" s="116"/>
      <c r="N56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Inicio]]=Z568,TAB_HISTORICO_MANUT[[#This Row],[Equipamento]]=AA568,TAB_HISTORICO_MANUT[[#This Row],[Descricao Despacho]]=AD568),0,1)))</f>
        <v>1</v>
      </c>
      <c r="O56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569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6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569" s="50">
        <f>IF($Q569="","",(TAB_HISTORICO_MANUT[[#This Row],[Hora Final]]-TAB_HISTORICO_MANUT[[#This Row],[Hora Inicio]])*24)</f>
        <v>1.0458333333372138</v>
      </c>
      <c r="S56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69" s="54" t="str">
        <f>IF(AND(TAB_HISTORICO_MANUT[[#This Row],[EXPURGO Mãe]]="SIM",TAB_HISTORICO_MANUT[[#This Row],[Tipo]]="MÃE"),"EXP.MAE",IF(TAB_HISTORICO_MANUT[[#This Row],[EXPURGO Mãe]]="NÃO","NÃO EXP.MAE",T568))</f>
        <v>NÃO EXP.MAE</v>
      </c>
      <c r="U56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69" s="56">
        <f>IF(TAB_HISTORICO_MANUT[[#This Row],[EXPURGO Filhas]]="SIM",MAX(TAB_HISTORICO_MANUT[[#This Row],[Hora Final]]-TAB_HISTORICO_MANUT[[#This Row],[Hora Inicio]],0),0)</f>
        <v>0</v>
      </c>
      <c r="W56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6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69" s="46">
        <v>46124.62263888889</v>
      </c>
      <c r="Z569" s="47">
        <v>46124.666215277779</v>
      </c>
      <c r="AA569" s="48" t="s">
        <v>208</v>
      </c>
      <c r="AB569" s="48"/>
      <c r="AC569" s="43" t="s">
        <v>204</v>
      </c>
      <c r="AD569" s="46" t="s">
        <v>144</v>
      </c>
      <c r="AE569" s="46" t="s">
        <v>172</v>
      </c>
      <c r="AF569" s="88" t="s">
        <v>210</v>
      </c>
      <c r="AG569" s="105">
        <f>IF(TAB_HISTORICO_MANUT[[#This Row],[Hora Inicio]]="","",MONTH(TAB_HISTORICO_MANUT[[#This Row],[Hora Inicio]]))</f>
        <v>4</v>
      </c>
      <c r="AH569" s="58" t="s">
        <v>865</v>
      </c>
      <c r="AI569" s="43" t="s">
        <v>28</v>
      </c>
      <c r="AJ569" s="43" t="s">
        <v>338</v>
      </c>
      <c r="AK569" s="43" t="s">
        <v>339</v>
      </c>
      <c r="AL569" s="43" t="s">
        <v>275</v>
      </c>
      <c r="AM569" s="114" t="s">
        <v>238</v>
      </c>
      <c r="AN569" s="43"/>
      <c r="AO569" s="43"/>
      <c r="AP569" s="43"/>
    </row>
    <row r="570" spans="1:42" ht="50.1" customHeight="1" x14ac:dyDescent="0.25">
      <c r="A570" s="43">
        <f>MONTH(TAB_HISTORICO_MANUT[[#This Row],[Hora Final]])-MONTH(TAB_HISTORICO_MANUT[[#This Row],[Hora Inicio]])</f>
        <v>0</v>
      </c>
      <c r="B570" s="42"/>
      <c r="C570" s="43"/>
      <c r="D570" s="42"/>
      <c r="E570" s="42"/>
      <c r="F570" s="42"/>
      <c r="G570" s="42"/>
      <c r="H570" s="42"/>
      <c r="I570" s="116"/>
      <c r="J570" s="116"/>
      <c r="K570" s="116"/>
      <c r="L570" s="116"/>
      <c r="M570" s="116"/>
      <c r="N57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Inicio]]=Z569,TAB_HISTORICO_MANUT[[#This Row],[Equipamento]]=AA569,TAB_HISTORICO_MANUT[[#This Row],[Descricao Despacho]]=AD569),0,1)))</f>
        <v>1</v>
      </c>
      <c r="O57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570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57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570" s="50">
        <f>IF($Q570="","",(TAB_HISTORICO_MANUT[[#This Row],[Hora Final]]-TAB_HISTORICO_MANUT[[#This Row],[Hora Inicio]])*24)</f>
        <v>1.4758333332720213</v>
      </c>
      <c r="S57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570" s="54" t="str">
        <f>IF(AND(TAB_HISTORICO_MANUT[[#This Row],[EXPURGO Mãe]]="SIM",TAB_HISTORICO_MANUT[[#This Row],[Tipo]]="MÃE"),"EXP.MAE",IF(TAB_HISTORICO_MANUT[[#This Row],[EXPURGO Mãe]]="NÃO","NÃO EXP.MAE",T569))</f>
        <v>EXP.MAE</v>
      </c>
      <c r="U57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70" s="56">
        <f>IF(TAB_HISTORICO_MANUT[[#This Row],[EXPURGO Filhas]]="SIM",MAX(TAB_HISTORICO_MANUT[[#This Row],[Hora Final]]-TAB_HISTORICO_MANUT[[#This Row],[Hora Inicio]],0),0)</f>
        <v>0</v>
      </c>
      <c r="W57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7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70" s="46">
        <v>46126.597546296296</v>
      </c>
      <c r="Z570" s="47">
        <v>46126.659039351849</v>
      </c>
      <c r="AA570" s="48" t="s">
        <v>208</v>
      </c>
      <c r="AB570" s="48"/>
      <c r="AC570" s="43" t="s">
        <v>364</v>
      </c>
      <c r="AD570" s="46" t="s">
        <v>145</v>
      </c>
      <c r="AE570" s="46" t="s">
        <v>360</v>
      </c>
      <c r="AF570" s="88" t="s">
        <v>210</v>
      </c>
      <c r="AG570" s="105">
        <f>IF(TAB_HISTORICO_MANUT[[#This Row],[Hora Inicio]]="","",MONTH(TAB_HISTORICO_MANUT[[#This Row],[Hora Inicio]]))</f>
        <v>4</v>
      </c>
      <c r="AH570" s="58" t="s">
        <v>522</v>
      </c>
      <c r="AI570" s="43" t="s">
        <v>82</v>
      </c>
      <c r="AJ570" s="43" t="s">
        <v>82</v>
      </c>
      <c r="AK570" s="43" t="s">
        <v>82</v>
      </c>
      <c r="AL570" s="43" t="s">
        <v>82</v>
      </c>
      <c r="AM570" s="114" t="s">
        <v>82</v>
      </c>
      <c r="AN570" s="43"/>
      <c r="AO570" s="43"/>
      <c r="AP570" s="43"/>
    </row>
    <row r="571" spans="1:42" ht="50.1" customHeight="1" x14ac:dyDescent="0.25">
      <c r="A571" s="43">
        <f>MONTH(TAB_HISTORICO_MANUT[[#This Row],[Hora Final]])-MONTH(TAB_HISTORICO_MANUT[[#This Row],[Hora Inicio]])</f>
        <v>0</v>
      </c>
      <c r="B571" s="42"/>
      <c r="C571" s="43"/>
      <c r="D571" s="42"/>
      <c r="E571" s="42"/>
      <c r="F571" s="42"/>
      <c r="G571" s="42"/>
      <c r="H571" s="42"/>
      <c r="I571" s="116"/>
      <c r="J571" s="116"/>
      <c r="K571" s="116"/>
      <c r="L571" s="116"/>
      <c r="M571" s="116"/>
      <c r="N57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Inicio]]=Z570,TAB_HISTORICO_MANUT[[#This Row],[Equipamento]]=AA570,TAB_HISTORICO_MANUT[[#This Row],[Descricao Despacho]]=AD570),0,1)))</f>
        <v>1</v>
      </c>
      <c r="O57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571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7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571" s="50">
        <f>IF($Q571="","",(TAB_HISTORICO_MANUT[[#This Row],[Hora Final]]-TAB_HISTORICO_MANUT[[#This Row],[Hora Inicio]])*24)</f>
        <v>1.311666666646488</v>
      </c>
      <c r="S57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71" s="54" t="str">
        <f>IF(AND(TAB_HISTORICO_MANUT[[#This Row],[EXPURGO Mãe]]="SIM",TAB_HISTORICO_MANUT[[#This Row],[Tipo]]="MÃE"),"EXP.MAE",IF(TAB_HISTORICO_MANUT[[#This Row],[EXPURGO Mãe]]="NÃO","NÃO EXP.MAE",T570))</f>
        <v>NÃO EXP.MAE</v>
      </c>
      <c r="U57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71" s="56">
        <f>IF(TAB_HISTORICO_MANUT[[#This Row],[EXPURGO Filhas]]="SIM",MAX(TAB_HISTORICO_MANUT[[#This Row],[Hora Final]]-TAB_HISTORICO_MANUT[[#This Row],[Hora Inicio]],0),0)</f>
        <v>0</v>
      </c>
      <c r="W57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7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71" s="46">
        <v>46127.445219907408</v>
      </c>
      <c r="Z571" s="47">
        <v>46127.499872685185</v>
      </c>
      <c r="AA571" s="48" t="s">
        <v>208</v>
      </c>
      <c r="AB571" s="48"/>
      <c r="AC571" s="43" t="s">
        <v>882</v>
      </c>
      <c r="AD571" s="46" t="s">
        <v>146</v>
      </c>
      <c r="AE571" s="46" t="s">
        <v>883</v>
      </c>
      <c r="AF571" s="88" t="s">
        <v>210</v>
      </c>
      <c r="AG571" s="105">
        <f>IF(TAB_HISTORICO_MANUT[[#This Row],[Hora Inicio]]="","",MONTH(TAB_HISTORICO_MANUT[[#This Row],[Hora Inicio]]))</f>
        <v>4</v>
      </c>
      <c r="AH571" s="58" t="s">
        <v>444</v>
      </c>
      <c r="AI571" s="43" t="s">
        <v>25</v>
      </c>
      <c r="AJ571" s="43" t="s">
        <v>25</v>
      </c>
      <c r="AK571" s="43" t="s">
        <v>25</v>
      </c>
      <c r="AL571" s="43" t="s">
        <v>25</v>
      </c>
      <c r="AM571" s="114" t="s">
        <v>25</v>
      </c>
      <c r="AN571" s="43"/>
      <c r="AO571" s="43"/>
      <c r="AP571" s="43"/>
    </row>
    <row r="572" spans="1:42" ht="50.1" customHeight="1" x14ac:dyDescent="0.25">
      <c r="A572" s="115">
        <f>MONTH(TAB_HISTORICO_MANUT[[#This Row],[Hora Final]])-MONTH(TAB_HISTORICO_MANUT[[#This Row],[Hora Inicio]])</f>
        <v>0</v>
      </c>
      <c r="B572" s="116"/>
      <c r="C572" s="115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Inicio]]=Z571,TAB_HISTORICO_MANUT[[#This Row],[Equipamento]]=AA571,TAB_HISTORICO_MANUT[[#This Row],[Descricao Despacho]]=AD571),0,1)))</f>
        <v>1</v>
      </c>
      <c r="O57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57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7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572" s="107">
        <f>IF($Q572="","",(TAB_HISTORICO_MANUT[[#This Row],[Hora Final]]-TAB_HISTORICO_MANUT[[#This Row],[Hora Inicio]])*24)</f>
        <v>0.88222222222248092</v>
      </c>
      <c r="S57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72" s="109" t="str">
        <f>IF(AND(TAB_HISTORICO_MANUT[[#This Row],[EXPURGO Mãe]]="SIM",TAB_HISTORICO_MANUT[[#This Row],[Tipo]]="MÃE"),"EXP.MAE",IF(TAB_HISTORICO_MANUT[[#This Row],[EXPURGO Mãe]]="NÃO","NÃO EXP.MAE",T571))</f>
        <v>NÃO EXP.MAE</v>
      </c>
      <c r="U57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72" s="110">
        <f>IF(TAB_HISTORICO_MANUT[[#This Row],[EXPURGO Filhas]]="SIM",MAX(TAB_HISTORICO_MANUT[[#This Row],[Hora Final]]-TAB_HISTORICO_MANUT[[#This Row],[Hora Inicio]],0),0)</f>
        <v>0</v>
      </c>
      <c r="W57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7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72" s="117">
        <v>46128.789780092593</v>
      </c>
      <c r="Z572" s="118">
        <v>46128.826539351852</v>
      </c>
      <c r="AA572" s="119" t="s">
        <v>208</v>
      </c>
      <c r="AB572" s="119" t="s">
        <v>886</v>
      </c>
      <c r="AC572" s="115" t="s">
        <v>204</v>
      </c>
      <c r="AD572" s="117" t="s">
        <v>144</v>
      </c>
      <c r="AE572" s="117" t="s">
        <v>172</v>
      </c>
      <c r="AF572" s="88" t="s">
        <v>210</v>
      </c>
      <c r="AG572" s="123">
        <f>IF(TAB_HISTORICO_MANUT[[#This Row],[Hora Inicio]]="","",MONTH(TAB_HISTORICO_MANUT[[#This Row],[Hora Inicio]]))</f>
        <v>4</v>
      </c>
      <c r="AH572" s="120" t="s">
        <v>885</v>
      </c>
      <c r="AI572" s="115" t="s">
        <v>24</v>
      </c>
      <c r="AJ572" s="115" t="s">
        <v>423</v>
      </c>
      <c r="AK572" s="115" t="s">
        <v>422</v>
      </c>
      <c r="AL572" s="115" t="s">
        <v>279</v>
      </c>
      <c r="AM572" s="121" t="s">
        <v>280</v>
      </c>
      <c r="AN572" s="115" t="s">
        <v>217</v>
      </c>
      <c r="AO572" s="115" t="s">
        <v>582</v>
      </c>
      <c r="AP572" s="115" t="s">
        <v>575</v>
      </c>
    </row>
    <row r="573" spans="1:42" ht="50.1" customHeight="1" x14ac:dyDescent="0.25">
      <c r="A573" s="43">
        <f>MONTH(TAB_HISTORICO_MANUT[[#This Row],[Hora Final]])-MONTH(TAB_HISTORICO_MANUT[[#This Row],[Hora Inicio]])</f>
        <v>0</v>
      </c>
      <c r="B573" s="42"/>
      <c r="C573" s="43"/>
      <c r="D573" s="42"/>
      <c r="E573" s="42"/>
      <c r="F573" s="42"/>
      <c r="G573" s="42"/>
      <c r="H573" s="42"/>
      <c r="I573" s="116"/>
      <c r="J573" s="116"/>
      <c r="K573" s="116"/>
      <c r="L573" s="116"/>
      <c r="M573" s="116"/>
      <c r="N57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Inicio]]=Z572,TAB_HISTORICO_MANUT[[#This Row],[Equipamento]]=AA572,TAB_HISTORICO_MANUT[[#This Row],[Descricao Despacho]]=AD572),0,1)))</f>
        <v>1</v>
      </c>
      <c r="O57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573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7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573" s="50">
        <f>IF($Q573="","",(TAB_HISTORICO_MANUT[[#This Row],[Hora Final]]-TAB_HISTORICO_MANUT[[#This Row],[Hora Inicio]])*24)</f>
        <v>7.0852777779218741</v>
      </c>
      <c r="S57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73" s="54" t="str">
        <f>IF(AND(TAB_HISTORICO_MANUT[[#This Row],[EXPURGO Mãe]]="SIM",TAB_HISTORICO_MANUT[[#This Row],[Tipo]]="MÃE"),"EXP.MAE",IF(TAB_HISTORICO_MANUT[[#This Row],[EXPURGO Mãe]]="NÃO","NÃO EXP.MAE",T572))</f>
        <v>NÃO EXP.MAE</v>
      </c>
      <c r="U57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73" s="56">
        <f>IF(TAB_HISTORICO_MANUT[[#This Row],[EXPURGO Filhas]]="SIM",MAX(TAB_HISTORICO_MANUT[[#This Row],[Hora Final]]-TAB_HISTORICO_MANUT[[#This Row],[Hora Inicio]],0),0)</f>
        <v>0</v>
      </c>
      <c r="W57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7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73" s="46">
        <v>46130.656145833331</v>
      </c>
      <c r="Z573" s="47">
        <v>46130.951365740744</v>
      </c>
      <c r="AA573" s="48" t="s">
        <v>208</v>
      </c>
      <c r="AB573" s="119"/>
      <c r="AC573" s="115" t="s">
        <v>301</v>
      </c>
      <c r="AD573" s="46" t="s">
        <v>146</v>
      </c>
      <c r="AE573" s="46" t="s">
        <v>310</v>
      </c>
      <c r="AF573" s="88" t="s">
        <v>210</v>
      </c>
      <c r="AG573" s="105">
        <f>IF(TAB_HISTORICO_MANUT[[#This Row],[Hora Inicio]]="","",MONTH(TAB_HISTORICO_MANUT[[#This Row],[Hora Inicio]]))</f>
        <v>4</v>
      </c>
      <c r="AH573" s="58" t="s">
        <v>731</v>
      </c>
      <c r="AI573" s="115" t="s">
        <v>340</v>
      </c>
      <c r="AJ573" s="115" t="s">
        <v>436</v>
      </c>
      <c r="AK573" s="115"/>
      <c r="AL573" s="115"/>
      <c r="AM573" s="121"/>
      <c r="AN573" s="43"/>
      <c r="AO573" s="43"/>
      <c r="AP573" s="43"/>
    </row>
    <row r="574" spans="1:42" ht="50.1" customHeight="1" x14ac:dyDescent="0.25">
      <c r="A574" s="43">
        <f>MONTH(TAB_HISTORICO_MANUT[[#This Row],[Hora Final]])-MONTH(TAB_HISTORICO_MANUT[[#This Row],[Hora Inicio]])</f>
        <v>0</v>
      </c>
      <c r="B574" s="42"/>
      <c r="C574" s="43"/>
      <c r="D574" s="42"/>
      <c r="E574" s="42"/>
      <c r="F574" s="42"/>
      <c r="G574" s="42"/>
      <c r="H574" s="42"/>
      <c r="I574" s="116"/>
      <c r="J574" s="116"/>
      <c r="K574" s="116"/>
      <c r="L574" s="116"/>
      <c r="M574" s="116"/>
      <c r="N57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Inicio]]=Z573,TAB_HISTORICO_MANUT[[#This Row],[Equipamento]]=AA573,TAB_HISTORICO_MANUT[[#This Row],[Descricao Despacho]]=AD573),0,1)))</f>
        <v>1</v>
      </c>
      <c r="O57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574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7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574" s="50">
        <f>IF($Q574="","",(TAB_HISTORICO_MANUT[[#This Row],[Hora Final]]-TAB_HISTORICO_MANUT[[#This Row],[Hora Inicio]])*24)</f>
        <v>1.7652777777984738</v>
      </c>
      <c r="S57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74" s="54" t="str">
        <f>IF(AND(TAB_HISTORICO_MANUT[[#This Row],[EXPURGO Mãe]]="SIM",TAB_HISTORICO_MANUT[[#This Row],[Tipo]]="MÃE"),"EXP.MAE",IF(TAB_HISTORICO_MANUT[[#This Row],[EXPURGO Mãe]]="NÃO","NÃO EXP.MAE",T573))</f>
        <v>NÃO EXP.MAE</v>
      </c>
      <c r="U57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74" s="56">
        <f>IF(TAB_HISTORICO_MANUT[[#This Row],[EXPURGO Filhas]]="SIM",MAX(TAB_HISTORICO_MANUT[[#This Row],[Hora Final]]-TAB_HISTORICO_MANUT[[#This Row],[Hora Inicio]],0),0)</f>
        <v>0</v>
      </c>
      <c r="W57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7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74" s="46">
        <v>46131.768368055556</v>
      </c>
      <c r="Z574" s="47">
        <v>46131.841921296298</v>
      </c>
      <c r="AA574" s="48" t="s">
        <v>208</v>
      </c>
      <c r="AB574" s="48" t="s">
        <v>894</v>
      </c>
      <c r="AC574" s="43" t="s">
        <v>204</v>
      </c>
      <c r="AD574" s="46" t="s">
        <v>144</v>
      </c>
      <c r="AE574" s="46" t="s">
        <v>172</v>
      </c>
      <c r="AF574" s="88" t="s">
        <v>210</v>
      </c>
      <c r="AG574" s="105">
        <f>IF(TAB_HISTORICO_MANUT[[#This Row],[Hora Inicio]]="","",MONTH(TAB_HISTORICO_MANUT[[#This Row],[Hora Inicio]]))</f>
        <v>4</v>
      </c>
      <c r="AH574" s="58" t="s">
        <v>901</v>
      </c>
      <c r="AI574" s="43" t="s">
        <v>28</v>
      </c>
      <c r="AJ574" s="43" t="s">
        <v>614</v>
      </c>
      <c r="AK574" s="43" t="s">
        <v>644</v>
      </c>
      <c r="AL574" s="43" t="s">
        <v>297</v>
      </c>
      <c r="AM574" s="114" t="s">
        <v>276</v>
      </c>
      <c r="AN574" s="43" t="s">
        <v>217</v>
      </c>
      <c r="AO574" s="43" t="s">
        <v>349</v>
      </c>
      <c r="AP574" s="43" t="s">
        <v>319</v>
      </c>
    </row>
    <row r="575" spans="1:42" ht="50.1" customHeight="1" x14ac:dyDescent="0.25">
      <c r="A575" s="43">
        <f>MONTH(TAB_HISTORICO_MANUT[[#This Row],[Hora Final]])-MONTH(TAB_HISTORICO_MANUT[[#This Row],[Hora Inicio]])</f>
        <v>0</v>
      </c>
      <c r="B575" s="42"/>
      <c r="C575" s="43"/>
      <c r="D575" s="42"/>
      <c r="E575" s="42"/>
      <c r="F575" s="42"/>
      <c r="G575" s="42"/>
      <c r="H575" s="42"/>
      <c r="I575" s="116"/>
      <c r="J575" s="116"/>
      <c r="K575" s="116"/>
      <c r="L575" s="116"/>
      <c r="M575" s="116"/>
      <c r="N57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Inicio]]=Z574,TAB_HISTORICO_MANUT[[#This Row],[Equipamento]]=AA574,TAB_HISTORICO_MANUT[[#This Row],[Descricao Despacho]]=AD574),0,1)))</f>
        <v>1</v>
      </c>
      <c r="O57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575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7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575" s="50">
        <f>IF($Q575="","",(TAB_HISTORICO_MANUT[[#This Row],[Hora Final]]-TAB_HISTORICO_MANUT[[#This Row],[Hora Inicio]])*24)</f>
        <v>0.89111111109377816</v>
      </c>
      <c r="S57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75" s="54" t="str">
        <f>IF(AND(TAB_HISTORICO_MANUT[[#This Row],[EXPURGO Mãe]]="SIM",TAB_HISTORICO_MANUT[[#This Row],[Tipo]]="MÃE"),"EXP.MAE",IF(TAB_HISTORICO_MANUT[[#This Row],[EXPURGO Mãe]]="NÃO","NÃO EXP.MAE",T574))</f>
        <v>NÃO EXP.MAE</v>
      </c>
      <c r="U57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75" s="56">
        <f>IF(TAB_HISTORICO_MANUT[[#This Row],[EXPURGO Filhas]]="SIM",MAX(TAB_HISTORICO_MANUT[[#This Row],[Hora Final]]-TAB_HISTORICO_MANUT[[#This Row],[Hora Inicio]],0),0)</f>
        <v>0</v>
      </c>
      <c r="W57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7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75" s="46">
        <v>46133.873194444444</v>
      </c>
      <c r="Z575" s="47">
        <v>46133.910324074073</v>
      </c>
      <c r="AA575" s="48" t="s">
        <v>208</v>
      </c>
      <c r="AB575" s="48" t="s">
        <v>896</v>
      </c>
      <c r="AC575" s="43" t="s">
        <v>204</v>
      </c>
      <c r="AD575" s="46" t="s">
        <v>144</v>
      </c>
      <c r="AE575" s="46" t="s">
        <v>172</v>
      </c>
      <c r="AF575" s="88" t="s">
        <v>210</v>
      </c>
      <c r="AG575" s="105">
        <f>IF(TAB_HISTORICO_MANUT[[#This Row],[Hora Inicio]]="","",MONTH(TAB_HISTORICO_MANUT[[#This Row],[Hora Inicio]]))</f>
        <v>4</v>
      </c>
      <c r="AH575" s="58" t="s">
        <v>903</v>
      </c>
      <c r="AI575" s="43" t="s">
        <v>24</v>
      </c>
      <c r="AJ575" s="43" t="s">
        <v>423</v>
      </c>
      <c r="AK575" s="43" t="s">
        <v>422</v>
      </c>
      <c r="AL575" s="43" t="s">
        <v>279</v>
      </c>
      <c r="AM575" s="114" t="s">
        <v>280</v>
      </c>
      <c r="AN575" s="43" t="s">
        <v>217</v>
      </c>
      <c r="AO575" s="43" t="s">
        <v>405</v>
      </c>
      <c r="AP575" s="43" t="s">
        <v>906</v>
      </c>
    </row>
    <row r="576" spans="1:42" ht="50.1" customHeight="1" x14ac:dyDescent="0.25">
      <c r="A576" s="115">
        <f>MONTH(TAB_HISTORICO_MANUT[[#This Row],[Hora Final]])-MONTH(TAB_HISTORICO_MANUT[[#This Row],[Hora Inicio]])</f>
        <v>0</v>
      </c>
      <c r="B576" s="116"/>
      <c r="C576" s="115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Inicio]]=Z575,TAB_HISTORICO_MANUT[[#This Row],[Equipamento]]=AA575,TAB_HISTORICO_MANUT[[#This Row],[Descricao Despacho]]=AD575),0,1)))</f>
        <v>1</v>
      </c>
      <c r="O57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576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7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576" s="50">
        <f>IF($Q576="","",(TAB_HISTORICO_MANUT[[#This Row],[Hora Final]]-TAB_HISTORICO_MANUT[[#This Row],[Hora Inicio]])*24)</f>
        <v>1.2938888889038935</v>
      </c>
      <c r="S57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76" s="54" t="str">
        <f>IF(AND(TAB_HISTORICO_MANUT[[#This Row],[EXPURGO Mãe]]="SIM",TAB_HISTORICO_MANUT[[#This Row],[Tipo]]="MÃE"),"EXP.MAE",IF(TAB_HISTORICO_MANUT[[#This Row],[EXPURGO Mãe]]="NÃO","NÃO EXP.MAE",T575))</f>
        <v>NÃO EXP.MAE</v>
      </c>
      <c r="U57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76" s="56">
        <f>IF(TAB_HISTORICO_MANUT[[#This Row],[EXPURGO Filhas]]="SIM",MAX(TAB_HISTORICO_MANUT[[#This Row],[Hora Final]]-TAB_HISTORICO_MANUT[[#This Row],[Hora Inicio]],0),0)</f>
        <v>0</v>
      </c>
      <c r="W57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7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76" s="117">
        <v>46136.418194444443</v>
      </c>
      <c r="Z576" s="118">
        <v>46136.47210648148</v>
      </c>
      <c r="AA576" s="119" t="s">
        <v>208</v>
      </c>
      <c r="AB576" s="119">
        <v>202601729918</v>
      </c>
      <c r="AC576" s="43" t="s">
        <v>882</v>
      </c>
      <c r="AD576" s="117" t="s">
        <v>146</v>
      </c>
      <c r="AE576" s="117" t="s">
        <v>883</v>
      </c>
      <c r="AF576" s="88" t="s">
        <v>210</v>
      </c>
      <c r="AG576" s="123">
        <f>IF(TAB_HISTORICO_MANUT[[#This Row],[Hora Inicio]]="","",MONTH(TAB_HISTORICO_MANUT[[#This Row],[Hora Inicio]]))</f>
        <v>4</v>
      </c>
      <c r="AH576" s="58" t="s">
        <v>927</v>
      </c>
      <c r="AI576" s="43" t="s">
        <v>25</v>
      </c>
      <c r="AJ576" s="43" t="s">
        <v>25</v>
      </c>
      <c r="AK576" s="115" t="s">
        <v>25</v>
      </c>
      <c r="AL576" s="115" t="s">
        <v>25</v>
      </c>
      <c r="AM576" s="121" t="s">
        <v>25</v>
      </c>
      <c r="AN576" s="115"/>
      <c r="AO576" s="115"/>
      <c r="AP576" s="115"/>
    </row>
    <row r="577" spans="1:42" ht="50.1" customHeight="1" x14ac:dyDescent="0.25">
      <c r="A577" s="115">
        <f>MONTH(TAB_HISTORICO_MANUT[[#This Row],[Hora Final]])-MONTH(TAB_HISTORICO_MANUT[[#This Row],[Hora Inicio]])</f>
        <v>0</v>
      </c>
      <c r="B577" s="116"/>
      <c r="C577" s="115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Inicio]]=Z576,TAB_HISTORICO_MANUT[[#This Row],[Equipamento]]=AA576,TAB_HISTORICO_MANUT[[#This Row],[Descricao Despacho]]=AD576),0,1)))</f>
        <v>1</v>
      </c>
      <c r="O57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HIDRAULICO</v>
      </c>
      <c r="P57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7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577" s="107">
        <f>IF($Q577="","",(TAB_HISTORICO_MANUT[[#This Row],[Hora Final]]-TAB_HISTORICO_MANUT[[#This Row],[Hora Inicio]])*24)</f>
        <v>6.4633333333767951</v>
      </c>
      <c r="S57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77" s="109" t="str">
        <f>IF(AND(TAB_HISTORICO_MANUT[[#This Row],[EXPURGO Mãe]]="SIM",TAB_HISTORICO_MANUT[[#This Row],[Tipo]]="MÃE"),"EXP.MAE",IF(TAB_HISTORICO_MANUT[[#This Row],[EXPURGO Mãe]]="NÃO","NÃO EXP.MAE",T576))</f>
        <v>NÃO EXP.MAE</v>
      </c>
      <c r="U57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77" s="110">
        <f>IF(TAB_HISTORICO_MANUT[[#This Row],[EXPURGO Filhas]]="SIM",MAX(TAB_HISTORICO_MANUT[[#This Row],[Hora Final]]-TAB_HISTORICO_MANUT[[#This Row],[Hora Inicio]],0),0)</f>
        <v>0</v>
      </c>
      <c r="W57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7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77" s="117">
        <v>46140.775740740741</v>
      </c>
      <c r="Z577" s="118">
        <v>46141.045046296298</v>
      </c>
      <c r="AA577" s="119" t="s">
        <v>208</v>
      </c>
      <c r="AB577" s="119">
        <v>202601729918</v>
      </c>
      <c r="AC577" s="43" t="s">
        <v>204</v>
      </c>
      <c r="AD577" s="117" t="s">
        <v>144</v>
      </c>
      <c r="AE577" s="117" t="s">
        <v>172</v>
      </c>
      <c r="AF577" s="88" t="s">
        <v>210</v>
      </c>
      <c r="AG577" s="123">
        <f>IF(TAB_HISTORICO_MANUT[[#This Row],[Hora Inicio]]="","",MONTH(TAB_HISTORICO_MANUT[[#This Row],[Hora Inicio]]))</f>
        <v>4</v>
      </c>
      <c r="AH577" s="120" t="s">
        <v>981</v>
      </c>
      <c r="AI577" s="43" t="s">
        <v>149</v>
      </c>
      <c r="AJ577" s="43" t="s">
        <v>295</v>
      </c>
      <c r="AK577" s="115" t="s">
        <v>474</v>
      </c>
      <c r="AL577" s="115" t="s">
        <v>275</v>
      </c>
      <c r="AM577" s="121" t="s">
        <v>283</v>
      </c>
      <c r="AN577" s="115" t="s">
        <v>217</v>
      </c>
      <c r="AO577" s="115" t="s">
        <v>582</v>
      </c>
      <c r="AP577" s="115" t="s">
        <v>933</v>
      </c>
    </row>
    <row r="578" spans="1:42" ht="50.1" customHeight="1" x14ac:dyDescent="0.25">
      <c r="A578" s="43">
        <f>MONTH(TAB_HISTORICO_MANUT[[#This Row],[Hora Final]])-MONTH(TAB_HISTORICO_MANUT[[#This Row],[Hora Inicio]])</f>
        <v>0</v>
      </c>
      <c r="B578" s="42"/>
      <c r="C578" s="43"/>
      <c r="D578" s="42"/>
      <c r="E578" s="42"/>
      <c r="F578" s="42"/>
      <c r="G578" s="42"/>
      <c r="H578" s="42"/>
      <c r="I578" s="116"/>
      <c r="J578" s="116"/>
      <c r="K578" s="116"/>
      <c r="L578" s="116"/>
      <c r="M578" s="116" t="s">
        <v>99</v>
      </c>
      <c r="N578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Inicio]]=Z577,TAB_HISTORICO_MANUT[[#This Row],[Equipamento]]=AA577,TAB_HISTORICO_MANUT[[#This Row],[Descricao Despacho]]=AD577),0,1)))</f>
        <v/>
      </c>
      <c r="O57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578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57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578" s="107" t="str">
        <f>IF($Q578="","",(TAB_HISTORICO_MANUT[[#This Row],[Hora Final]]-TAB_HISTORICO_MANUT[[#This Row],[Hora Inicio]])*24)</f>
        <v/>
      </c>
      <c r="S57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578" s="109" t="str">
        <f>IF(AND(TAB_HISTORICO_MANUT[[#This Row],[EXPURGO Mãe]]="SIM",TAB_HISTORICO_MANUT[[#This Row],[Tipo]]="MÃE"),"EXP.MAE",IF(TAB_HISTORICO_MANUT[[#This Row],[EXPURGO Mãe]]="NÃO","NÃO EXP.MAE",T577))</f>
        <v>NÃO EXP.MAE</v>
      </c>
      <c r="U57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78" s="110">
        <f>IF(TAB_HISTORICO_MANUT[[#This Row],[EXPURGO Filhas]]="SIM",MAX(TAB_HISTORICO_MANUT[[#This Row],[Hora Final]]-TAB_HISTORICO_MANUT[[#This Row],[Hora Inicio]],0),0)</f>
        <v>0</v>
      </c>
      <c r="W57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7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78" s="46">
        <v>46141.023611111108</v>
      </c>
      <c r="Z578" s="47">
        <v>46141.045046296298</v>
      </c>
      <c r="AA578" s="48" t="s">
        <v>208</v>
      </c>
      <c r="AB578" s="48">
        <v>202601729918</v>
      </c>
      <c r="AC578" s="43" t="s">
        <v>204</v>
      </c>
      <c r="AD578" s="46" t="s">
        <v>144</v>
      </c>
      <c r="AE578" s="46" t="s">
        <v>765</v>
      </c>
      <c r="AF578" s="88" t="s">
        <v>767</v>
      </c>
      <c r="AG578" s="105">
        <f>IF(TAB_HISTORICO_MANUT[[#This Row],[Hora Inicio]]="","",MONTH(TAB_HISTORICO_MANUT[[#This Row],[Hora Inicio]]))</f>
        <v>4</v>
      </c>
      <c r="AH578" s="120" t="s">
        <v>1068</v>
      </c>
      <c r="AI578" s="43" t="s">
        <v>149</v>
      </c>
      <c r="AJ578" s="43" t="s">
        <v>295</v>
      </c>
      <c r="AK578" s="43" t="s">
        <v>474</v>
      </c>
      <c r="AL578" s="43" t="s">
        <v>275</v>
      </c>
      <c r="AM578" s="114" t="s">
        <v>283</v>
      </c>
      <c r="AN578" s="43"/>
      <c r="AO578" s="43"/>
      <c r="AP578" s="43"/>
    </row>
    <row r="579" spans="1:42" ht="50.1" customHeight="1" x14ac:dyDescent="0.25">
      <c r="A579" s="43">
        <f>MONTH(TAB_HISTORICO_MANUT[[#This Row],[Hora Final]])-MONTH(TAB_HISTORICO_MANUT[[#This Row],[Hora Inicio]])</f>
        <v>0</v>
      </c>
      <c r="B579" s="42"/>
      <c r="C579" s="43"/>
      <c r="D579" s="42"/>
      <c r="E579" s="42"/>
      <c r="F579" s="42"/>
      <c r="G579" s="42"/>
      <c r="H579" s="42"/>
      <c r="I579" s="116"/>
      <c r="J579" s="116"/>
      <c r="K579" s="116"/>
      <c r="L579" s="116"/>
      <c r="M579" s="116"/>
      <c r="N579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Inicio]]=Z578,TAB_HISTORICO_MANUT[[#This Row],[Equipamento]]=AA578,TAB_HISTORICO_MANUT[[#This Row],[Descricao Despacho]]=AD578),0,1)))</f>
        <v/>
      </c>
      <c r="O57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579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57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579" s="50" t="str">
        <f>IF($Q579="","",(TAB_HISTORICO_MANUT[[#This Row],[Hora Final]]-TAB_HISTORICO_MANUT[[#This Row],[Hora Inicio]])*24)</f>
        <v/>
      </c>
      <c r="S57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579" s="54" t="str">
        <f>IF(AND(TAB_HISTORICO_MANUT[[#This Row],[EXPURGO Mãe]]="SIM",TAB_HISTORICO_MANUT[[#This Row],[Tipo]]="MÃE"),"EXP.MAE",IF(TAB_HISTORICO_MANUT[[#This Row],[EXPURGO Mãe]]="NÃO","NÃO EXP.MAE",T578))</f>
        <v>NÃO EXP.MAE</v>
      </c>
      <c r="U57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579" s="56">
        <f>IF(TAB_HISTORICO_MANUT[[#This Row],[EXPURGO Filhas]]="SIM",MAX(TAB_HISTORICO_MANUT[[#This Row],[Hora Final]]-TAB_HISTORICO_MANUT[[#This Row],[Hora Inicio]],0),0)</f>
        <v>6.0185185429872945E-4</v>
      </c>
      <c r="W57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7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79" s="46">
        <v>46141.044444444444</v>
      </c>
      <c r="Z579" s="47">
        <v>46141.045046296298</v>
      </c>
      <c r="AA579" s="48" t="s">
        <v>208</v>
      </c>
      <c r="AB579" s="48">
        <v>202601729918</v>
      </c>
      <c r="AC579" s="43" t="s">
        <v>204</v>
      </c>
      <c r="AD579" s="46" t="s">
        <v>144</v>
      </c>
      <c r="AE579" s="46" t="s">
        <v>765</v>
      </c>
      <c r="AF579" s="88" t="s">
        <v>767</v>
      </c>
      <c r="AG579" s="105">
        <v>4</v>
      </c>
      <c r="AH579" s="120" t="s">
        <v>1068</v>
      </c>
      <c r="AI579" s="43" t="s">
        <v>149</v>
      </c>
      <c r="AJ579" s="43" t="s">
        <v>295</v>
      </c>
      <c r="AK579" s="43" t="s">
        <v>474</v>
      </c>
      <c r="AL579" s="43" t="s">
        <v>275</v>
      </c>
      <c r="AM579" s="114" t="s">
        <v>283</v>
      </c>
      <c r="AN579" s="43"/>
      <c r="AO579" s="43"/>
      <c r="AP579" s="43"/>
    </row>
    <row r="580" spans="1:42" ht="50.1" customHeight="1" x14ac:dyDescent="0.25">
      <c r="A580" s="115">
        <f>MONTH(TAB_HISTORICO_MANUT[[#This Row],[Hora Final]])-MONTH(TAB_HISTORICO_MANUT[[#This Row],[Hora Inicio]])</f>
        <v>0</v>
      </c>
      <c r="B580" s="116"/>
      <c r="C580" s="115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Inicio]]=Z579,TAB_HISTORICO_MANUT[[#This Row],[Equipamento]]=AA579,TAB_HISTORICO_MANUT[[#This Row],[Descricao Despacho]]=AD579),0,1)))</f>
        <v>1</v>
      </c>
      <c r="O58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58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8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580" s="107">
        <f>IF($Q580="","",(TAB_HISTORICO_MANUT[[#This Row],[Hora Final]]-TAB_HISTORICO_MANUT[[#This Row],[Hora Inicio]])*24)</f>
        <v>4.4261111109517515</v>
      </c>
      <c r="S58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80" s="109" t="str">
        <f>IF(AND(TAB_HISTORICO_MANUT[[#This Row],[EXPURGO Mãe]]="SIM",TAB_HISTORICO_MANUT[[#This Row],[Tipo]]="MÃE"),"EXP.MAE",IF(TAB_HISTORICO_MANUT[[#This Row],[EXPURGO Mãe]]="NÃO","NÃO EXP.MAE",T579))</f>
        <v>NÃO EXP.MAE</v>
      </c>
      <c r="U58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80" s="110">
        <f>IF(TAB_HISTORICO_MANUT[[#This Row],[EXPURGO Filhas]]="SIM",MAX(TAB_HISTORICO_MANUT[[#This Row],[Hora Final]]-TAB_HISTORICO_MANUT[[#This Row],[Hora Inicio]],0),0)</f>
        <v>0</v>
      </c>
      <c r="W58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8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80" s="117">
        <v>46142.680636574078</v>
      </c>
      <c r="Z580" s="118">
        <v>46142.865057870367</v>
      </c>
      <c r="AA580" s="119" t="s">
        <v>208</v>
      </c>
      <c r="AB580" s="119">
        <v>202601729918</v>
      </c>
      <c r="AC580" s="115" t="s">
        <v>301</v>
      </c>
      <c r="AD580" s="117" t="s">
        <v>146</v>
      </c>
      <c r="AE580" s="117" t="s">
        <v>310</v>
      </c>
      <c r="AF580" s="88" t="s">
        <v>210</v>
      </c>
      <c r="AG580" s="123">
        <f>IF(TAB_HISTORICO_MANUT[[#This Row],[Hora Inicio]]="","",MONTH(TAB_HISTORICO_MANUT[[#This Row],[Hora Inicio]]))</f>
        <v>4</v>
      </c>
      <c r="AH580" s="120" t="s">
        <v>956</v>
      </c>
      <c r="AI580" s="43" t="s">
        <v>340</v>
      </c>
      <c r="AJ580" s="43" t="s">
        <v>432</v>
      </c>
      <c r="AK580" s="115"/>
      <c r="AL580" s="115"/>
      <c r="AM580" s="121"/>
      <c r="AN580" s="115"/>
      <c r="AO580" s="115"/>
      <c r="AP580" s="115"/>
    </row>
    <row r="581" spans="1:42" ht="50.1" customHeight="1" x14ac:dyDescent="0.25">
      <c r="A581" s="43">
        <f>MONTH(TAB_HISTORICO_MANUT[[#This Row],[Hora Final]])-MONTH(TAB_HISTORICO_MANUT[[#This Row],[Hora Inicio]])</f>
        <v>0</v>
      </c>
      <c r="B581" s="42"/>
      <c r="C581" s="43"/>
      <c r="D581" s="42"/>
      <c r="E581" s="42"/>
      <c r="F581" s="42"/>
      <c r="G581" s="42"/>
      <c r="H581" s="42"/>
      <c r="I581" s="42"/>
      <c r="J581" s="42"/>
      <c r="K581" s="42"/>
      <c r="L581" s="42"/>
      <c r="M581" s="42" t="s">
        <v>98</v>
      </c>
      <c r="N581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Inicio]]=Z580,TAB_HISTORICO_MANUT[[#This Row],[Equipamento]]=AA580,TAB_HISTORICO_MANUT[[#This Row],[Descricao Despacho]]=AD580),0,1)))</f>
        <v/>
      </c>
      <c r="O58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581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58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581" s="50" t="str">
        <f>IF($Q581="","",(TAB_HISTORICO_MANUT[[#This Row],[Hora Final]]-TAB_HISTORICO_MANUT[[#This Row],[Hora Inicio]])*24)</f>
        <v/>
      </c>
      <c r="S58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581" s="54" t="str">
        <f>IF(AND(TAB_HISTORICO_MANUT[[#This Row],[EXPURGO Mãe]]="SIM",TAB_HISTORICO_MANUT[[#This Row],[Tipo]]="MÃE"),"EXP.MAE",IF(TAB_HISTORICO_MANUT[[#This Row],[EXPURGO Mãe]]="NÃO","NÃO EXP.MAE",T580))</f>
        <v>NÃO EXP.MAE</v>
      </c>
      <c r="U58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581" s="56">
        <f>IF(TAB_HISTORICO_MANUT[[#This Row],[EXPURGO Filhas]]="SIM",MAX(TAB_HISTORICO_MANUT[[#This Row],[Hora Final]]-TAB_HISTORICO_MANUT[[#This Row],[Hora Inicio]],0),0)</f>
        <v>6.0335648144246079E-2</v>
      </c>
      <c r="W58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8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81" s="46">
        <v>46142.680636574078</v>
      </c>
      <c r="Z581" s="47">
        <v>46142.740972222222</v>
      </c>
      <c r="AA581" s="48" t="s">
        <v>208</v>
      </c>
      <c r="AB581" s="48">
        <v>202601729918</v>
      </c>
      <c r="AC581" s="43" t="s">
        <v>301</v>
      </c>
      <c r="AD581" s="46" t="s">
        <v>146</v>
      </c>
      <c r="AE581" s="46" t="s">
        <v>732</v>
      </c>
      <c r="AF581" s="88" t="s">
        <v>767</v>
      </c>
      <c r="AG581" s="105">
        <f>IF(TAB_HISTORICO_MANUT[[#This Row],[Hora Inicio]]="","",MONTH(TAB_HISTORICO_MANUT[[#This Row],[Hora Inicio]]))</f>
        <v>4</v>
      </c>
      <c r="AH581" s="58" t="s">
        <v>1104</v>
      </c>
      <c r="AI581" s="43" t="s">
        <v>340</v>
      </c>
      <c r="AJ581" s="43" t="s">
        <v>432</v>
      </c>
      <c r="AK581" s="43"/>
      <c r="AL581" s="43"/>
      <c r="AM581" s="114"/>
      <c r="AN581" s="43"/>
      <c r="AO581" s="43"/>
      <c r="AP581" s="43"/>
    </row>
    <row r="582" spans="1:42" ht="50.1" customHeight="1" x14ac:dyDescent="0.25">
      <c r="A582" s="115">
        <f>MONTH(TAB_HISTORICO_MANUT[[#This Row],[Hora Final]])-MONTH(TAB_HISTORICO_MANUT[[#This Row],[Hora Inicio]])</f>
        <v>0</v>
      </c>
      <c r="B582" s="116"/>
      <c r="C582" s="115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 t="s">
        <v>99</v>
      </c>
      <c r="N582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Inicio]]=Z581,TAB_HISTORICO_MANUT[[#This Row],[Equipamento]]=AA581,TAB_HISTORICO_MANUT[[#This Row],[Descricao Despacho]]=AD581),0,1)))</f>
        <v/>
      </c>
      <c r="O58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582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58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582" s="107" t="str">
        <f>IF($Q582="","",(TAB_HISTORICO_MANUT[[#This Row],[Hora Final]]-TAB_HISTORICO_MANUT[[#This Row],[Hora Inicio]])*24)</f>
        <v/>
      </c>
      <c r="S58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582" s="109" t="str">
        <f>IF(AND(TAB_HISTORICO_MANUT[[#This Row],[EXPURGO Mãe]]="SIM",TAB_HISTORICO_MANUT[[#This Row],[Tipo]]="MÃE"),"EXP.MAE",IF(TAB_HISTORICO_MANUT[[#This Row],[EXPURGO Mãe]]="NÃO","NÃO EXP.MAE",T581))</f>
        <v>NÃO EXP.MAE</v>
      </c>
      <c r="U58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82" s="110">
        <f>IF(TAB_HISTORICO_MANUT[[#This Row],[EXPURGO Filhas]]="SIM",MAX(TAB_HISTORICO_MANUT[[#This Row],[Hora Final]]-TAB_HISTORICO_MANUT[[#This Row],[Hora Inicio]],0),0)</f>
        <v>0</v>
      </c>
      <c r="W58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8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82" s="117">
        <v>46142.75</v>
      </c>
      <c r="Z582" s="118">
        <v>46142.799305555556</v>
      </c>
      <c r="AA582" s="119" t="s">
        <v>208</v>
      </c>
      <c r="AB582" s="119">
        <v>202601729918</v>
      </c>
      <c r="AC582" s="115" t="s">
        <v>301</v>
      </c>
      <c r="AD582" s="117" t="s">
        <v>146</v>
      </c>
      <c r="AE582" s="117" t="s">
        <v>178</v>
      </c>
      <c r="AF582" s="88" t="s">
        <v>767</v>
      </c>
      <c r="AG582" s="123">
        <f>IF(TAB_HISTORICO_MANUT[[#This Row],[Hora Inicio]]="","",MONTH(TAB_HISTORICO_MANUT[[#This Row],[Hora Inicio]]))</f>
        <v>4</v>
      </c>
      <c r="AH582" s="120" t="s">
        <v>1069</v>
      </c>
      <c r="AI582" s="115" t="s">
        <v>340</v>
      </c>
      <c r="AJ582" s="115" t="s">
        <v>432</v>
      </c>
      <c r="AK582" s="115"/>
      <c r="AL582" s="115"/>
      <c r="AM582" s="121"/>
      <c r="AN582" s="115"/>
      <c r="AO582" s="115"/>
      <c r="AP582" s="115"/>
    </row>
    <row r="583" spans="1:42" ht="50.1" customHeight="1" x14ac:dyDescent="0.25">
      <c r="A583" s="115">
        <f>MONTH(TAB_HISTORICO_MANUT[[#This Row],[Hora Final]])-MONTH(TAB_HISTORICO_MANUT[[#This Row],[Hora Inicio]])</f>
        <v>0</v>
      </c>
      <c r="B583" s="116"/>
      <c r="C583" s="115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Inicio]]=Z582,TAB_HISTORICO_MANUT[[#This Row],[Equipamento]]=AA582,TAB_HISTORICO_MANUT[[#This Row],[Descricao Despacho]]=AD582),0,1)))</f>
        <v/>
      </c>
      <c r="O58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583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58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583" s="107" t="str">
        <f>IF($Q583="","",(TAB_HISTORICO_MANUT[[#This Row],[Hora Final]]-TAB_HISTORICO_MANUT[[#This Row],[Hora Inicio]])*24)</f>
        <v/>
      </c>
      <c r="S58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583" s="109" t="str">
        <f>IF(AND(TAB_HISTORICO_MANUT[[#This Row],[EXPURGO Mãe]]="SIM",TAB_HISTORICO_MANUT[[#This Row],[Tipo]]="MÃE"),"EXP.MAE",IF(TAB_HISTORICO_MANUT[[#This Row],[EXPURGO Mãe]]="NÃO","NÃO EXP.MAE",T582))</f>
        <v>NÃO EXP.MAE</v>
      </c>
      <c r="U58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583" s="110">
        <f>IF(TAB_HISTORICO_MANUT[[#This Row],[EXPURGO Filhas]]="SIM",MAX(TAB_HISTORICO_MANUT[[#This Row],[Hora Final]]-TAB_HISTORICO_MANUT[[#This Row],[Hora Inicio]],0),0)</f>
        <v>7.6388888919609599E-3</v>
      </c>
      <c r="W58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8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83" s="117">
        <v>46142.791666666664</v>
      </c>
      <c r="Z583" s="118">
        <v>46142.799305555556</v>
      </c>
      <c r="AA583" s="119" t="s">
        <v>208</v>
      </c>
      <c r="AB583" s="119">
        <v>202601729918</v>
      </c>
      <c r="AC583" s="115" t="s">
        <v>301</v>
      </c>
      <c r="AD583" s="117" t="s">
        <v>146</v>
      </c>
      <c r="AE583" s="117" t="s">
        <v>178</v>
      </c>
      <c r="AF583" s="88" t="s">
        <v>767</v>
      </c>
      <c r="AG583" s="123">
        <v>4</v>
      </c>
      <c r="AH583" s="120" t="s">
        <v>1069</v>
      </c>
      <c r="AI583" s="115" t="s">
        <v>340</v>
      </c>
      <c r="AJ583" s="115" t="s">
        <v>432</v>
      </c>
      <c r="AK583" s="115"/>
      <c r="AL583" s="115"/>
      <c r="AM583" s="121"/>
      <c r="AN583" s="115"/>
      <c r="AO583" s="115"/>
      <c r="AP583" s="115"/>
    </row>
    <row r="584" spans="1:42" ht="50.1" customHeight="1" x14ac:dyDescent="0.25">
      <c r="A584" s="115">
        <f>MONTH(TAB_HISTORICO_MANUT[[#This Row],[Hora Final]])-MONTH(TAB_HISTORICO_MANUT[[#This Row],[Hora Inicio]])</f>
        <v>0</v>
      </c>
      <c r="B584" s="116"/>
      <c r="C584" s="115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Inicio]]=Z583,TAB_HISTORICO_MANUT[[#This Row],[Equipamento]]=AA583,TAB_HISTORICO_MANUT[[#This Row],[Descricao Despacho]]=AD583),0,1)))</f>
        <v>1</v>
      </c>
      <c r="O58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58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8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584" s="107">
        <f>IF($Q584="","",(TAB_HISTORICO_MANUT[[#This Row],[Hora Final]]-TAB_HISTORICO_MANUT[[#This Row],[Hora Inicio]])*24)</f>
        <v>1.4280555556761101</v>
      </c>
      <c r="S58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584" s="109" t="str">
        <f>IF(AND(TAB_HISTORICO_MANUT[[#This Row],[EXPURGO Mãe]]="SIM",TAB_HISTORICO_MANUT[[#This Row],[Tipo]]="MÃE"),"EXP.MAE",IF(TAB_HISTORICO_MANUT[[#This Row],[EXPURGO Mãe]]="NÃO","NÃO EXP.MAE",T583))</f>
        <v>EXP.MAE</v>
      </c>
      <c r="U58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84" s="110">
        <f>IF(TAB_HISTORICO_MANUT[[#This Row],[EXPURGO Filhas]]="SIM",MAX(TAB_HISTORICO_MANUT[[#This Row],[Hora Final]]-TAB_HISTORICO_MANUT[[#This Row],[Hora Inicio]],0),0)</f>
        <v>0</v>
      </c>
      <c r="W58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8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84" s="117">
        <v>46142.865057870367</v>
      </c>
      <c r="Z584" s="118">
        <v>46142.924560185187</v>
      </c>
      <c r="AA584" s="119" t="s">
        <v>208</v>
      </c>
      <c r="AB584" s="119">
        <v>202601729918</v>
      </c>
      <c r="AC584" s="115" t="s">
        <v>362</v>
      </c>
      <c r="AD584" s="117" t="s">
        <v>146</v>
      </c>
      <c r="AE584" s="117" t="s">
        <v>175</v>
      </c>
      <c r="AF584" s="88" t="s">
        <v>210</v>
      </c>
      <c r="AG584" s="123">
        <f>IF(TAB_HISTORICO_MANUT[[#This Row],[Hora Inicio]]="","",MONTH(TAB_HISTORICO_MANUT[[#This Row],[Hora Inicio]]))</f>
        <v>4</v>
      </c>
      <c r="AH584" s="120" t="s">
        <v>938</v>
      </c>
      <c r="AI584" s="115" t="s">
        <v>340</v>
      </c>
      <c r="AJ584" s="115" t="s">
        <v>432</v>
      </c>
      <c r="AK584" s="115"/>
      <c r="AL584" s="115"/>
      <c r="AM584" s="121"/>
      <c r="AN584" s="115"/>
      <c r="AO584" s="115"/>
      <c r="AP584" s="115"/>
    </row>
    <row r="585" spans="1:42" ht="50.1" customHeight="1" x14ac:dyDescent="0.25">
      <c r="A585" s="115">
        <f>MONTH(TAB_HISTORICO_MANUT[[#This Row],[Hora Final]])-MONTH(TAB_HISTORICO_MANUT[[#This Row],[Hora Inicio]])</f>
        <v>0</v>
      </c>
      <c r="B585" s="116"/>
      <c r="C585" s="115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Inicio]]=Z584,TAB_HISTORICO_MANUT[[#This Row],[Equipamento]]=AA584,TAB_HISTORICO_MANUT[[#This Row],[Descricao Despacho]]=AD584),0,1)))</f>
        <v>0</v>
      </c>
      <c r="O58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58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8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585" s="107">
        <f>IF($Q585="","",(TAB_HISTORICO_MANUT[[#This Row],[Hora Final]]-TAB_HISTORICO_MANUT[[#This Row],[Hora Inicio]])*24)</f>
        <v>1.8102777776657604</v>
      </c>
      <c r="S58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85" s="109" t="str">
        <f>IF(AND(TAB_HISTORICO_MANUT[[#This Row],[EXPURGO Mãe]]="SIM",TAB_HISTORICO_MANUT[[#This Row],[Tipo]]="MÃE"),"EXP.MAE",IF(TAB_HISTORICO_MANUT[[#This Row],[EXPURGO Mãe]]="NÃO","NÃO EXP.MAE",T584))</f>
        <v>NÃO EXP.MAE</v>
      </c>
      <c r="U58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85" s="110">
        <f>IF(TAB_HISTORICO_MANUT[[#This Row],[EXPURGO Filhas]]="SIM",MAX(TAB_HISTORICO_MANUT[[#This Row],[Hora Final]]-TAB_HISTORICO_MANUT[[#This Row],[Hora Inicio]],0),0)</f>
        <v>0</v>
      </c>
      <c r="W58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8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85" s="117">
        <v>46142.924560185187</v>
      </c>
      <c r="Z585" s="131">
        <v>46142.999988425923</v>
      </c>
      <c r="AA585" s="119" t="s">
        <v>208</v>
      </c>
      <c r="AB585" s="119">
        <v>202601729918</v>
      </c>
      <c r="AC585" s="115" t="s">
        <v>302</v>
      </c>
      <c r="AD585" s="117" t="s">
        <v>146</v>
      </c>
      <c r="AE585" s="117" t="s">
        <v>311</v>
      </c>
      <c r="AF585" s="88" t="s">
        <v>210</v>
      </c>
      <c r="AG585" s="123">
        <f>IF(TAB_HISTORICO_MANUT[[#This Row],[Hora Inicio]]="","",MONTH(TAB_HISTORICO_MANUT[[#This Row],[Hora Inicio]]))</f>
        <v>4</v>
      </c>
      <c r="AH585" s="120" t="s">
        <v>938</v>
      </c>
      <c r="AI585" s="115" t="s">
        <v>340</v>
      </c>
      <c r="AJ585" s="115" t="s">
        <v>432</v>
      </c>
      <c r="AK585" s="115"/>
      <c r="AL585" s="115"/>
      <c r="AM585" s="121"/>
      <c r="AN585" s="115"/>
      <c r="AO585" s="115"/>
      <c r="AP585" s="115"/>
    </row>
    <row r="586" spans="1:42" ht="50.1" customHeight="1" x14ac:dyDescent="0.25">
      <c r="A586" s="115">
        <f>MONTH(TAB_HISTORICO_MANUT[[#This Row],[Hora Final]])-MONTH(TAB_HISTORICO_MANUT[[#This Row],[Hora Inicio]])</f>
        <v>0</v>
      </c>
      <c r="B586" s="116"/>
      <c r="C586" s="115"/>
      <c r="D586" s="116"/>
      <c r="E586" s="116"/>
      <c r="F586" s="116"/>
      <c r="G586" s="116"/>
      <c r="H586" s="116"/>
      <c r="I586" s="116"/>
      <c r="J586" s="116"/>
      <c r="K586" s="116"/>
      <c r="L586" s="116">
        <v>0</v>
      </c>
      <c r="M586" s="116"/>
      <c r="N58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Inicio]]=Z585,TAB_HISTORICO_MANUT[[#This Row],[Equipamento]]=AA585,TAB_HISTORICO_MANUT[[#This Row],[Descricao Despacho]]=AD585),0,1)))</f>
        <v>0</v>
      </c>
      <c r="O58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58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8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586" s="107">
        <f>IF($Q586="","",(TAB_HISTORICO_MANUT[[#This Row],[Hora Final]]-TAB_HISTORICO_MANUT[[#This Row],[Hora Inicio]])*24)</f>
        <v>3.7505555555108003</v>
      </c>
      <c r="S58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86" s="109" t="str">
        <f>IF(AND(TAB_HISTORICO_MANUT[[#This Row],[EXPURGO Mãe]]="SIM",TAB_HISTORICO_MANUT[[#This Row],[Tipo]]="MÃE"),"EXP.MAE",IF(TAB_HISTORICO_MANUT[[#This Row],[EXPURGO Mãe]]="NÃO","NÃO EXP.MAE",T585))</f>
        <v>NÃO EXP.MAE</v>
      </c>
      <c r="U58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86" s="110">
        <f>IF(TAB_HISTORICO_MANUT[[#This Row],[EXPURGO Filhas]]="SIM",MAX(TAB_HISTORICO_MANUT[[#This Row],[Hora Final]]-TAB_HISTORICO_MANUT[[#This Row],[Hora Inicio]],0),0)</f>
        <v>0</v>
      </c>
      <c r="W58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8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86" s="131">
        <v>46143</v>
      </c>
      <c r="Z586" s="117">
        <v>46143.156273148146</v>
      </c>
      <c r="AA586" s="119" t="s">
        <v>208</v>
      </c>
      <c r="AB586" s="119">
        <v>202601729918</v>
      </c>
      <c r="AC586" s="115" t="s">
        <v>302</v>
      </c>
      <c r="AD586" s="117" t="s">
        <v>146</v>
      </c>
      <c r="AE586" s="117" t="s">
        <v>311</v>
      </c>
      <c r="AF586" s="88" t="s">
        <v>210</v>
      </c>
      <c r="AG586" s="123">
        <v>5</v>
      </c>
      <c r="AH586" s="120" t="s">
        <v>938</v>
      </c>
      <c r="AI586" s="115" t="s">
        <v>340</v>
      </c>
      <c r="AJ586" s="115" t="s">
        <v>432</v>
      </c>
      <c r="AK586" s="115"/>
      <c r="AL586" s="115"/>
      <c r="AM586" s="121"/>
      <c r="AN586" s="115"/>
      <c r="AO586" s="115"/>
      <c r="AP586" s="115"/>
    </row>
    <row r="587" spans="1:42" ht="50.1" customHeight="1" x14ac:dyDescent="0.25">
      <c r="A587" s="43">
        <f>MONTH(TAB_HISTORICO_MANUT[[#This Row],[Hora Final]])-MONTH(TAB_HISTORICO_MANUT[[#This Row],[Hora Inicio]])</f>
        <v>0</v>
      </c>
      <c r="B587" s="42"/>
      <c r="C587" s="43"/>
      <c r="D587" s="42"/>
      <c r="E587" s="42"/>
      <c r="F587" s="42"/>
      <c r="G587" s="42"/>
      <c r="H587" s="42"/>
      <c r="I587" s="42"/>
      <c r="J587" s="42"/>
      <c r="K587" s="42"/>
      <c r="L587" s="42"/>
      <c r="M587" s="42" t="s">
        <v>98</v>
      </c>
      <c r="N587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Inicio]]=Z586,TAB_HISTORICO_MANUT[[#This Row],[Equipamento]]=AA586,TAB_HISTORICO_MANUT[[#This Row],[Descricao Despacho]]=AD586),0,1)))</f>
        <v/>
      </c>
      <c r="O58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587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58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587" s="50" t="str">
        <f>IF($Q587="","",(TAB_HISTORICO_MANUT[[#This Row],[Hora Final]]-TAB_HISTORICO_MANUT[[#This Row],[Hora Inicio]])*24)</f>
        <v/>
      </c>
      <c r="S58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587" s="54" t="str">
        <f>IF(AND(TAB_HISTORICO_MANUT[[#This Row],[EXPURGO Mãe]]="SIM",TAB_HISTORICO_MANUT[[#This Row],[Tipo]]="MÃE"),"EXP.MAE",IF(TAB_HISTORICO_MANUT[[#This Row],[EXPURGO Mãe]]="NÃO","NÃO EXP.MAE",T586))</f>
        <v>NÃO EXP.MAE</v>
      </c>
      <c r="U58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587" s="56">
        <f>IF(TAB_HISTORICO_MANUT[[#This Row],[EXPURGO Filhas]]="SIM",MAX(TAB_HISTORICO_MANUT[[#This Row],[Hora Final]]-TAB_HISTORICO_MANUT[[#This Row],[Hora Inicio]],0),0)</f>
        <v>6.5300925925839692E-2</v>
      </c>
      <c r="W58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8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87" s="46">
        <v>46143.09097222222</v>
      </c>
      <c r="Z587" s="47">
        <v>46143.156273148146</v>
      </c>
      <c r="AA587" s="48" t="s">
        <v>208</v>
      </c>
      <c r="AB587" s="119">
        <v>202601729918</v>
      </c>
      <c r="AC587" s="115" t="s">
        <v>302</v>
      </c>
      <c r="AD587" s="46" t="s">
        <v>146</v>
      </c>
      <c r="AE587" s="46" t="s">
        <v>311</v>
      </c>
      <c r="AF587" s="88" t="s">
        <v>767</v>
      </c>
      <c r="AG587" s="105">
        <v>5</v>
      </c>
      <c r="AH587" s="58" t="s">
        <v>938</v>
      </c>
      <c r="AI587" s="115" t="s">
        <v>340</v>
      </c>
      <c r="AJ587" s="115" t="s">
        <v>432</v>
      </c>
      <c r="AK587" s="115"/>
      <c r="AL587" s="115"/>
      <c r="AM587" s="121"/>
      <c r="AN587" s="43"/>
      <c r="AO587" s="43"/>
      <c r="AP587" s="43"/>
    </row>
    <row r="588" spans="1:42" ht="50.1" customHeight="1" x14ac:dyDescent="0.25">
      <c r="A588" s="115">
        <f>MONTH(TAB_HISTORICO_MANUT[[#This Row],[Hora Final]])-MONTH(TAB_HISTORICO_MANUT[[#This Row],[Hora Inicio]])</f>
        <v>0</v>
      </c>
      <c r="B588" s="116"/>
      <c r="C588" s="115"/>
      <c r="D588" s="116"/>
      <c r="E588" s="116"/>
      <c r="F588" s="116"/>
      <c r="G588" s="116"/>
      <c r="H588" s="116"/>
      <c r="I588" s="116"/>
      <c r="J588" s="116"/>
      <c r="K588" s="116"/>
      <c r="L588" s="116">
        <v>0</v>
      </c>
      <c r="M588" s="116"/>
      <c r="N58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Inicio]]=Z587,TAB_HISTORICO_MANUT[[#This Row],[Equipamento]]=AA587,TAB_HISTORICO_MANUT[[#This Row],[Descricao Despacho]]=AD587),0,1)))</f>
        <v>0</v>
      </c>
      <c r="O58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58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8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588" s="107">
        <f>IF($Q588="","",(TAB_HISTORICO_MANUT[[#This Row],[Hora Final]]-TAB_HISTORICO_MANUT[[#This Row],[Hora Inicio]])*24)</f>
        <v>21.708888888882939</v>
      </c>
      <c r="S58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88" s="109" t="str">
        <f>IF(AND(TAB_HISTORICO_MANUT[[#This Row],[EXPURGO Mãe]]="SIM",TAB_HISTORICO_MANUT[[#This Row],[Tipo]]="MÃE"),"EXP.MAE",IF(TAB_HISTORICO_MANUT[[#This Row],[EXPURGO Mãe]]="NÃO","NÃO EXP.MAE",T587))</f>
        <v>NÃO EXP.MAE</v>
      </c>
      <c r="U58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88" s="110">
        <f>IF(TAB_HISTORICO_MANUT[[#This Row],[EXPURGO Filhas]]="SIM",MAX(TAB_HISTORICO_MANUT[[#This Row],[Hora Final]]-TAB_HISTORICO_MANUT[[#This Row],[Hora Inicio]],0),0)</f>
        <v>0</v>
      </c>
      <c r="W58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8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88" s="148">
        <v>46143.156273148146</v>
      </c>
      <c r="Z588" s="148">
        <v>46144.060810185183</v>
      </c>
      <c r="AA588" s="119" t="s">
        <v>208</v>
      </c>
      <c r="AB588" s="119">
        <v>202601729918</v>
      </c>
      <c r="AC588" s="115" t="s">
        <v>301</v>
      </c>
      <c r="AD588" s="117" t="s">
        <v>146</v>
      </c>
      <c r="AE588" s="117" t="s">
        <v>310</v>
      </c>
      <c r="AF588" s="88" t="s">
        <v>210</v>
      </c>
      <c r="AG588" s="123">
        <f>IF(TAB_HISTORICO_MANUT[[#This Row],[Hora Inicio]]="","",MONTH(TAB_HISTORICO_MANUT[[#This Row],[Hora Inicio]]))</f>
        <v>5</v>
      </c>
      <c r="AH588" s="120" t="s">
        <v>954</v>
      </c>
      <c r="AI588" s="115" t="s">
        <v>340</v>
      </c>
      <c r="AJ588" s="115" t="s">
        <v>432</v>
      </c>
      <c r="AK588" s="115"/>
      <c r="AL588" s="115"/>
      <c r="AM588" s="121"/>
      <c r="AN588" s="115"/>
      <c r="AO588" s="115"/>
      <c r="AP588" s="115"/>
    </row>
    <row r="589" spans="1:42" ht="50.1" customHeight="1" x14ac:dyDescent="0.25">
      <c r="A589" s="115">
        <f>MONTH(TAB_HISTORICO_MANUT[[#This Row],[Hora Final]])-MONTH(TAB_HISTORICO_MANUT[[#This Row],[Hora Inicio]])</f>
        <v>0</v>
      </c>
      <c r="B589" s="116"/>
      <c r="C589" s="115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Inicio]]=Z588,TAB_HISTORICO_MANUT[[#This Row],[Equipamento]]=AA588,TAB_HISTORICO_MANUT[[#This Row],[Descricao Despacho]]=AD588),0,1)))</f>
        <v>1</v>
      </c>
      <c r="O58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COMBATE INCENDIO</v>
      </c>
      <c r="P58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8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589" s="107">
        <f>IF($Q589="","",(TAB_HISTORICO_MANUT[[#This Row],[Hora Final]]-TAB_HISTORICO_MANUT[[#This Row],[Hora Inicio]])*24)</f>
        <v>3.6052777776494622</v>
      </c>
      <c r="S58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589" s="109" t="str">
        <f>IF(AND(TAB_HISTORICO_MANUT[[#This Row],[EXPURGO Mãe]]="SIM",TAB_HISTORICO_MANUT[[#This Row],[Tipo]]="MÃE"),"EXP.MAE",IF(TAB_HISTORICO_MANUT[[#This Row],[EXPURGO Mãe]]="NÃO","NÃO EXP.MAE",T588))</f>
        <v>EXP.MAE</v>
      </c>
      <c r="U58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89" s="110">
        <f>IF(TAB_HISTORICO_MANUT[[#This Row],[EXPURGO Filhas]]="SIM",MAX(TAB_HISTORICO_MANUT[[#This Row],[Hora Final]]-TAB_HISTORICO_MANUT[[#This Row],[Hora Inicio]],0),0)</f>
        <v>0</v>
      </c>
      <c r="W58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8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89" s="117">
        <v>46144.469224537039</v>
      </c>
      <c r="Z589" s="118">
        <v>46144.619444444441</v>
      </c>
      <c r="AA589" s="119" t="s">
        <v>208</v>
      </c>
      <c r="AB589" s="119" t="s">
        <v>944</v>
      </c>
      <c r="AC589" s="115" t="s">
        <v>212</v>
      </c>
      <c r="AD589" s="117" t="s">
        <v>144</v>
      </c>
      <c r="AE589" s="117" t="s">
        <v>214</v>
      </c>
      <c r="AF589" s="88" t="s">
        <v>210</v>
      </c>
      <c r="AG589" s="123">
        <f>IF(TAB_HISTORICO_MANUT[[#This Row],[Hora Inicio]]="","",MONTH(TAB_HISTORICO_MANUT[[#This Row],[Hora Inicio]]))</f>
        <v>5</v>
      </c>
      <c r="AH589" s="120" t="s">
        <v>949</v>
      </c>
      <c r="AI589" s="115" t="s">
        <v>152</v>
      </c>
      <c r="AJ589" s="115" t="s">
        <v>80</v>
      </c>
      <c r="AK589" s="115" t="s">
        <v>290</v>
      </c>
      <c r="AL589" s="115" t="s">
        <v>526</v>
      </c>
      <c r="AM589" s="121" t="s">
        <v>527</v>
      </c>
      <c r="AN589" s="115" t="s">
        <v>215</v>
      </c>
      <c r="AO589" s="115" t="s">
        <v>842</v>
      </c>
      <c r="AP589" s="115" t="s">
        <v>932</v>
      </c>
    </row>
    <row r="590" spans="1:42" ht="50.1" customHeight="1" x14ac:dyDescent="0.25">
      <c r="A590" s="43">
        <f>MONTH(TAB_HISTORICO_MANUT[[#This Row],[Hora Final]])-MONTH(TAB_HISTORICO_MANUT[[#This Row],[Hora Inicio]])</f>
        <v>0</v>
      </c>
      <c r="B590" s="42"/>
      <c r="C590" s="43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Inicio]]=Z589,TAB_HISTORICO_MANUT[[#This Row],[Equipamento]]=AA589,TAB_HISTORICO_MANUT[[#This Row],[Descricao Despacho]]=AD589),0,1)))</f>
        <v>1</v>
      </c>
      <c r="O59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590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9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590" s="50">
        <f>IF($Q590="","",(TAB_HISTORICO_MANUT[[#This Row],[Hora Final]]-TAB_HISTORICO_MANUT[[#This Row],[Hora Inicio]])*24)</f>
        <v>0.7561111111426726</v>
      </c>
      <c r="S59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90" s="54" t="str">
        <f>IF(AND(TAB_HISTORICO_MANUT[[#This Row],[EXPURGO Mãe]]="SIM",TAB_HISTORICO_MANUT[[#This Row],[Tipo]]="MÃE"),"EXP.MAE",IF(TAB_HISTORICO_MANUT[[#This Row],[EXPURGO Mãe]]="NÃO","NÃO EXP.MAE",T589))</f>
        <v>NÃO EXP.MAE</v>
      </c>
      <c r="U59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90" s="56">
        <f>IF(TAB_HISTORICO_MANUT[[#This Row],[EXPURGO Filhas]]="SIM",MAX(TAB_HISTORICO_MANUT[[#This Row],[Hora Final]]-TAB_HISTORICO_MANUT[[#This Row],[Hora Inicio]],0),0)</f>
        <v>0</v>
      </c>
      <c r="W59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9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90" s="46">
        <v>46146.466226851851</v>
      </c>
      <c r="Z590" s="47">
        <v>46146.497731481482</v>
      </c>
      <c r="AA590" s="48" t="s">
        <v>208</v>
      </c>
      <c r="AB590" s="48"/>
      <c r="AC590" s="43" t="s">
        <v>882</v>
      </c>
      <c r="AD590" s="46" t="s">
        <v>146</v>
      </c>
      <c r="AE590" s="46" t="s">
        <v>883</v>
      </c>
      <c r="AF590" s="88" t="s">
        <v>210</v>
      </c>
      <c r="AG590" s="105">
        <f>IF(TAB_HISTORICO_MANUT[[#This Row],[Hora Inicio]]="","",MONTH(TAB_HISTORICO_MANUT[[#This Row],[Hora Inicio]]))</f>
        <v>5</v>
      </c>
      <c r="AH590" s="58" t="s">
        <v>927</v>
      </c>
      <c r="AI590" s="43" t="s">
        <v>25</v>
      </c>
      <c r="AJ590" s="43" t="s">
        <v>25</v>
      </c>
      <c r="AK590" s="43" t="s">
        <v>25</v>
      </c>
      <c r="AL590" s="43" t="s">
        <v>25</v>
      </c>
      <c r="AM590" s="114" t="s">
        <v>25</v>
      </c>
      <c r="AN590" s="43"/>
      <c r="AO590" s="43"/>
      <c r="AP590" s="43"/>
    </row>
    <row r="591" spans="1:42" ht="50.1" customHeight="1" x14ac:dyDescent="0.25">
      <c r="A591" s="43">
        <f>MONTH(TAB_HISTORICO_MANUT[[#This Row],[Hora Final]])-MONTH(TAB_HISTORICO_MANUT[[#This Row],[Hora Inicio]])</f>
        <v>0</v>
      </c>
      <c r="B591" s="42"/>
      <c r="C591" s="43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Inicio]]=Z590,TAB_HISTORICO_MANUT[[#This Row],[Equipamento]]=AA590,TAB_HISTORICO_MANUT[[#This Row],[Descricao Despacho]]=AD590),0,1)))</f>
        <v>1</v>
      </c>
      <c r="O59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591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9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591" s="50">
        <f>IF($Q591="","",(TAB_HISTORICO_MANUT[[#This Row],[Hora Final]]-TAB_HISTORICO_MANUT[[#This Row],[Hora Inicio]])*24)</f>
        <v>1.158888888778165</v>
      </c>
      <c r="S59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91" s="54" t="str">
        <f>IF(AND(TAB_HISTORICO_MANUT[[#This Row],[EXPURGO Mãe]]="SIM",TAB_HISTORICO_MANUT[[#This Row],[Tipo]]="MÃE"),"EXP.MAE",IF(TAB_HISTORICO_MANUT[[#This Row],[EXPURGO Mãe]]="NÃO","NÃO EXP.MAE",T590))</f>
        <v>NÃO EXP.MAE</v>
      </c>
      <c r="U59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91" s="56">
        <f>IF(TAB_HISTORICO_MANUT[[#This Row],[EXPURGO Filhas]]="SIM",MAX(TAB_HISTORICO_MANUT[[#This Row],[Hora Final]]-TAB_HISTORICO_MANUT[[#This Row],[Hora Inicio]],0),0)</f>
        <v>0</v>
      </c>
      <c r="W59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9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91" s="46">
        <v>46149.618159722224</v>
      </c>
      <c r="Z591" s="47">
        <v>46149.666446759256</v>
      </c>
      <c r="AA591" s="48" t="s">
        <v>208</v>
      </c>
      <c r="AB591" s="48" t="s">
        <v>977</v>
      </c>
      <c r="AC591" s="43" t="s">
        <v>204</v>
      </c>
      <c r="AD591" s="46" t="s">
        <v>144</v>
      </c>
      <c r="AE591" s="46" t="s">
        <v>172</v>
      </c>
      <c r="AF591" s="88" t="s">
        <v>210</v>
      </c>
      <c r="AG591" s="105">
        <f>IF(TAB_HISTORICO_MANUT[[#This Row],[Hora Inicio]]="","",MONTH(TAB_HISTORICO_MANUT[[#This Row],[Hora Inicio]]))</f>
        <v>5</v>
      </c>
      <c r="AH591" s="58" t="s">
        <v>973</v>
      </c>
      <c r="AI591" s="43" t="s">
        <v>28</v>
      </c>
      <c r="AJ591" s="43" t="s">
        <v>614</v>
      </c>
      <c r="AK591" s="43" t="s">
        <v>980</v>
      </c>
      <c r="AL591" s="43" t="s">
        <v>279</v>
      </c>
      <c r="AM591" s="114" t="s">
        <v>280</v>
      </c>
      <c r="AN591" s="43" t="s">
        <v>217</v>
      </c>
      <c r="AO591" s="43" t="s">
        <v>349</v>
      </c>
      <c r="AP591" s="43" t="s">
        <v>319</v>
      </c>
    </row>
    <row r="592" spans="1:42" ht="50.1" customHeight="1" x14ac:dyDescent="0.25">
      <c r="A592" s="43">
        <f>MONTH(TAB_HISTORICO_MANUT[[#This Row],[Hora Final]])-MONTH(TAB_HISTORICO_MANUT[[#This Row],[Hora Inicio]])</f>
        <v>0</v>
      </c>
      <c r="B592" s="42"/>
      <c r="C592" s="43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Inicio]]=Z591,TAB_HISTORICO_MANUT[[#This Row],[Equipamento]]=AA591,TAB_HISTORICO_MANUT[[#This Row],[Descricao Despacho]]=AD591),0,1)))</f>
        <v>1</v>
      </c>
      <c r="O59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592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9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592" s="50">
        <f>IF($Q592="","",(TAB_HISTORICO_MANUT[[#This Row],[Hora Final]]-TAB_HISTORICO_MANUT[[#This Row],[Hora Inicio]])*24)</f>
        <v>2.6300000001210719</v>
      </c>
      <c r="S59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92" s="54" t="str">
        <f>IF(AND(TAB_HISTORICO_MANUT[[#This Row],[EXPURGO Mãe]]="SIM",TAB_HISTORICO_MANUT[[#This Row],[Tipo]]="MÃE"),"EXP.MAE",IF(TAB_HISTORICO_MANUT[[#This Row],[EXPURGO Mãe]]="NÃO","NÃO EXP.MAE",T591))</f>
        <v>NÃO EXP.MAE</v>
      </c>
      <c r="U59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92" s="56">
        <f>IF(TAB_HISTORICO_MANUT[[#This Row],[EXPURGO Filhas]]="SIM",MAX(TAB_HISTORICO_MANUT[[#This Row],[Hora Final]]-TAB_HISTORICO_MANUT[[#This Row],[Hora Inicio]],0),0)</f>
        <v>0</v>
      </c>
      <c r="W59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9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92" s="46">
        <v>46155.340474537035</v>
      </c>
      <c r="Z592" s="47">
        <v>46155.450057870374</v>
      </c>
      <c r="AA592" s="48" t="s">
        <v>208</v>
      </c>
      <c r="AB592" s="48" t="s">
        <v>987</v>
      </c>
      <c r="AC592" s="48" t="s">
        <v>204</v>
      </c>
      <c r="AD592" s="46" t="s">
        <v>144</v>
      </c>
      <c r="AE592" s="46" t="s">
        <v>172</v>
      </c>
      <c r="AF592" s="88" t="s">
        <v>210</v>
      </c>
      <c r="AG592" s="105">
        <f>IF(TAB_HISTORICO_MANUT[[#This Row],[Hora Inicio]]="","",MONTH(TAB_HISTORICO_MANUT[[#This Row],[Hora Inicio]]))</f>
        <v>5</v>
      </c>
      <c r="AH592" s="58" t="s">
        <v>985</v>
      </c>
      <c r="AI592" s="43" t="s">
        <v>28</v>
      </c>
      <c r="AJ592" s="43" t="s">
        <v>614</v>
      </c>
      <c r="AK592" s="43" t="s">
        <v>980</v>
      </c>
      <c r="AL592" s="43" t="s">
        <v>279</v>
      </c>
      <c r="AM592" s="114" t="s">
        <v>280</v>
      </c>
      <c r="AN592" s="43" t="s">
        <v>217</v>
      </c>
      <c r="AO592" s="43" t="s">
        <v>349</v>
      </c>
      <c r="AP592" s="43" t="s">
        <v>319</v>
      </c>
    </row>
    <row r="593" spans="1:42" ht="50.1" customHeight="1" x14ac:dyDescent="0.25">
      <c r="A593" s="43">
        <f>MONTH(TAB_HISTORICO_MANUT[[#This Row],[Hora Final]])-MONTH(TAB_HISTORICO_MANUT[[#This Row],[Hora Inicio]])</f>
        <v>0</v>
      </c>
      <c r="B593" s="42"/>
      <c r="C593" s="43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Inicio]]=Z592,TAB_HISTORICO_MANUT[[#This Row],[Equipamento]]=AA592,TAB_HISTORICO_MANUT[[#This Row],[Descricao Despacho]]=AD592),0,1)))</f>
        <v/>
      </c>
      <c r="O59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593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59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593" s="50" t="str">
        <f>IF($Q593="","",(TAB_HISTORICO_MANUT[[#This Row],[Hora Final]]-TAB_HISTORICO_MANUT[[#This Row],[Hora Inicio]])*24)</f>
        <v/>
      </c>
      <c r="S59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593" s="54" t="str">
        <f>IF(AND(TAB_HISTORICO_MANUT[[#This Row],[EXPURGO Mãe]]="SIM",TAB_HISTORICO_MANUT[[#This Row],[Tipo]]="MÃE"),"EXP.MAE",IF(TAB_HISTORICO_MANUT[[#This Row],[EXPURGO Mãe]]="NÃO","NÃO EXP.MAE",T592))</f>
        <v>NÃO EXP.MAE</v>
      </c>
      <c r="U59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593" s="56">
        <f>IF(TAB_HISTORICO_MANUT[[#This Row],[EXPURGO Filhas]]="SIM",MAX(TAB_HISTORICO_MANUT[[#This Row],[Hora Final]]-TAB_HISTORICO_MANUT[[#This Row],[Hora Inicio]],0),0)</f>
        <v>2.9861111106583849E-2</v>
      </c>
      <c r="W59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9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93" s="46">
        <v>46155.406944444447</v>
      </c>
      <c r="Z593" s="47">
        <v>46155.436805555553</v>
      </c>
      <c r="AA593" s="48" t="s">
        <v>208</v>
      </c>
      <c r="AB593" s="48" t="s">
        <v>987</v>
      </c>
      <c r="AC593" s="48" t="s">
        <v>204</v>
      </c>
      <c r="AD593" s="46" t="s">
        <v>144</v>
      </c>
      <c r="AE593" s="46" t="s">
        <v>765</v>
      </c>
      <c r="AF593" s="88" t="s">
        <v>767</v>
      </c>
      <c r="AG593" s="105">
        <f>IF(TAB_HISTORICO_MANUT[[#This Row],[Hora Inicio]]="","",MONTH(TAB_HISTORICO_MANUT[[#This Row],[Hora Inicio]]))</f>
        <v>5</v>
      </c>
      <c r="AH593" s="58" t="s">
        <v>1298</v>
      </c>
      <c r="AI593" s="43" t="s">
        <v>28</v>
      </c>
      <c r="AJ593" s="43" t="s">
        <v>614</v>
      </c>
      <c r="AK593" s="43" t="s">
        <v>980</v>
      </c>
      <c r="AL593" s="43" t="s">
        <v>279</v>
      </c>
      <c r="AM593" s="114" t="s">
        <v>280</v>
      </c>
      <c r="AN593" s="43"/>
      <c r="AO593" s="43"/>
      <c r="AP593" s="43"/>
    </row>
    <row r="594" spans="1:42" ht="50.1" customHeight="1" x14ac:dyDescent="0.25">
      <c r="A594" s="43">
        <f>MONTH(TAB_HISTORICO_MANUT[[#This Row],[Hora Final]])-MONTH(TAB_HISTORICO_MANUT[[#This Row],[Hora Inicio]])</f>
        <v>0</v>
      </c>
      <c r="B594" s="42"/>
      <c r="C594" s="43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Inicio]]=Z593,TAB_HISTORICO_MANUT[[#This Row],[Equipamento]]=AA593,TAB_HISTORICO_MANUT[[#This Row],[Descricao Despacho]]=AD593),0,1)))</f>
        <v>1</v>
      </c>
      <c r="O59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594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9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594" s="50">
        <f>IF($Q594="","",(TAB_HISTORICO_MANUT[[#This Row],[Hora Final]]-TAB_HISTORICO_MANUT[[#This Row],[Hora Inicio]])*24)</f>
        <v>12.161666666564997</v>
      </c>
      <c r="S59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94" s="54" t="str">
        <f>IF(AND(TAB_HISTORICO_MANUT[[#This Row],[EXPURGO Mãe]]="SIM",TAB_HISTORICO_MANUT[[#This Row],[Tipo]]="MÃE"),"EXP.MAE",IF(TAB_HISTORICO_MANUT[[#This Row],[EXPURGO Mãe]]="NÃO","NÃO EXP.MAE",T593))</f>
        <v>NÃO EXP.MAE</v>
      </c>
      <c r="U59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94" s="56">
        <f>IF(TAB_HISTORICO_MANUT[[#This Row],[EXPURGO Filhas]]="SIM",MAX(TAB_HISTORICO_MANUT[[#This Row],[Hora Final]]-TAB_HISTORICO_MANUT[[#This Row],[Hora Inicio]],0),0)</f>
        <v>0</v>
      </c>
      <c r="W59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9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94" s="46">
        <v>46157.263368055559</v>
      </c>
      <c r="Z594" s="47">
        <v>46157.770104166666</v>
      </c>
      <c r="AA594" s="48" t="s">
        <v>208</v>
      </c>
      <c r="AB594" s="48" t="s">
        <v>1001</v>
      </c>
      <c r="AC594" s="43" t="s">
        <v>204</v>
      </c>
      <c r="AD594" s="46" t="s">
        <v>144</v>
      </c>
      <c r="AE594" s="46" t="s">
        <v>172</v>
      </c>
      <c r="AF594" s="88" t="s">
        <v>210</v>
      </c>
      <c r="AG594" s="105">
        <f>IF(TAB_HISTORICO_MANUT[[#This Row],[Hora Inicio]]="","",MONTH(TAB_HISTORICO_MANUT[[#This Row],[Hora Inicio]]))</f>
        <v>5</v>
      </c>
      <c r="AH594" s="58" t="s">
        <v>997</v>
      </c>
      <c r="AI594" s="43" t="s">
        <v>28</v>
      </c>
      <c r="AJ594" s="43" t="s">
        <v>614</v>
      </c>
      <c r="AK594" s="43" t="s">
        <v>980</v>
      </c>
      <c r="AL594" s="43" t="s">
        <v>275</v>
      </c>
      <c r="AM594" s="114" t="s">
        <v>276</v>
      </c>
      <c r="AN594" s="43" t="s">
        <v>217</v>
      </c>
      <c r="AO594" s="43" t="s">
        <v>349</v>
      </c>
      <c r="AP594" s="43" t="s">
        <v>319</v>
      </c>
    </row>
    <row r="595" spans="1:42" ht="50.1" customHeight="1" x14ac:dyDescent="0.25">
      <c r="A595" s="43">
        <f>MONTH(TAB_HISTORICO_MANUT[[#This Row],[Hora Final]])-MONTH(TAB_HISTORICO_MANUT[[#This Row],[Hora Inicio]])</f>
        <v>0</v>
      </c>
      <c r="B595" s="42"/>
      <c r="C595" s="43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Inicio]]=Z594,TAB_HISTORICO_MANUT[[#This Row],[Equipamento]]=AA594,TAB_HISTORICO_MANUT[[#This Row],[Descricao Despacho]]=AD594),0,1)))</f>
        <v>1</v>
      </c>
      <c r="O59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595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9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595" s="50">
        <f>IF($Q595="","",(TAB_HISTORICO_MANUT[[#This Row],[Hora Final]]-TAB_HISTORICO_MANUT[[#This Row],[Hora Inicio]])*24)</f>
        <v>15.3049999998766</v>
      </c>
      <c r="S59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95" s="54" t="str">
        <f>IF(AND(TAB_HISTORICO_MANUT[[#This Row],[EXPURGO Mãe]]="SIM",TAB_HISTORICO_MANUT[[#This Row],[Tipo]]="MÃE"),"EXP.MAE",IF(TAB_HISTORICO_MANUT[[#This Row],[EXPURGO Mãe]]="NÃO","NÃO EXP.MAE",T594))</f>
        <v>NÃO EXP.MAE</v>
      </c>
      <c r="U59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95" s="56">
        <f>IF(TAB_HISTORICO_MANUT[[#This Row],[EXPURGO Filhas]]="SIM",MAX(TAB_HISTORICO_MANUT[[#This Row],[Hora Final]]-TAB_HISTORICO_MANUT[[#This Row],[Hora Inicio]],0),0)</f>
        <v>0</v>
      </c>
      <c r="W59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9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95" s="126">
        <v>46158.405451388891</v>
      </c>
      <c r="Z595" s="47">
        <v>46159.04315972222</v>
      </c>
      <c r="AA595" s="48" t="s">
        <v>208</v>
      </c>
      <c r="AB595" s="48"/>
      <c r="AC595" s="43" t="s">
        <v>301</v>
      </c>
      <c r="AD595" s="46" t="s">
        <v>146</v>
      </c>
      <c r="AE595" s="46" t="s">
        <v>310</v>
      </c>
      <c r="AF595" s="88" t="s">
        <v>210</v>
      </c>
      <c r="AG595" s="105">
        <f>IF(TAB_HISTORICO_MANUT[[#This Row],[Hora Inicio]]="","",MONTH(TAB_HISTORICO_MANUT[[#This Row],[Hora Inicio]]))</f>
        <v>5</v>
      </c>
      <c r="AH595" s="58" t="s">
        <v>1006</v>
      </c>
      <c r="AI595" s="43" t="s">
        <v>340</v>
      </c>
      <c r="AJ595" s="43" t="s">
        <v>436</v>
      </c>
      <c r="AK595" s="43"/>
      <c r="AL595" s="43"/>
      <c r="AM595" s="114"/>
      <c r="AN595" s="43"/>
      <c r="AO595" s="43"/>
      <c r="AP595" s="43"/>
    </row>
    <row r="596" spans="1:42" ht="50.1" customHeight="1" x14ac:dyDescent="0.25">
      <c r="A596" s="43">
        <f>MONTH(TAB_HISTORICO_MANUT[[#This Row],[Hora Final]])-MONTH(TAB_HISTORICO_MANUT[[#This Row],[Hora Inicio]])</f>
        <v>0</v>
      </c>
      <c r="B596" s="42"/>
      <c r="C596" s="43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Inicio]]=Z595,TAB_HISTORICO_MANUT[[#This Row],[Equipamento]]=AA595,TAB_HISTORICO_MANUT[[#This Row],[Descricao Despacho]]=AD595),0,1)))</f>
        <v/>
      </c>
      <c r="O59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596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59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596" s="50" t="str">
        <f>IF($Q596="","",(TAB_HISTORICO_MANUT[[#This Row],[Hora Final]]-TAB_HISTORICO_MANUT[[#This Row],[Hora Inicio]])*24)</f>
        <v/>
      </c>
      <c r="S59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596" s="54" t="str">
        <f>IF(AND(TAB_HISTORICO_MANUT[[#This Row],[EXPURGO Mãe]]="SIM",TAB_HISTORICO_MANUT[[#This Row],[Tipo]]="MÃE"),"EXP.MAE",IF(TAB_HISTORICO_MANUT[[#This Row],[EXPURGO Mãe]]="NÃO","NÃO EXP.MAE",T595))</f>
        <v>NÃO EXP.MAE</v>
      </c>
      <c r="U59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596" s="56">
        <f>IF(TAB_HISTORICO_MANUT[[#This Row],[EXPURGO Filhas]]="SIM",MAX(TAB_HISTORICO_MANUT[[#This Row],[Hora Final]]-TAB_HISTORICO_MANUT[[#This Row],[Hora Inicio]],0),0)</f>
        <v>0.22222222221898846</v>
      </c>
      <c r="W59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9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96" s="46">
        <v>46158.527777777781</v>
      </c>
      <c r="Z596" s="47">
        <v>46158.75</v>
      </c>
      <c r="AA596" s="48" t="s">
        <v>208</v>
      </c>
      <c r="AB596" s="48"/>
      <c r="AC596" s="43" t="s">
        <v>301</v>
      </c>
      <c r="AD596" s="46" t="s">
        <v>146</v>
      </c>
      <c r="AE596" s="46" t="s">
        <v>194</v>
      </c>
      <c r="AF596" s="88" t="s">
        <v>767</v>
      </c>
      <c r="AG596" s="105">
        <f>IF(TAB_HISTORICO_MANUT[[#This Row],[Hora Inicio]]="","",MONTH(TAB_HISTORICO_MANUT[[#This Row],[Hora Inicio]]))</f>
        <v>5</v>
      </c>
      <c r="AH596" s="58" t="s">
        <v>1288</v>
      </c>
      <c r="AI596" s="43" t="s">
        <v>340</v>
      </c>
      <c r="AJ596" s="43" t="s">
        <v>436</v>
      </c>
      <c r="AK596" s="43"/>
      <c r="AL596" s="43"/>
      <c r="AM596" s="114"/>
      <c r="AN596" s="43"/>
      <c r="AO596" s="43"/>
      <c r="AP596" s="43"/>
    </row>
    <row r="597" spans="1:42" ht="50.1" customHeight="1" x14ac:dyDescent="0.25">
      <c r="A597" s="43">
        <f>MONTH(TAB_HISTORICO_MANUT[[#This Row],[Hora Final]])-MONTH(TAB_HISTORICO_MANUT[[#This Row],[Hora Inicio]])</f>
        <v>0</v>
      </c>
      <c r="B597" s="42"/>
      <c r="C597" s="43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Inicio]]=Z596,TAB_HISTORICO_MANUT[[#This Row],[Equipamento]]=AA596,TAB_HISTORICO_MANUT[[#This Row],[Descricao Despacho]]=AD596),0,1)))</f>
        <v/>
      </c>
      <c r="O59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597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59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597" s="50" t="str">
        <f>IF($Q597="","",(TAB_HISTORICO_MANUT[[#This Row],[Hora Final]]-TAB_HISTORICO_MANUT[[#This Row],[Hora Inicio]])*24)</f>
        <v/>
      </c>
      <c r="S59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597" s="54" t="str">
        <f>IF(AND(TAB_HISTORICO_MANUT[[#This Row],[EXPURGO Mãe]]="SIM",TAB_HISTORICO_MANUT[[#This Row],[Tipo]]="MÃE"),"EXP.MAE",IF(TAB_HISTORICO_MANUT[[#This Row],[EXPURGO Mãe]]="NÃO","NÃO EXP.MAE",T596))</f>
        <v>NÃO EXP.MAE</v>
      </c>
      <c r="U59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597" s="56">
        <f>IF(TAB_HISTORICO_MANUT[[#This Row],[EXPURGO Filhas]]="SIM",MAX(TAB_HISTORICO_MANUT[[#This Row],[Hora Final]]-TAB_HISTORICO_MANUT[[#This Row],[Hora Inicio]],0),0)</f>
        <v>0.12638888888614019</v>
      </c>
      <c r="W59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9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97" s="46">
        <v>46158.75</v>
      </c>
      <c r="Z597" s="47">
        <v>46158.876388888886</v>
      </c>
      <c r="AA597" s="48" t="s">
        <v>208</v>
      </c>
      <c r="AB597" s="48"/>
      <c r="AC597" s="43" t="s">
        <v>301</v>
      </c>
      <c r="AD597" s="46" t="s">
        <v>146</v>
      </c>
      <c r="AE597" s="46" t="s">
        <v>194</v>
      </c>
      <c r="AF597" s="88" t="s">
        <v>767</v>
      </c>
      <c r="AG597" s="105">
        <f>IF(TAB_HISTORICO_MANUT[[#This Row],[Hora Inicio]]="","",MONTH(TAB_HISTORICO_MANUT[[#This Row],[Hora Inicio]]))</f>
        <v>5</v>
      </c>
      <c r="AH597" s="58" t="s">
        <v>1288</v>
      </c>
      <c r="AI597" s="43" t="s">
        <v>340</v>
      </c>
      <c r="AJ597" s="43" t="s">
        <v>436</v>
      </c>
      <c r="AK597" s="43"/>
      <c r="AL597" s="43"/>
      <c r="AM597" s="114"/>
      <c r="AN597" s="43"/>
      <c r="AO597" s="43"/>
      <c r="AP597" s="43"/>
    </row>
    <row r="598" spans="1:42" ht="50.1" customHeight="1" x14ac:dyDescent="0.25">
      <c r="A598" s="43">
        <f>MONTH(TAB_HISTORICO_MANUT[[#This Row],[Hora Final]])-MONTH(TAB_HISTORICO_MANUT[[#This Row],[Hora Inicio]])</f>
        <v>0</v>
      </c>
      <c r="B598" s="42"/>
      <c r="C598" s="43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Inicio]]=Z597,TAB_HISTORICO_MANUT[[#This Row],[Equipamento]]=AA597,TAB_HISTORICO_MANUT[[#This Row],[Descricao Despacho]]=AD597),0,1)))</f>
        <v>1</v>
      </c>
      <c r="O59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598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59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598" s="50">
        <f>IF($Q598="","",(TAB_HISTORICO_MANUT[[#This Row],[Hora Final]]-TAB_HISTORICO_MANUT[[#This Row],[Hora Inicio]])*24)</f>
        <v>0.95722222211770713</v>
      </c>
      <c r="S59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98" s="54" t="str">
        <f>IF(AND(TAB_HISTORICO_MANUT[[#This Row],[EXPURGO Mãe]]="SIM",TAB_HISTORICO_MANUT[[#This Row],[Tipo]]="MÃE"),"EXP.MAE",IF(TAB_HISTORICO_MANUT[[#This Row],[EXPURGO Mãe]]="NÃO","NÃO EXP.MAE",T597))</f>
        <v>NÃO EXP.MAE</v>
      </c>
      <c r="U59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98" s="56">
        <f>IF(TAB_HISTORICO_MANUT[[#This Row],[EXPURGO Filhas]]="SIM",MAX(TAB_HISTORICO_MANUT[[#This Row],[Hora Final]]-TAB_HISTORICO_MANUT[[#This Row],[Hora Inicio]],0),0)</f>
        <v>0</v>
      </c>
      <c r="W59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9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98" s="46">
        <v>46161.468009259261</v>
      </c>
      <c r="Z598" s="47">
        <v>46161.507893518516</v>
      </c>
      <c r="AA598" s="48" t="s">
        <v>208</v>
      </c>
      <c r="AB598" s="48"/>
      <c r="AC598" s="43" t="s">
        <v>882</v>
      </c>
      <c r="AD598" s="46" t="s">
        <v>146</v>
      </c>
      <c r="AE598" s="46" t="s">
        <v>883</v>
      </c>
      <c r="AF598" s="88" t="s">
        <v>210</v>
      </c>
      <c r="AG598" s="105">
        <f>IF(TAB_HISTORICO_MANUT[[#This Row],[Hora Inicio]]="","",MONTH(TAB_HISTORICO_MANUT[[#This Row],[Hora Inicio]]))</f>
        <v>5</v>
      </c>
      <c r="AH598" s="58" t="s">
        <v>1009</v>
      </c>
      <c r="AI598" s="43" t="s">
        <v>25</v>
      </c>
      <c r="AJ598" s="43" t="s">
        <v>25</v>
      </c>
      <c r="AK598" s="43" t="s">
        <v>25</v>
      </c>
      <c r="AL598" s="43" t="s">
        <v>25</v>
      </c>
      <c r="AM598" s="114" t="s">
        <v>25</v>
      </c>
      <c r="AN598" s="43"/>
      <c r="AO598" s="43"/>
      <c r="AP598" s="43"/>
    </row>
    <row r="599" spans="1:42" ht="50.1" customHeight="1" x14ac:dyDescent="0.25">
      <c r="A599" s="43">
        <f>MONTH(TAB_HISTORICO_MANUT[[#This Row],[Hora Final]])-MONTH(TAB_HISTORICO_MANUT[[#This Row],[Hora Inicio]])</f>
        <v>0</v>
      </c>
      <c r="B599" s="42"/>
      <c r="C599" s="43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Inicio]]=Z598,TAB_HISTORICO_MANUT[[#This Row],[Equipamento]]=AA598,TAB_HISTORICO_MANUT[[#This Row],[Descricao Despacho]]=AD598),0,1)))</f>
        <v>1</v>
      </c>
      <c r="O59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599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59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599" s="50">
        <f>IF($Q599="","",(TAB_HISTORICO_MANUT[[#This Row],[Hora Final]]-TAB_HISTORICO_MANUT[[#This Row],[Hora Inicio]])*24)</f>
        <v>0.75944444438209757</v>
      </c>
      <c r="S59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599" s="54" t="str">
        <f>IF(AND(TAB_HISTORICO_MANUT[[#This Row],[EXPURGO Mãe]]="SIM",TAB_HISTORICO_MANUT[[#This Row],[Tipo]]="MÃE"),"EXP.MAE",IF(TAB_HISTORICO_MANUT[[#This Row],[EXPURGO Mãe]]="NÃO","NÃO EXP.MAE",T598))</f>
        <v>NÃO EXP.MAE</v>
      </c>
      <c r="U59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599" s="56">
        <f>IF(TAB_HISTORICO_MANUT[[#This Row],[EXPURGO Filhas]]="SIM",MAX(TAB_HISTORICO_MANUT[[#This Row],[Hora Final]]-TAB_HISTORICO_MANUT[[#This Row],[Hora Inicio]],0),0)</f>
        <v>0</v>
      </c>
      <c r="W59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59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599" s="46">
        <v>46163.476481481484</v>
      </c>
      <c r="Z599" s="47">
        <v>46163.508125</v>
      </c>
      <c r="AA599" s="48" t="s">
        <v>208</v>
      </c>
      <c r="AB599" s="48" t="s">
        <v>1011</v>
      </c>
      <c r="AC599" s="43" t="s">
        <v>204</v>
      </c>
      <c r="AD599" s="46" t="s">
        <v>144</v>
      </c>
      <c r="AE599" s="46" t="s">
        <v>172</v>
      </c>
      <c r="AF599" s="88" t="s">
        <v>210</v>
      </c>
      <c r="AG599" s="105">
        <f>IF(TAB_HISTORICO_MANUT[[#This Row],[Hora Inicio]]="","",MONTH(TAB_HISTORICO_MANUT[[#This Row],[Hora Inicio]]))</f>
        <v>5</v>
      </c>
      <c r="AH599" s="58" t="s">
        <v>1028</v>
      </c>
      <c r="AI599" s="43" t="s">
        <v>28</v>
      </c>
      <c r="AJ599" s="43" t="s">
        <v>30</v>
      </c>
      <c r="AK599" s="43" t="s">
        <v>462</v>
      </c>
      <c r="AL599" s="43" t="s">
        <v>275</v>
      </c>
      <c r="AM599" s="114" t="s">
        <v>238</v>
      </c>
      <c r="AN599" s="43" t="s">
        <v>217</v>
      </c>
      <c r="AO599" s="43" t="s">
        <v>316</v>
      </c>
      <c r="AP599" s="43" t="s">
        <v>1023</v>
      </c>
    </row>
    <row r="600" spans="1:42" ht="50.1" customHeight="1" x14ac:dyDescent="0.25">
      <c r="A600" s="43">
        <f>MONTH(TAB_HISTORICO_MANUT[[#This Row],[Hora Final]])-MONTH(TAB_HISTORICO_MANUT[[#This Row],[Hora Inicio]])</f>
        <v>0</v>
      </c>
      <c r="B600" s="42"/>
      <c r="C600" s="43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Inicio]]=Z599,TAB_HISTORICO_MANUT[[#This Row],[Equipamento]]=AA599,TAB_HISTORICO_MANUT[[#This Row],[Descricao Despacho]]=AD599),0,1)))</f>
        <v>1</v>
      </c>
      <c r="O60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600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0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00" s="50">
        <f>IF($Q600="","",(TAB_HISTORICO_MANUT[[#This Row],[Hora Final]]-TAB_HISTORICO_MANUT[[#This Row],[Hora Inicio]])*24)</f>
        <v>1.0547222223831341</v>
      </c>
      <c r="S60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00" s="54" t="str">
        <f>IF(AND(TAB_HISTORICO_MANUT[[#This Row],[EXPURGO Mãe]]="SIM",TAB_HISTORICO_MANUT[[#This Row],[Tipo]]="MÃE"),"EXP.MAE",IF(TAB_HISTORICO_MANUT[[#This Row],[EXPURGO Mãe]]="NÃO","NÃO EXP.MAE",T599))</f>
        <v>NÃO EXP.MAE</v>
      </c>
      <c r="U60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00" s="56">
        <f>IF(TAB_HISTORICO_MANUT[[#This Row],[EXPURGO Filhas]]="SIM",MAX(TAB_HISTORICO_MANUT[[#This Row],[Hora Final]]-TAB_HISTORICO_MANUT[[#This Row],[Hora Inicio]],0),0)</f>
        <v>0</v>
      </c>
      <c r="W60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0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00" s="46">
        <v>46163.610138888886</v>
      </c>
      <c r="Z600" s="47">
        <v>46163.654085648152</v>
      </c>
      <c r="AA600" s="48" t="s">
        <v>208</v>
      </c>
      <c r="AB600" s="48" t="s">
        <v>1012</v>
      </c>
      <c r="AC600" s="43" t="s">
        <v>204</v>
      </c>
      <c r="AD600" s="46" t="s">
        <v>144</v>
      </c>
      <c r="AE600" s="46" t="s">
        <v>172</v>
      </c>
      <c r="AF600" s="88" t="s">
        <v>210</v>
      </c>
      <c r="AG600" s="105">
        <f>IF(TAB_HISTORICO_MANUT[[#This Row],[Hora Inicio]]="","",MONTH(TAB_HISTORICO_MANUT[[#This Row],[Hora Inicio]]))</f>
        <v>5</v>
      </c>
      <c r="AH600" s="58" t="s">
        <v>1029</v>
      </c>
      <c r="AI600" s="43" t="s">
        <v>22</v>
      </c>
      <c r="AJ600" s="43" t="s">
        <v>762</v>
      </c>
      <c r="AK600" s="43" t="s">
        <v>1047</v>
      </c>
      <c r="AL600" s="43" t="s">
        <v>1048</v>
      </c>
      <c r="AM600" s="114" t="s">
        <v>294</v>
      </c>
      <c r="AN600" s="43" t="s">
        <v>215</v>
      </c>
      <c r="AO600" s="43" t="s">
        <v>1024</v>
      </c>
      <c r="AP600" s="43" t="s">
        <v>1025</v>
      </c>
    </row>
    <row r="601" spans="1:42" ht="50.1" customHeight="1" x14ac:dyDescent="0.25">
      <c r="A601" s="43">
        <f>MONTH(TAB_HISTORICO_MANUT[[#This Row],[Hora Final]])-MONTH(TAB_HISTORICO_MANUT[[#This Row],[Hora Inicio]])</f>
        <v>0</v>
      </c>
      <c r="B601" s="42"/>
      <c r="C601" s="43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Inicio]]=Z600,TAB_HISTORICO_MANUT[[#This Row],[Equipamento]]=AA600,TAB_HISTORICO_MANUT[[#This Row],[Descricao Despacho]]=AD600),0,1)))</f>
        <v>1</v>
      </c>
      <c r="O60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601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0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01" s="50">
        <f>IF($Q601="","",(TAB_HISTORICO_MANUT[[#This Row],[Hora Final]]-TAB_HISTORICO_MANUT[[#This Row],[Hora Inicio]])*24)</f>
        <v>4.3966666667838581</v>
      </c>
      <c r="S60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01" s="54" t="str">
        <f>IF(AND(TAB_HISTORICO_MANUT[[#This Row],[EXPURGO Mãe]]="SIM",TAB_HISTORICO_MANUT[[#This Row],[Tipo]]="MÃE"),"EXP.MAE",IF(TAB_HISTORICO_MANUT[[#This Row],[EXPURGO Mãe]]="NÃO","NÃO EXP.MAE",T600))</f>
        <v>NÃO EXP.MAE</v>
      </c>
      <c r="U60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01" s="56">
        <f>IF(TAB_HISTORICO_MANUT[[#This Row],[EXPURGO Filhas]]="SIM",MAX(TAB_HISTORICO_MANUT[[#This Row],[Hora Final]]-TAB_HISTORICO_MANUT[[#This Row],[Hora Inicio]],0),0)</f>
        <v>0</v>
      </c>
      <c r="W60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0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01" s="46">
        <v>46164.374363425923</v>
      </c>
      <c r="Z601" s="47">
        <v>46164.557557870372</v>
      </c>
      <c r="AA601" s="48" t="s">
        <v>208</v>
      </c>
      <c r="AB601" s="48" t="s">
        <v>1015</v>
      </c>
      <c r="AC601" s="43" t="s">
        <v>204</v>
      </c>
      <c r="AD601" s="46" t="s">
        <v>144</v>
      </c>
      <c r="AE601" s="46" t="s">
        <v>172</v>
      </c>
      <c r="AF601" s="88" t="s">
        <v>210</v>
      </c>
      <c r="AG601" s="105">
        <f>IF(TAB_HISTORICO_MANUT[[#This Row],[Hora Inicio]]="","",MONTH(TAB_HISTORICO_MANUT[[#This Row],[Hora Inicio]]))</f>
        <v>5</v>
      </c>
      <c r="AH601" s="58" t="s">
        <v>1032</v>
      </c>
      <c r="AI601" s="43" t="s">
        <v>24</v>
      </c>
      <c r="AJ601" s="43" t="s">
        <v>223</v>
      </c>
      <c r="AK601" s="43" t="s">
        <v>422</v>
      </c>
      <c r="AL601" s="43" t="s">
        <v>1045</v>
      </c>
      <c r="AM601" s="114" t="s">
        <v>280</v>
      </c>
      <c r="AN601" s="43" t="s">
        <v>217</v>
      </c>
      <c r="AO601" s="43" t="s">
        <v>405</v>
      </c>
      <c r="AP601" s="43" t="s">
        <v>403</v>
      </c>
    </row>
    <row r="602" spans="1:42" ht="50.1" customHeight="1" x14ac:dyDescent="0.25">
      <c r="A602" s="115">
        <f>MONTH(TAB_HISTORICO_MANUT[[#This Row],[Hora Final]])-MONTH(TAB_HISTORICO_MANUT[[#This Row],[Hora Inicio]])</f>
        <v>0</v>
      </c>
      <c r="B602" s="116"/>
      <c r="C602" s="115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Inicio]]=Z601,TAB_HISTORICO_MANUT[[#This Row],[Equipamento]]=AA601,TAB_HISTORICO_MANUT[[#This Row],[Descricao Despacho]]=AD601),0,1)))</f>
        <v>1</v>
      </c>
      <c r="O60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60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60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602" s="107">
        <f>IF($Q602="","",(TAB_HISTORICO_MANUT[[#This Row],[Hora Final]]-TAB_HISTORICO_MANUT[[#This Row],[Hora Inicio]])*24)</f>
        <v>0.49527777777984738</v>
      </c>
      <c r="S60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02" s="109" t="str">
        <f>IF(AND(TAB_HISTORICO_MANUT[[#This Row],[EXPURGO Mãe]]="SIM",TAB_HISTORICO_MANUT[[#This Row],[Tipo]]="MÃE"),"EXP.MAE",IF(TAB_HISTORICO_MANUT[[#This Row],[EXPURGO Mãe]]="NÃO","NÃO EXP.MAE",T601))</f>
        <v>NÃO EXP.MAE</v>
      </c>
      <c r="U60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02" s="110">
        <f>IF(TAB_HISTORICO_MANUT[[#This Row],[EXPURGO Filhas]]="SIM",MAX(TAB_HISTORICO_MANUT[[#This Row],[Hora Final]]-TAB_HISTORICO_MANUT[[#This Row],[Hora Inicio]],0),0)</f>
        <v>0</v>
      </c>
      <c r="W60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0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02" s="117">
        <v>46164.992361111108</v>
      </c>
      <c r="Z602" s="118">
        <v>46165.012997685182</v>
      </c>
      <c r="AA602" s="119" t="s">
        <v>208</v>
      </c>
      <c r="AB602" s="119"/>
      <c r="AC602" s="115" t="s">
        <v>205</v>
      </c>
      <c r="AD602" s="117" t="s">
        <v>145</v>
      </c>
      <c r="AE602" s="117" t="s">
        <v>173</v>
      </c>
      <c r="AF602" s="88" t="s">
        <v>210</v>
      </c>
      <c r="AG602" s="123">
        <f>IF(TAB_HISTORICO_MANUT[[#This Row],[Hora Inicio]]="","",MONTH(TAB_HISTORICO_MANUT[[#This Row],[Hora Inicio]]))</f>
        <v>5</v>
      </c>
      <c r="AH602" s="120" t="s">
        <v>1036</v>
      </c>
      <c r="AI602" s="115" t="s">
        <v>21</v>
      </c>
      <c r="AJ602" s="115" t="s">
        <v>21</v>
      </c>
      <c r="AK602" s="115" t="s">
        <v>21</v>
      </c>
      <c r="AL602" s="115" t="s">
        <v>21</v>
      </c>
      <c r="AM602" s="121" t="s">
        <v>21</v>
      </c>
      <c r="AN602" s="115"/>
      <c r="AO602" s="115"/>
      <c r="AP602" s="115"/>
    </row>
    <row r="603" spans="1:42" ht="50.1" customHeight="1" x14ac:dyDescent="0.25">
      <c r="A603" s="115">
        <f>MONTH(TAB_HISTORICO_MANUT[[#This Row],[Hora Final]])-MONTH(TAB_HISTORICO_MANUT[[#This Row],[Hora Inicio]])</f>
        <v>0</v>
      </c>
      <c r="B603" s="116"/>
      <c r="C603" s="115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Inicio]]=Z602,TAB_HISTORICO_MANUT[[#This Row],[Equipamento]]=AA602,TAB_HISTORICO_MANUT[[#This Row],[Descricao Despacho]]=AD602),0,1)))</f>
        <v>1</v>
      </c>
      <c r="O60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60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0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03" s="107">
        <f>IF($Q603="","",(TAB_HISTORICO_MANUT[[#This Row],[Hora Final]]-TAB_HISTORICO_MANUT[[#This Row],[Hora Inicio]])*24)</f>
        <v>4.8241666666581295</v>
      </c>
      <c r="S60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03" s="109" t="str">
        <f>IF(AND(TAB_HISTORICO_MANUT[[#This Row],[EXPURGO Mãe]]="SIM",TAB_HISTORICO_MANUT[[#This Row],[Tipo]]="MÃE"),"EXP.MAE",IF(TAB_HISTORICO_MANUT[[#This Row],[EXPURGO Mãe]]="NÃO","NÃO EXP.MAE",T602))</f>
        <v>NÃO EXP.MAE</v>
      </c>
      <c r="U60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03" s="110">
        <f>IF(TAB_HISTORICO_MANUT[[#This Row],[EXPURGO Filhas]]="SIM",MAX(TAB_HISTORICO_MANUT[[#This Row],[Hora Final]]-TAB_HISTORICO_MANUT[[#This Row],[Hora Inicio]],0),0)</f>
        <v>0</v>
      </c>
      <c r="W60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0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03" s="117">
        <v>46165.83016203704</v>
      </c>
      <c r="Z603" s="118">
        <v>46166.031168981484</v>
      </c>
      <c r="AA603" s="119" t="s">
        <v>208</v>
      </c>
      <c r="AB603" s="119" t="s">
        <v>1019</v>
      </c>
      <c r="AC603" s="115" t="s">
        <v>204</v>
      </c>
      <c r="AD603" s="117" t="s">
        <v>144</v>
      </c>
      <c r="AE603" s="117" t="s">
        <v>172</v>
      </c>
      <c r="AF603" s="88" t="s">
        <v>210</v>
      </c>
      <c r="AG603" s="123">
        <f>IF(TAB_HISTORICO_MANUT[[#This Row],[Hora Inicio]]="","",MONTH(TAB_HISTORICO_MANUT[[#This Row],[Hora Inicio]]))</f>
        <v>5</v>
      </c>
      <c r="AH603" s="120" t="s">
        <v>1038</v>
      </c>
      <c r="AI603" s="115" t="s">
        <v>22</v>
      </c>
      <c r="AJ603" s="115" t="s">
        <v>647</v>
      </c>
      <c r="AK603" s="115" t="s">
        <v>648</v>
      </c>
      <c r="AL603" s="115" t="s">
        <v>282</v>
      </c>
      <c r="AM603" s="121" t="s">
        <v>283</v>
      </c>
      <c r="AN603" s="115" t="s">
        <v>215</v>
      </c>
      <c r="AO603" s="115" t="s">
        <v>634</v>
      </c>
      <c r="AP603" s="115" t="s">
        <v>635</v>
      </c>
    </row>
    <row r="604" spans="1:42" ht="50.1" customHeight="1" x14ac:dyDescent="0.25">
      <c r="A604" s="115">
        <f>MONTH(TAB_HISTORICO_MANUT[[#This Row],[Hora Final]])-MONTH(TAB_HISTORICO_MANUT[[#This Row],[Hora Inicio]])</f>
        <v>0</v>
      </c>
      <c r="B604" s="116"/>
      <c r="C604" s="115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Inicio]]=Z603,TAB_HISTORICO_MANUT[[#This Row],[Equipamento]]=AA603,TAB_HISTORICO_MANUT[[#This Row],[Descricao Despacho]]=AD603),0,1)))</f>
        <v>1</v>
      </c>
      <c r="O60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SUSPENSÃO</v>
      </c>
      <c r="P60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0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04" s="107">
        <f>IF($Q604="","",(TAB_HISTORICO_MANUT[[#This Row],[Hora Final]]-TAB_HISTORICO_MANUT[[#This Row],[Hora Inicio]])*24)</f>
        <v>3.0113888887572102</v>
      </c>
      <c r="S60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04" s="109" t="str">
        <f>IF(AND(TAB_HISTORICO_MANUT[[#This Row],[EXPURGO Mãe]]="SIM",TAB_HISTORICO_MANUT[[#This Row],[Tipo]]="MÃE"),"EXP.MAE",IF(TAB_HISTORICO_MANUT[[#This Row],[EXPURGO Mãe]]="NÃO","NÃO EXP.MAE",T603))</f>
        <v>NÃO EXP.MAE</v>
      </c>
      <c r="U60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04" s="110">
        <f>IF(TAB_HISTORICO_MANUT[[#This Row],[EXPURGO Filhas]]="SIM",MAX(TAB_HISTORICO_MANUT[[#This Row],[Hora Final]]-TAB_HISTORICO_MANUT[[#This Row],[Hora Inicio]],0),0)</f>
        <v>0</v>
      </c>
      <c r="W60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0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04" s="117">
        <v>46166.08803240741</v>
      </c>
      <c r="Z604" s="118">
        <v>46166.213506944441</v>
      </c>
      <c r="AA604" s="119" t="s">
        <v>208</v>
      </c>
      <c r="AB604" s="119" t="s">
        <v>1020</v>
      </c>
      <c r="AC604" s="115" t="s">
        <v>204</v>
      </c>
      <c r="AD604" s="117" t="s">
        <v>144</v>
      </c>
      <c r="AE604" s="117" t="s">
        <v>172</v>
      </c>
      <c r="AF604" s="88" t="s">
        <v>210</v>
      </c>
      <c r="AG604" s="123">
        <f>IF(TAB_HISTORICO_MANUT[[#This Row],[Hora Inicio]]="","",MONTH(TAB_HISTORICO_MANUT[[#This Row],[Hora Inicio]]))</f>
        <v>5</v>
      </c>
      <c r="AH604" s="120" t="s">
        <v>1039</v>
      </c>
      <c r="AI604" s="115" t="s">
        <v>39</v>
      </c>
      <c r="AJ604" s="115" t="s">
        <v>762</v>
      </c>
      <c r="AK604" s="115" t="s">
        <v>762</v>
      </c>
      <c r="AL604" s="115" t="s">
        <v>1049</v>
      </c>
      <c r="AM604" s="121" t="s">
        <v>294</v>
      </c>
      <c r="AN604" s="115" t="s">
        <v>217</v>
      </c>
      <c r="AO604" s="115" t="s">
        <v>755</v>
      </c>
      <c r="AP604" s="115" t="s">
        <v>756</v>
      </c>
    </row>
    <row r="605" spans="1:42" ht="50.1" customHeight="1" x14ac:dyDescent="0.25">
      <c r="A605" s="115">
        <f>MONTH(TAB_HISTORICO_MANUT[[#This Row],[Hora Final]])-MONTH(TAB_HISTORICO_MANUT[[#This Row],[Hora Inicio]])</f>
        <v>0</v>
      </c>
      <c r="B605" s="116"/>
      <c r="C605" s="115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Inicio]]=Z604,TAB_HISTORICO_MANUT[[#This Row],[Equipamento]]=AA604,TAB_HISTORICO_MANUT[[#This Row],[Descricao Despacho]]=AD604),0,1)))</f>
        <v/>
      </c>
      <c r="O60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605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60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605" s="107" t="str">
        <f>IF($Q605="","",(TAB_HISTORICO_MANUT[[#This Row],[Hora Final]]-TAB_HISTORICO_MANUT[[#This Row],[Hora Inicio]])*24)</f>
        <v/>
      </c>
      <c r="S60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605" s="109" t="str">
        <f>IF(AND(TAB_HISTORICO_MANUT[[#This Row],[EXPURGO Mãe]]="SIM",TAB_HISTORICO_MANUT[[#This Row],[Tipo]]="MÃE"),"EXP.MAE",IF(TAB_HISTORICO_MANUT[[#This Row],[EXPURGO Mãe]]="NÃO","NÃO EXP.MAE",T604))</f>
        <v>NÃO EXP.MAE</v>
      </c>
      <c r="U60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605" s="110">
        <f>IF(TAB_HISTORICO_MANUT[[#This Row],[EXPURGO Filhas]]="SIM",MAX(TAB_HISTORICO_MANUT[[#This Row],[Hora Final]]-TAB_HISTORICO_MANUT[[#This Row],[Hora Inicio]],0),0)</f>
        <v>0.10624999999708962</v>
      </c>
      <c r="W60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0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05" s="117">
        <v>46166.090277777781</v>
      </c>
      <c r="Z605" s="118">
        <v>46166.196527777778</v>
      </c>
      <c r="AA605" s="119" t="s">
        <v>208</v>
      </c>
      <c r="AB605" s="119" t="s">
        <v>1020</v>
      </c>
      <c r="AC605" s="115" t="s">
        <v>204</v>
      </c>
      <c r="AD605" s="117" t="s">
        <v>144</v>
      </c>
      <c r="AE605" s="117" t="s">
        <v>766</v>
      </c>
      <c r="AF605" s="88" t="s">
        <v>767</v>
      </c>
      <c r="AG605" s="123">
        <f>IF(TAB_HISTORICO_MANUT[[#This Row],[Hora Inicio]]="","",MONTH(TAB_HISTORICO_MANUT[[#This Row],[Hora Inicio]]))</f>
        <v>5</v>
      </c>
      <c r="AH605" s="120" t="s">
        <v>1294</v>
      </c>
      <c r="AI605" s="115" t="s">
        <v>39</v>
      </c>
      <c r="AJ605" s="115" t="s">
        <v>762</v>
      </c>
      <c r="AK605" s="115" t="s">
        <v>762</v>
      </c>
      <c r="AL605" s="115" t="s">
        <v>1049</v>
      </c>
      <c r="AM605" s="121" t="s">
        <v>294</v>
      </c>
      <c r="AN605" s="115"/>
      <c r="AO605" s="115"/>
      <c r="AP605" s="115"/>
    </row>
    <row r="606" spans="1:42" ht="50.1" customHeight="1" x14ac:dyDescent="0.25">
      <c r="A606" s="115">
        <f>MONTH(TAB_HISTORICO_MANUT[[#This Row],[Hora Final]])-MONTH(TAB_HISTORICO_MANUT[[#This Row],[Hora Inicio]])</f>
        <v>0</v>
      </c>
      <c r="B606" s="116"/>
      <c r="C606" s="115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Inicio]]=Z605,TAB_HISTORICO_MANUT[[#This Row],[Equipamento]]=AA605,TAB_HISTORICO_MANUT[[#This Row],[Descricao Despacho]]=AD605),0,1)))</f>
        <v>1</v>
      </c>
      <c r="O60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SUSPENSÃO</v>
      </c>
      <c r="P60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0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06" s="107">
        <f>IF($Q606="","",(TAB_HISTORICO_MANUT[[#This Row],[Hora Final]]-TAB_HISTORICO_MANUT[[#This Row],[Hora Inicio]])*24)</f>
        <v>7.4525000000721775</v>
      </c>
      <c r="S60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06" s="109" t="str">
        <f>IF(AND(TAB_HISTORICO_MANUT[[#This Row],[EXPURGO Mãe]]="SIM",TAB_HISTORICO_MANUT[[#This Row],[Tipo]]="MÃE"),"EXP.MAE",IF(TAB_HISTORICO_MANUT[[#This Row],[EXPURGO Mãe]]="NÃO","NÃO EXP.MAE",T605))</f>
        <v>NÃO EXP.MAE</v>
      </c>
      <c r="U60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06" s="110">
        <f>IF(TAB_HISTORICO_MANUT[[#This Row],[EXPURGO Filhas]]="SIM",MAX(TAB_HISTORICO_MANUT[[#This Row],[Hora Final]]-TAB_HISTORICO_MANUT[[#This Row],[Hora Inicio]],0),0)</f>
        <v>0</v>
      </c>
      <c r="W60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0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06" s="117">
        <v>46166.287465277775</v>
      </c>
      <c r="Z606" s="118">
        <v>46166.597986111112</v>
      </c>
      <c r="AA606" s="119" t="s">
        <v>208</v>
      </c>
      <c r="AB606" s="119" t="s">
        <v>1021</v>
      </c>
      <c r="AC606" s="115" t="s">
        <v>204</v>
      </c>
      <c r="AD606" s="117" t="s">
        <v>144</v>
      </c>
      <c r="AE606" s="117" t="s">
        <v>172</v>
      </c>
      <c r="AF606" s="88" t="s">
        <v>210</v>
      </c>
      <c r="AG606" s="123">
        <f>IF(TAB_HISTORICO_MANUT[[#This Row],[Hora Inicio]]="","",MONTH(TAB_HISTORICO_MANUT[[#This Row],[Hora Inicio]]))</f>
        <v>5</v>
      </c>
      <c r="AH606" s="120" t="s">
        <v>1040</v>
      </c>
      <c r="AI606" s="115" t="s">
        <v>39</v>
      </c>
      <c r="AJ606" s="115" t="s">
        <v>762</v>
      </c>
      <c r="AK606" s="115" t="s">
        <v>762</v>
      </c>
      <c r="AL606" s="115" t="s">
        <v>1049</v>
      </c>
      <c r="AM606" s="121" t="s">
        <v>294</v>
      </c>
      <c r="AN606" s="115" t="s">
        <v>217</v>
      </c>
      <c r="AO606" s="115" t="s">
        <v>755</v>
      </c>
      <c r="AP606" s="115" t="s">
        <v>756</v>
      </c>
    </row>
    <row r="607" spans="1:42" ht="50.1" customHeight="1" x14ac:dyDescent="0.25">
      <c r="A607" s="115">
        <f>MONTH(TAB_HISTORICO_MANUT[[#This Row],[Hora Final]])-MONTH(TAB_HISTORICO_MANUT[[#This Row],[Hora Inicio]])</f>
        <v>0</v>
      </c>
      <c r="B607" s="116"/>
      <c r="C607" s="115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Inicio]]=Z606,TAB_HISTORICO_MANUT[[#This Row],[Equipamento]]=AA606,TAB_HISTORICO_MANUT[[#This Row],[Descricao Despacho]]=AD606),0,1)))</f>
        <v/>
      </c>
      <c r="O60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607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60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607" s="107" t="str">
        <f>IF($Q607="","",(TAB_HISTORICO_MANUT[[#This Row],[Hora Final]]-TAB_HISTORICO_MANUT[[#This Row],[Hora Inicio]])*24)</f>
        <v/>
      </c>
      <c r="S60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607" s="109" t="str">
        <f>IF(AND(TAB_HISTORICO_MANUT[[#This Row],[EXPURGO Mãe]]="SIM",TAB_HISTORICO_MANUT[[#This Row],[Tipo]]="MÃE"),"EXP.MAE",IF(TAB_HISTORICO_MANUT[[#This Row],[EXPURGO Mãe]]="NÃO","NÃO EXP.MAE",T606))</f>
        <v>NÃO EXP.MAE</v>
      </c>
      <c r="U60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607" s="110">
        <f>IF(TAB_HISTORICO_MANUT[[#This Row],[EXPURGO Filhas]]="SIM",MAX(TAB_HISTORICO_MANUT[[#This Row],[Hora Final]]-TAB_HISTORICO_MANUT[[#This Row],[Hora Inicio]],0),0)</f>
        <v>8.5416666668606922E-2</v>
      </c>
      <c r="W60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0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07" s="117">
        <v>46166.321527777778</v>
      </c>
      <c r="Z607" s="118">
        <v>46166.406944444447</v>
      </c>
      <c r="AA607" s="119" t="s">
        <v>208</v>
      </c>
      <c r="AB607" s="119" t="s">
        <v>1021</v>
      </c>
      <c r="AC607" s="115" t="s">
        <v>204</v>
      </c>
      <c r="AD607" s="117" t="s">
        <v>144</v>
      </c>
      <c r="AE607" s="117" t="s">
        <v>784</v>
      </c>
      <c r="AF607" s="88" t="s">
        <v>767</v>
      </c>
      <c r="AG607" s="123">
        <f>IF(TAB_HISTORICO_MANUT[[#This Row],[Hora Inicio]]="","",MONTH(TAB_HISTORICO_MANUT[[#This Row],[Hora Inicio]]))</f>
        <v>5</v>
      </c>
      <c r="AH607" s="120" t="s">
        <v>1295</v>
      </c>
      <c r="AI607" s="115" t="s">
        <v>39</v>
      </c>
      <c r="AJ607" s="115" t="s">
        <v>762</v>
      </c>
      <c r="AK607" s="115" t="s">
        <v>762</v>
      </c>
      <c r="AL607" s="115" t="s">
        <v>1049</v>
      </c>
      <c r="AM607" s="121" t="s">
        <v>294</v>
      </c>
      <c r="AN607" s="115"/>
      <c r="AO607" s="115"/>
      <c r="AP607" s="115"/>
    </row>
    <row r="608" spans="1:42" ht="50.1" customHeight="1" x14ac:dyDescent="0.25">
      <c r="A608" s="115">
        <f>MONTH(TAB_HISTORICO_MANUT[[#This Row],[Hora Final]])-MONTH(TAB_HISTORICO_MANUT[[#This Row],[Hora Inicio]])</f>
        <v>0</v>
      </c>
      <c r="B608" s="116"/>
      <c r="C608" s="115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Inicio]]=Z607,TAB_HISTORICO_MANUT[[#This Row],[Equipamento]]=AA607,TAB_HISTORICO_MANUT[[#This Row],[Descricao Despacho]]=AD607),0,1)))</f>
        <v>1</v>
      </c>
      <c r="O60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60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0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08" s="107">
        <f>IF($Q608="","",(TAB_HISTORICO_MANUT[[#This Row],[Hora Final]]-TAB_HISTORICO_MANUT[[#This Row],[Hora Inicio]])*24)</f>
        <v>8.3463888888945803</v>
      </c>
      <c r="S60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08" s="109" t="str">
        <f>IF(AND(TAB_HISTORICO_MANUT[[#This Row],[EXPURGO Mãe]]="SIM",TAB_HISTORICO_MANUT[[#This Row],[Tipo]]="MÃE"),"EXP.MAE",IF(TAB_HISTORICO_MANUT[[#This Row],[EXPURGO Mãe]]="NÃO","NÃO EXP.MAE",T607))</f>
        <v>NÃO EXP.MAE</v>
      </c>
      <c r="U60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08" s="110">
        <f>IF(TAB_HISTORICO_MANUT[[#This Row],[EXPURGO Filhas]]="SIM",MAX(TAB_HISTORICO_MANUT[[#This Row],[Hora Final]]-TAB_HISTORICO_MANUT[[#This Row],[Hora Inicio]],0),0)</f>
        <v>0</v>
      </c>
      <c r="W60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0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08" s="117">
        <v>46168.263888888891</v>
      </c>
      <c r="Z608" s="118">
        <v>46168.611655092594</v>
      </c>
      <c r="AA608" s="119" t="s">
        <v>208</v>
      </c>
      <c r="AB608" s="119" t="s">
        <v>1050</v>
      </c>
      <c r="AC608" s="115" t="s">
        <v>204</v>
      </c>
      <c r="AD608" s="117" t="s">
        <v>144</v>
      </c>
      <c r="AE608" s="117" t="s">
        <v>172</v>
      </c>
      <c r="AF608" s="88" t="s">
        <v>210</v>
      </c>
      <c r="AG608" s="123">
        <f>IF(TAB_HISTORICO_MANUT[[#This Row],[Hora Inicio]]="","",MONTH(TAB_HISTORICO_MANUT[[#This Row],[Hora Inicio]]))</f>
        <v>5</v>
      </c>
      <c r="AH608" s="120" t="s">
        <v>1057</v>
      </c>
      <c r="AI608" s="115" t="s">
        <v>23</v>
      </c>
      <c r="AJ608" s="115" t="s">
        <v>43</v>
      </c>
      <c r="AK608" s="115" t="s">
        <v>1046</v>
      </c>
      <c r="AL608" s="115" t="s">
        <v>540</v>
      </c>
      <c r="AM608" s="121" t="s">
        <v>541</v>
      </c>
      <c r="AN608" s="115" t="s">
        <v>217</v>
      </c>
      <c r="AO608" s="115" t="s">
        <v>453</v>
      </c>
      <c r="AP608" s="115" t="s">
        <v>1055</v>
      </c>
    </row>
    <row r="609" spans="1:42" ht="50.1" customHeight="1" x14ac:dyDescent="0.25">
      <c r="A609" s="115">
        <f>MONTH(TAB_HISTORICO_MANUT[[#This Row],[Hora Final]])-MONTH(TAB_HISTORICO_MANUT[[#This Row],[Hora Inicio]])</f>
        <v>0</v>
      </c>
      <c r="B609" s="116"/>
      <c r="C609" s="115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Inicio]]=Z608,TAB_HISTORICO_MANUT[[#This Row],[Equipamento]]=AA608,TAB_HISTORICO_MANUT[[#This Row],[Descricao Despacho]]=AD608),0,1)))</f>
        <v/>
      </c>
      <c r="O60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609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60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609" s="107" t="str">
        <f>IF($Q609="","",(TAB_HISTORICO_MANUT[[#This Row],[Hora Final]]-TAB_HISTORICO_MANUT[[#This Row],[Hora Inicio]])*24)</f>
        <v/>
      </c>
      <c r="S60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609" s="109" t="str">
        <f>IF(AND(TAB_HISTORICO_MANUT[[#This Row],[EXPURGO Mãe]]="SIM",TAB_HISTORICO_MANUT[[#This Row],[Tipo]]="MÃE"),"EXP.MAE",IF(TAB_HISTORICO_MANUT[[#This Row],[EXPURGO Mãe]]="NÃO","NÃO EXP.MAE",T608))</f>
        <v>NÃO EXP.MAE</v>
      </c>
      <c r="U60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609" s="110">
        <f>IF(TAB_HISTORICO_MANUT[[#This Row],[EXPURGO Filhas]]="SIM",MAX(TAB_HISTORICO_MANUT[[#This Row],[Hora Final]]-TAB_HISTORICO_MANUT[[#This Row],[Hora Inicio]],0),0)</f>
        <v>8.3333333335758653E-2</v>
      </c>
      <c r="W60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0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09" s="117">
        <v>46168.3125</v>
      </c>
      <c r="Z609" s="118">
        <v>46168.395833333336</v>
      </c>
      <c r="AA609" s="119" t="s">
        <v>208</v>
      </c>
      <c r="AB609" s="119" t="s">
        <v>1050</v>
      </c>
      <c r="AC609" s="115" t="s">
        <v>204</v>
      </c>
      <c r="AD609" s="117" t="s">
        <v>144</v>
      </c>
      <c r="AE609" s="117" t="s">
        <v>784</v>
      </c>
      <c r="AF609" s="88" t="s">
        <v>767</v>
      </c>
      <c r="AG609" s="123">
        <f>IF(TAB_HISTORICO_MANUT[[#This Row],[Hora Inicio]]="","",MONTH(TAB_HISTORICO_MANUT[[#This Row],[Hora Inicio]]))</f>
        <v>5</v>
      </c>
      <c r="AH609" s="120" t="s">
        <v>1296</v>
      </c>
      <c r="AI609" s="115" t="s">
        <v>23</v>
      </c>
      <c r="AJ609" s="115" t="s">
        <v>43</v>
      </c>
      <c r="AK609" s="115" t="s">
        <v>1046</v>
      </c>
      <c r="AL609" s="115" t="s">
        <v>540</v>
      </c>
      <c r="AM609" s="121" t="s">
        <v>541</v>
      </c>
      <c r="AN609" s="115"/>
      <c r="AO609" s="115"/>
      <c r="AP609" s="115"/>
    </row>
    <row r="610" spans="1:42" ht="50.1" customHeight="1" x14ac:dyDescent="0.25">
      <c r="A610" s="115">
        <f>MONTH(TAB_HISTORICO_MANUT[[#This Row],[Hora Final]])-MONTH(TAB_HISTORICO_MANUT[[#This Row],[Hora Inicio]])</f>
        <v>0</v>
      </c>
      <c r="B610" s="116"/>
      <c r="C610" s="115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Inicio]]=Z609,TAB_HISTORICO_MANUT[[#This Row],[Equipamento]]=AA609,TAB_HISTORICO_MANUT[[#This Row],[Descricao Despacho]]=AD609),0,1)))</f>
        <v>1</v>
      </c>
      <c r="O61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61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61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610" s="107">
        <f>IF($Q610="","",(TAB_HISTORICO_MANUT[[#This Row],[Hora Final]]-TAB_HISTORICO_MANUT[[#This Row],[Hora Inicio]])*24)</f>
        <v>0.45500000001629815</v>
      </c>
      <c r="S61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10" s="109" t="str">
        <f>IF(AND(TAB_HISTORICO_MANUT[[#This Row],[EXPURGO Mãe]]="SIM",TAB_HISTORICO_MANUT[[#This Row],[Tipo]]="MÃE"),"EXP.MAE",IF(TAB_HISTORICO_MANUT[[#This Row],[EXPURGO Mãe]]="NÃO","NÃO EXP.MAE",T609))</f>
        <v>NÃO EXP.MAE</v>
      </c>
      <c r="U61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10" s="110">
        <f>IF(TAB_HISTORICO_MANUT[[#This Row],[EXPURGO Filhas]]="SIM",MAX(TAB_HISTORICO_MANUT[[#This Row],[Hora Final]]-TAB_HISTORICO_MANUT[[#This Row],[Hora Inicio]],0),0)</f>
        <v>0</v>
      </c>
      <c r="W61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1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10" s="117">
        <v>46169.495092592595</v>
      </c>
      <c r="Z610" s="118">
        <v>46169.514050925929</v>
      </c>
      <c r="AA610" s="119" t="s">
        <v>208</v>
      </c>
      <c r="AB610" s="119"/>
      <c r="AC610" s="115" t="s">
        <v>560</v>
      </c>
      <c r="AD610" s="117" t="s">
        <v>145</v>
      </c>
      <c r="AE610" s="117" t="s">
        <v>572</v>
      </c>
      <c r="AF610" s="88" t="s">
        <v>210</v>
      </c>
      <c r="AG610" s="123">
        <f>IF(TAB_HISTORICO_MANUT[[#This Row],[Hora Inicio]]="","",MONTH(TAB_HISTORICO_MANUT[[#This Row],[Hora Inicio]]))</f>
        <v>5</v>
      </c>
      <c r="AH610" s="120" t="s">
        <v>1065</v>
      </c>
      <c r="AI610" s="115" t="s">
        <v>25</v>
      </c>
      <c r="AJ610" s="115" t="s">
        <v>25</v>
      </c>
      <c r="AK610" s="115" t="s">
        <v>25</v>
      </c>
      <c r="AL610" s="115" t="s">
        <v>25</v>
      </c>
      <c r="AM610" s="121" t="s">
        <v>25</v>
      </c>
      <c r="AN610" s="115"/>
      <c r="AO610" s="115"/>
      <c r="AP610" s="115"/>
    </row>
    <row r="611" spans="1:42" ht="50.1" customHeight="1" x14ac:dyDescent="0.25">
      <c r="A611" s="115">
        <f>MONTH(TAB_HISTORICO_MANUT[[#This Row],[Hora Final]])-MONTH(TAB_HISTORICO_MANUT[[#This Row],[Hora Inicio]])</f>
        <v>0</v>
      </c>
      <c r="B611" s="116"/>
      <c r="C611" s="115"/>
      <c r="D611" s="116"/>
      <c r="E611" s="116"/>
      <c r="F611" s="116"/>
      <c r="G611" s="116"/>
      <c r="H611" s="116"/>
      <c r="I611" s="116"/>
      <c r="J611" s="116"/>
      <c r="K611" s="116"/>
      <c r="L611" s="116">
        <v>0</v>
      </c>
      <c r="M611" s="116"/>
      <c r="N61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Inicio]]=Z610,TAB_HISTORICO_MANUT[[#This Row],[Equipamento]]=AA610,TAB_HISTORICO_MANUT[[#This Row],[Descricao Despacho]]=AD610),0,1)))</f>
        <v>0</v>
      </c>
      <c r="O61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61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61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611" s="107">
        <f>IF($Q611="","",(TAB_HISTORICO_MANUT[[#This Row],[Hora Final]]-TAB_HISTORICO_MANUT[[#This Row],[Hora Inicio]])*24)</f>
        <v>0.20138888881774619</v>
      </c>
      <c r="S61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11" s="109" t="str">
        <f>IF(AND(TAB_HISTORICO_MANUT[[#This Row],[EXPURGO Mãe]]="SIM",TAB_HISTORICO_MANUT[[#This Row],[Tipo]]="MÃE"),"EXP.MAE",IF(TAB_HISTORICO_MANUT[[#This Row],[EXPURGO Mãe]]="NÃO","NÃO EXP.MAE",T610))</f>
        <v>NÃO EXP.MAE</v>
      </c>
      <c r="U61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11" s="110">
        <f>IF(TAB_HISTORICO_MANUT[[#This Row],[EXPURGO Filhas]]="SIM",MAX(TAB_HISTORICO_MANUT[[#This Row],[Hora Final]]-TAB_HISTORICO_MANUT[[#This Row],[Hora Inicio]],0),0)</f>
        <v>0</v>
      </c>
      <c r="W61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1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11" s="117">
        <v>46169.514050925929</v>
      </c>
      <c r="Z611" s="118">
        <v>46169.52244212963</v>
      </c>
      <c r="AA611" s="119" t="s">
        <v>208</v>
      </c>
      <c r="AB611" s="119"/>
      <c r="AC611" s="115" t="s">
        <v>882</v>
      </c>
      <c r="AD611" s="117" t="s">
        <v>146</v>
      </c>
      <c r="AE611" s="117" t="s">
        <v>883</v>
      </c>
      <c r="AF611" s="88" t="s">
        <v>210</v>
      </c>
      <c r="AG611" s="123">
        <f>IF(TAB_HISTORICO_MANUT[[#This Row],[Hora Inicio]]="","",MONTH(TAB_HISTORICO_MANUT[[#This Row],[Hora Inicio]]))</f>
        <v>5</v>
      </c>
      <c r="AH611" s="120"/>
      <c r="AI611" s="115" t="s">
        <v>25</v>
      </c>
      <c r="AJ611" s="115" t="s">
        <v>25</v>
      </c>
      <c r="AK611" s="115" t="s">
        <v>25</v>
      </c>
      <c r="AL611" s="115" t="s">
        <v>25</v>
      </c>
      <c r="AM611" s="121" t="s">
        <v>25</v>
      </c>
      <c r="AN611" s="115"/>
      <c r="AO611" s="115"/>
      <c r="AP611" s="115"/>
    </row>
    <row r="612" spans="1:42" ht="50.1" customHeight="1" x14ac:dyDescent="0.25">
      <c r="A612" s="115">
        <f>MONTH(TAB_HISTORICO_MANUT[[#This Row],[Hora Final]])-MONTH(TAB_HISTORICO_MANUT[[#This Row],[Hora Inicio]])</f>
        <v>0</v>
      </c>
      <c r="B612" s="116"/>
      <c r="C612" s="115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Inicio]]=Z611,TAB_HISTORICO_MANUT[[#This Row],[Equipamento]]=AA611,TAB_HISTORICO_MANUT[[#This Row],[Descricao Despacho]]=AD611),0,1)))</f>
        <v>1</v>
      </c>
      <c r="O61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61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1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12" s="107">
        <f>IF($Q612="","",(TAB_HISTORICO_MANUT[[#This Row],[Hora Final]]-TAB_HISTORICO_MANUT[[#This Row],[Hora Inicio]])*24)</f>
        <v>1.0627777777262963</v>
      </c>
      <c r="S61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12" s="109" t="str">
        <f>IF(AND(TAB_HISTORICO_MANUT[[#This Row],[EXPURGO Mãe]]="SIM",TAB_HISTORICO_MANUT[[#This Row],[Tipo]]="MÃE"),"EXP.MAE",IF(TAB_HISTORICO_MANUT[[#This Row],[EXPURGO Mãe]]="NÃO","NÃO EXP.MAE",T611))</f>
        <v>NÃO EXP.MAE</v>
      </c>
      <c r="U61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12" s="110">
        <f>IF(TAB_HISTORICO_MANUT[[#This Row],[EXPURGO Filhas]]="SIM",MAX(TAB_HISTORICO_MANUT[[#This Row],[Hora Final]]-TAB_HISTORICO_MANUT[[#This Row],[Hora Inicio]],0),0)</f>
        <v>0</v>
      </c>
      <c r="W61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1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12" s="117">
        <v>46169.854108796295</v>
      </c>
      <c r="Z612" s="118">
        <v>46169.8983912037</v>
      </c>
      <c r="AA612" s="119" t="s">
        <v>208</v>
      </c>
      <c r="AB612" s="48" t="s">
        <v>1062</v>
      </c>
      <c r="AC612" s="115" t="s">
        <v>204</v>
      </c>
      <c r="AD612" s="117" t="s">
        <v>144</v>
      </c>
      <c r="AE612" s="117" t="s">
        <v>172</v>
      </c>
      <c r="AF612" s="88" t="s">
        <v>210</v>
      </c>
      <c r="AG612" s="123">
        <f>IF(TAB_HISTORICO_MANUT[[#This Row],[Hora Inicio]]="","",MONTH(TAB_HISTORICO_MANUT[[#This Row],[Hora Inicio]]))</f>
        <v>5</v>
      </c>
      <c r="AH612" s="120" t="s">
        <v>1066</v>
      </c>
      <c r="AI612" s="43" t="s">
        <v>24</v>
      </c>
      <c r="AJ612" s="43" t="s">
        <v>149</v>
      </c>
      <c r="AK612" s="43" t="s">
        <v>422</v>
      </c>
      <c r="AL612" s="43" t="s">
        <v>1045</v>
      </c>
      <c r="AM612" s="114" t="s">
        <v>280</v>
      </c>
      <c r="AN612" s="115" t="s">
        <v>217</v>
      </c>
      <c r="AO612" s="115" t="s">
        <v>405</v>
      </c>
      <c r="AP612" s="115" t="s">
        <v>403</v>
      </c>
    </row>
    <row r="613" spans="1:42" ht="50.1" customHeight="1" x14ac:dyDescent="0.25">
      <c r="A613" s="43">
        <f>MONTH(TAB_HISTORICO_MANUT[[#This Row],[Hora Final]])-MONTH(TAB_HISTORICO_MANUT[[#This Row],[Hora Inicio]])</f>
        <v>0</v>
      </c>
      <c r="B613" s="42"/>
      <c r="C613" s="43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Inicio]]=Z612,TAB_HISTORICO_MANUT[[#This Row],[Equipamento]]=AA612,TAB_HISTORICO_MANUT[[#This Row],[Descricao Despacho]]=AD612),0,1)))</f>
        <v>1</v>
      </c>
      <c r="O61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613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1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13" s="50">
        <f>IF($Q613="","",(TAB_HISTORICO_MANUT[[#This Row],[Hora Final]]-TAB_HISTORICO_MANUT[[#This Row],[Hora Inicio]])*24)</f>
        <v>0.40305555565282702</v>
      </c>
      <c r="S61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13" s="54" t="str">
        <f>IF(AND(TAB_HISTORICO_MANUT[[#This Row],[EXPURGO Mãe]]="SIM",TAB_HISTORICO_MANUT[[#This Row],[Tipo]]="MÃE"),"EXP.MAE",IF(TAB_HISTORICO_MANUT[[#This Row],[EXPURGO Mãe]]="NÃO","NÃO EXP.MAE",T612))</f>
        <v>NÃO EXP.MAE</v>
      </c>
      <c r="U61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13" s="56">
        <f>IF(TAB_HISTORICO_MANUT[[#This Row],[EXPURGO Filhas]]="SIM",MAX(TAB_HISTORICO_MANUT[[#This Row],[Hora Final]]-TAB_HISTORICO_MANUT[[#This Row],[Hora Inicio]],0),0)</f>
        <v>0</v>
      </c>
      <c r="W61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1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13" s="46">
        <v>46171.708599537036</v>
      </c>
      <c r="Z613" s="47">
        <v>46171.725393518522</v>
      </c>
      <c r="AA613" s="48" t="s">
        <v>208</v>
      </c>
      <c r="AB613" s="48" t="s">
        <v>1073</v>
      </c>
      <c r="AC613" s="43" t="s">
        <v>204</v>
      </c>
      <c r="AD613" s="46" t="s">
        <v>144</v>
      </c>
      <c r="AE613" s="46" t="s">
        <v>172</v>
      </c>
      <c r="AF613" s="88" t="s">
        <v>210</v>
      </c>
      <c r="AG613" s="105">
        <f>IF(TAB_HISTORICO_MANUT[[#This Row],[Hora Inicio]]="","",MONTH(TAB_HISTORICO_MANUT[[#This Row],[Hora Inicio]]))</f>
        <v>5</v>
      </c>
      <c r="AH613" s="58" t="s">
        <v>1083</v>
      </c>
      <c r="AI613" s="43" t="s">
        <v>22</v>
      </c>
      <c r="AJ613" s="43" t="s">
        <v>962</v>
      </c>
      <c r="AK613" s="43" t="s">
        <v>880</v>
      </c>
      <c r="AL613" s="43" t="s">
        <v>526</v>
      </c>
      <c r="AM613" s="114" t="s">
        <v>527</v>
      </c>
      <c r="AN613" s="43" t="s">
        <v>217</v>
      </c>
      <c r="AO613" s="43" t="s">
        <v>349</v>
      </c>
      <c r="AP613" s="43" t="s">
        <v>350</v>
      </c>
    </row>
    <row r="614" spans="1:42" ht="50.1" customHeight="1" x14ac:dyDescent="0.25">
      <c r="A614" s="43">
        <f>MONTH(TAB_HISTORICO_MANUT[[#This Row],[Hora Final]])-MONTH(TAB_HISTORICO_MANUT[[#This Row],[Hora Inicio]])</f>
        <v>0</v>
      </c>
      <c r="B614" s="42"/>
      <c r="C614" s="43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Inicio]]=Z613,TAB_HISTORICO_MANUT[[#This Row],[Equipamento]]=AA613,TAB_HISTORICO_MANUT[[#This Row],[Descricao Despacho]]=AD613),0,1)))</f>
        <v>1</v>
      </c>
      <c r="O61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614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1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14" s="50">
        <f>IF($Q614="","",(TAB_HISTORICO_MANUT[[#This Row],[Hora Final]]-TAB_HISTORICO_MANUT[[#This Row],[Hora Inicio]])*24)</f>
        <v>5.2080555555294268</v>
      </c>
      <c r="S61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14" s="54" t="str">
        <f>IF(AND(TAB_HISTORICO_MANUT[[#This Row],[EXPURGO Mãe]]="SIM",TAB_HISTORICO_MANUT[[#This Row],[Tipo]]="MÃE"),"EXP.MAE",IF(TAB_HISTORICO_MANUT[[#This Row],[EXPURGO Mãe]]="NÃO","NÃO EXP.MAE",T613))</f>
        <v>NÃO EXP.MAE</v>
      </c>
      <c r="U61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14" s="56">
        <f>IF(TAB_HISTORICO_MANUT[[#This Row],[EXPURGO Filhas]]="SIM",MAX(TAB_HISTORICO_MANUT[[#This Row],[Hora Final]]-TAB_HISTORICO_MANUT[[#This Row],[Hora Inicio]],0),0)</f>
        <v>0</v>
      </c>
      <c r="W61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1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14" s="46">
        <v>46171.788773148146</v>
      </c>
      <c r="Z614" s="47">
        <v>46172.00577546296</v>
      </c>
      <c r="AA614" s="48" t="s">
        <v>208</v>
      </c>
      <c r="AB614" s="48" t="s">
        <v>1074</v>
      </c>
      <c r="AC614" s="43" t="s">
        <v>204</v>
      </c>
      <c r="AD614" s="46" t="s">
        <v>144</v>
      </c>
      <c r="AE614" s="46" t="s">
        <v>172</v>
      </c>
      <c r="AF614" s="88" t="s">
        <v>210</v>
      </c>
      <c r="AG614" s="105">
        <f>IF(TAB_HISTORICO_MANUT[[#This Row],[Hora Inicio]]="","",MONTH(TAB_HISTORICO_MANUT[[#This Row],[Hora Inicio]]))</f>
        <v>5</v>
      </c>
      <c r="AH614" s="58" t="s">
        <v>1084</v>
      </c>
      <c r="AI614" s="43" t="s">
        <v>24</v>
      </c>
      <c r="AJ614" s="43" t="s">
        <v>223</v>
      </c>
      <c r="AK614" s="43" t="s">
        <v>422</v>
      </c>
      <c r="AL614" s="43" t="s">
        <v>1099</v>
      </c>
      <c r="AM614" s="114" t="s">
        <v>280</v>
      </c>
      <c r="AN614" s="43" t="s">
        <v>217</v>
      </c>
      <c r="AO614" s="43" t="s">
        <v>405</v>
      </c>
      <c r="AP614" s="43" t="s">
        <v>403</v>
      </c>
    </row>
    <row r="615" spans="1:42" ht="50.1" customHeight="1" x14ac:dyDescent="0.25">
      <c r="A615" s="115">
        <f>MONTH(TAB_HISTORICO_MANUT[[#This Row],[Hora Final]])-MONTH(TAB_HISTORICO_MANUT[[#This Row],[Hora Inicio]])</f>
        <v>0</v>
      </c>
      <c r="B615" s="116"/>
      <c r="C615" s="115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 t="s">
        <v>99</v>
      </c>
      <c r="N615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Inicio]]=Z614,TAB_HISTORICO_MANUT[[#This Row],[Equipamento]]=AA614,TAB_HISTORICO_MANUT[[#This Row],[Descricao Despacho]]=AD614),0,1)))</f>
        <v/>
      </c>
      <c r="O61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615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61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615" s="107" t="str">
        <f>IF($Q615="","",(TAB_HISTORICO_MANUT[[#This Row],[Hora Final]]-TAB_HISTORICO_MANUT[[#This Row],[Hora Inicio]])*24)</f>
        <v/>
      </c>
      <c r="S61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615" s="109" t="str">
        <f>IF(AND(TAB_HISTORICO_MANUT[[#This Row],[EXPURGO Mãe]]="SIM",TAB_HISTORICO_MANUT[[#This Row],[Tipo]]="MÃE"),"EXP.MAE",IF(TAB_HISTORICO_MANUT[[#This Row],[EXPURGO Mãe]]="NÃO","NÃO EXP.MAE",T614))</f>
        <v>NÃO EXP.MAE</v>
      </c>
      <c r="U61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15" s="110">
        <f>IF(TAB_HISTORICO_MANUT[[#This Row],[EXPURGO Filhas]]="SIM",MAX(TAB_HISTORICO_MANUT[[#This Row],[Hora Final]]-TAB_HISTORICO_MANUT[[#This Row],[Hora Inicio]],0),0)</f>
        <v>0</v>
      </c>
      <c r="W61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1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15" s="117">
        <v>46171.958333333336</v>
      </c>
      <c r="Z615" s="118">
        <v>46171.997916666667</v>
      </c>
      <c r="AA615" s="119" t="s">
        <v>208</v>
      </c>
      <c r="AB615" s="119" t="s">
        <v>1074</v>
      </c>
      <c r="AC615" s="43" t="s">
        <v>204</v>
      </c>
      <c r="AD615" s="117" t="s">
        <v>144</v>
      </c>
      <c r="AE615" s="117" t="s">
        <v>765</v>
      </c>
      <c r="AF615" s="88" t="s">
        <v>767</v>
      </c>
      <c r="AG615" s="123">
        <f>IF(TAB_HISTORICO_MANUT[[#This Row],[Hora Inicio]]="","",MONTH(TAB_HISTORICO_MANUT[[#This Row],[Hora Inicio]]))</f>
        <v>5</v>
      </c>
      <c r="AH615" s="58" t="s">
        <v>1068</v>
      </c>
      <c r="AI615" s="43" t="s">
        <v>24</v>
      </c>
      <c r="AJ615" s="43" t="s">
        <v>223</v>
      </c>
      <c r="AK615" s="43" t="s">
        <v>422</v>
      </c>
      <c r="AL615" s="43" t="s">
        <v>1099</v>
      </c>
      <c r="AM615" s="114" t="s">
        <v>280</v>
      </c>
      <c r="AN615" s="115"/>
      <c r="AO615" s="115"/>
      <c r="AP615" s="115"/>
    </row>
    <row r="616" spans="1:42" ht="50.1" customHeight="1" x14ac:dyDescent="0.25">
      <c r="A616" s="115">
        <f>MONTH(TAB_HISTORICO_MANUT[[#This Row],[Hora Final]])-MONTH(TAB_HISTORICO_MANUT[[#This Row],[Hora Inicio]])</f>
        <v>0</v>
      </c>
      <c r="B616" s="116"/>
      <c r="C616" s="115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Inicio]]=Z615,TAB_HISTORICO_MANUT[[#This Row],[Equipamento]]=AA615,TAB_HISTORICO_MANUT[[#This Row],[Descricao Despacho]]=AD615),0,1)))</f>
        <v/>
      </c>
      <c r="O61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616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61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616" s="107" t="str">
        <f>IF($Q616="","",(TAB_HISTORICO_MANUT[[#This Row],[Hora Final]]-TAB_HISTORICO_MANUT[[#This Row],[Hora Inicio]])*24)</f>
        <v/>
      </c>
      <c r="S61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616" s="109" t="str">
        <f>IF(AND(TAB_HISTORICO_MANUT[[#This Row],[EXPURGO Mãe]]="SIM",TAB_HISTORICO_MANUT[[#This Row],[Tipo]]="MÃE"),"EXP.MAE",IF(TAB_HISTORICO_MANUT[[#This Row],[EXPURGO Mãe]]="NÃO","NÃO EXP.MAE",T615))</f>
        <v>NÃO EXP.MAE</v>
      </c>
      <c r="U61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616" s="110">
        <f>IF(TAB_HISTORICO_MANUT[[#This Row],[EXPURGO Filhas]]="SIM",MAX(TAB_HISTORICO_MANUT[[#This Row],[Hora Final]]-TAB_HISTORICO_MANUT[[#This Row],[Hora Inicio]],0),0)</f>
        <v>3.9583333331393078E-2</v>
      </c>
      <c r="W61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1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16" s="117">
        <v>46171.958333333336</v>
      </c>
      <c r="Z616" s="118">
        <v>46171.997916666667</v>
      </c>
      <c r="AA616" s="119" t="s">
        <v>208</v>
      </c>
      <c r="AB616" s="119" t="s">
        <v>1074</v>
      </c>
      <c r="AC616" s="115" t="s">
        <v>204</v>
      </c>
      <c r="AD616" s="117" t="s">
        <v>144</v>
      </c>
      <c r="AE616" s="117" t="s">
        <v>765</v>
      </c>
      <c r="AF616" s="88" t="s">
        <v>767</v>
      </c>
      <c r="AG616" s="123">
        <f>IF(TAB_HISTORICO_MANUT[[#This Row],[Hora Inicio]]="","",MONTH(TAB_HISTORICO_MANUT[[#This Row],[Hora Inicio]]))</f>
        <v>5</v>
      </c>
      <c r="AH616" s="120" t="s">
        <v>1299</v>
      </c>
      <c r="AI616" s="115" t="s">
        <v>24</v>
      </c>
      <c r="AJ616" s="115" t="s">
        <v>223</v>
      </c>
      <c r="AK616" s="115" t="s">
        <v>422</v>
      </c>
      <c r="AL616" s="115" t="s">
        <v>1099</v>
      </c>
      <c r="AM616" s="121" t="s">
        <v>280</v>
      </c>
      <c r="AN616" s="115"/>
      <c r="AO616" s="115"/>
      <c r="AP616" s="115"/>
    </row>
    <row r="617" spans="1:42" ht="50.1" customHeight="1" x14ac:dyDescent="0.25">
      <c r="A617" s="43">
        <f>MONTH(TAB_HISTORICO_MANUT[[#This Row],[Hora Final]])-MONTH(TAB_HISTORICO_MANUT[[#This Row],[Hora Inicio]])</f>
        <v>0</v>
      </c>
      <c r="B617" s="42"/>
      <c r="C617" s="43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Inicio]]=Z616,TAB_HISTORICO_MANUT[[#This Row],[Equipamento]]=AA616,TAB_HISTORICO_MANUT[[#This Row],[Descricao Despacho]]=AD616),0,1)))</f>
        <v>1</v>
      </c>
      <c r="O61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AR CONDICIONADO</v>
      </c>
      <c r="P617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1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17" s="50">
        <f>IF($Q617="","",(TAB_HISTORICO_MANUT[[#This Row],[Hora Final]]-TAB_HISTORICO_MANUT[[#This Row],[Hora Inicio]])*24)</f>
        <v>1.3041666666395031</v>
      </c>
      <c r="S61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17" s="54" t="str">
        <f>IF(AND(TAB_HISTORICO_MANUT[[#This Row],[EXPURGO Mãe]]="SIM",TAB_HISTORICO_MANUT[[#This Row],[Tipo]]="MÃE"),"EXP.MAE",IF(TAB_HISTORICO_MANUT[[#This Row],[EXPURGO Mãe]]="NÃO","NÃO EXP.MAE",T616))</f>
        <v>NÃO EXP.MAE</v>
      </c>
      <c r="U61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17" s="56">
        <f>IF(TAB_HISTORICO_MANUT[[#This Row],[EXPURGO Filhas]]="SIM",MAX(TAB_HISTORICO_MANUT[[#This Row],[Hora Final]]-TAB_HISTORICO_MANUT[[#This Row],[Hora Inicio]],0),0)</f>
        <v>0</v>
      </c>
      <c r="W61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1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17" s="46">
        <v>46172.047581018516</v>
      </c>
      <c r="Z617" s="47">
        <v>46172.101921296293</v>
      </c>
      <c r="AA617" s="48" t="s">
        <v>208</v>
      </c>
      <c r="AB617" s="119" t="s">
        <v>1076</v>
      </c>
      <c r="AC617" s="115" t="s">
        <v>204</v>
      </c>
      <c r="AD617" s="46" t="s">
        <v>144</v>
      </c>
      <c r="AE617" s="46" t="s">
        <v>172</v>
      </c>
      <c r="AF617" s="88" t="s">
        <v>210</v>
      </c>
      <c r="AG617" s="105">
        <f>IF(TAB_HISTORICO_MANUT[[#This Row],[Hora Inicio]]="","",MONTH(TAB_HISTORICO_MANUT[[#This Row],[Hora Inicio]]))</f>
        <v>5</v>
      </c>
      <c r="AH617" s="58" t="s">
        <v>1086</v>
      </c>
      <c r="AI617" s="115" t="s">
        <v>37</v>
      </c>
      <c r="AJ617" s="115" t="s">
        <v>273</v>
      </c>
      <c r="AK617" s="115" t="s">
        <v>1098</v>
      </c>
      <c r="AL617" s="115" t="s">
        <v>279</v>
      </c>
      <c r="AM617" s="121" t="s">
        <v>280</v>
      </c>
      <c r="AN617" s="43" t="s">
        <v>217</v>
      </c>
      <c r="AO617" s="43" t="s">
        <v>216</v>
      </c>
      <c r="AP617" s="43" t="s">
        <v>1095</v>
      </c>
    </row>
    <row r="618" spans="1:42" ht="50.1" customHeight="1" x14ac:dyDescent="0.25">
      <c r="A618" s="43">
        <f>MONTH(TAB_HISTORICO_MANUT[[#This Row],[Hora Final]])-MONTH(TAB_HISTORICO_MANUT[[#This Row],[Hora Inicio]])</f>
        <v>0</v>
      </c>
      <c r="B618" s="42"/>
      <c r="C618" s="43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Inicio]]=Z617,TAB_HISTORICO_MANUT[[#This Row],[Equipamento]]=AA617,TAB_HISTORICO_MANUT[[#This Row],[Descricao Despacho]]=AD617),0,1)))</f>
        <v>1</v>
      </c>
      <c r="O61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618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61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618" s="50">
        <f>IF($Q618="","",(TAB_HISTORICO_MANUT[[#This Row],[Hora Final]]-TAB_HISTORICO_MANUT[[#This Row],[Hora Inicio]])*24)</f>
        <v>0.32694444438675418</v>
      </c>
      <c r="S61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618" s="54" t="str">
        <f>IF(AND(TAB_HISTORICO_MANUT[[#This Row],[EXPURGO Mãe]]="SIM",TAB_HISTORICO_MANUT[[#This Row],[Tipo]]="MÃE"),"EXP.MAE",IF(TAB_HISTORICO_MANUT[[#This Row],[EXPURGO Mãe]]="NÃO","NÃO EXP.MAE",T617))</f>
        <v>EXP.MAE</v>
      </c>
      <c r="U61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18" s="56">
        <f>IF(TAB_HISTORICO_MANUT[[#This Row],[EXPURGO Filhas]]="SIM",MAX(TAB_HISTORICO_MANUT[[#This Row],[Hora Final]]-TAB_HISTORICO_MANUT[[#This Row],[Hora Inicio]],0),0)</f>
        <v>0</v>
      </c>
      <c r="W61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1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18" s="46">
        <v>46173.98636574074</v>
      </c>
      <c r="Z618" s="136">
        <v>46173.999988425923</v>
      </c>
      <c r="AA618" s="48" t="s">
        <v>208</v>
      </c>
      <c r="AB618" s="48"/>
      <c r="AC618" s="43" t="s">
        <v>300</v>
      </c>
      <c r="AD618" s="46" t="s">
        <v>146</v>
      </c>
      <c r="AE618" s="46" t="s">
        <v>178</v>
      </c>
      <c r="AF618" s="88" t="s">
        <v>210</v>
      </c>
      <c r="AG618" s="105">
        <f>IF(TAB_HISTORICO_MANUT[[#This Row],[Hora Inicio]]="","",MONTH(TAB_HISTORICO_MANUT[[#This Row],[Hora Inicio]]))</f>
        <v>5</v>
      </c>
      <c r="AH618" s="58" t="s">
        <v>1101</v>
      </c>
      <c r="AI618" s="43" t="s">
        <v>340</v>
      </c>
      <c r="AJ618" s="43" t="s">
        <v>341</v>
      </c>
      <c r="AK618" s="43"/>
      <c r="AL618" s="43"/>
      <c r="AM618" s="114"/>
      <c r="AN618" s="43"/>
      <c r="AO618" s="43"/>
      <c r="AP618" s="43"/>
    </row>
    <row r="619" spans="1:42" ht="50.1" customHeight="1" x14ac:dyDescent="0.25">
      <c r="A619" s="43">
        <f>MONTH(TAB_HISTORICO_MANUT[[#This Row],[Hora Final]])-MONTH(TAB_HISTORICO_MANUT[[#This Row],[Hora Inicio]])</f>
        <v>0</v>
      </c>
      <c r="B619" s="42"/>
      <c r="C619" s="43"/>
      <c r="D619" s="42"/>
      <c r="E619" s="42"/>
      <c r="F619" s="42"/>
      <c r="G619" s="42"/>
      <c r="H619" s="42"/>
      <c r="I619" s="42"/>
      <c r="J619" s="42"/>
      <c r="K619" s="42"/>
      <c r="L619" s="42">
        <v>0</v>
      </c>
      <c r="M619" s="42"/>
      <c r="N61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Inicio]]=Z618,TAB_HISTORICO_MANUT[[#This Row],[Equipamento]]=AA618,TAB_HISTORICO_MANUT[[#This Row],[Descricao Despacho]]=AD618),0,1)))</f>
        <v>0</v>
      </c>
      <c r="O61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619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61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619" s="50">
        <f>IF($Q619="","",(TAB_HISTORICO_MANUT[[#This Row],[Hora Final]]-TAB_HISTORICO_MANUT[[#This Row],[Hora Inicio]])*24)</f>
        <v>0.33388888888293877</v>
      </c>
      <c r="S61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619" s="54" t="str">
        <f>IF(AND(TAB_HISTORICO_MANUT[[#This Row],[EXPURGO Mãe]]="SIM",TAB_HISTORICO_MANUT[[#This Row],[Tipo]]="MÃE"),"EXP.MAE",IF(TAB_HISTORICO_MANUT[[#This Row],[EXPURGO Mãe]]="NÃO","NÃO EXP.MAE",T618))</f>
        <v>EXP.MAE</v>
      </c>
      <c r="U61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19" s="56">
        <f>IF(TAB_HISTORICO_MANUT[[#This Row],[EXPURGO Filhas]]="SIM",MAX(TAB_HISTORICO_MANUT[[#This Row],[Hora Final]]-TAB_HISTORICO_MANUT[[#This Row],[Hora Inicio]],0),0)</f>
        <v>0</v>
      </c>
      <c r="W61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1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19" s="111">
        <v>46174</v>
      </c>
      <c r="Z619" s="47">
        <v>46174.013912037037</v>
      </c>
      <c r="AA619" s="48" t="s">
        <v>208</v>
      </c>
      <c r="AB619" s="48"/>
      <c r="AC619" s="43" t="s">
        <v>300</v>
      </c>
      <c r="AD619" s="46" t="s">
        <v>146</v>
      </c>
      <c r="AE619" s="46" t="s">
        <v>178</v>
      </c>
      <c r="AF619" s="88" t="s">
        <v>210</v>
      </c>
      <c r="AG619" s="105">
        <f>IF(TAB_HISTORICO_MANUT[[#This Row],[Hora Inicio]]="","",MONTH(TAB_HISTORICO_MANUT[[#This Row],[Hora Inicio]]))</f>
        <v>6</v>
      </c>
      <c r="AH619" s="58" t="s">
        <v>1101</v>
      </c>
      <c r="AI619" s="43" t="s">
        <v>340</v>
      </c>
      <c r="AJ619" s="43" t="s">
        <v>341</v>
      </c>
      <c r="AK619" s="43"/>
      <c r="AL619" s="43"/>
      <c r="AM619" s="114"/>
      <c r="AN619" s="43"/>
      <c r="AO619" s="43"/>
      <c r="AP619" s="43"/>
    </row>
    <row r="620" spans="1:42" ht="50.1" customHeight="1" x14ac:dyDescent="0.25">
      <c r="A620" s="115">
        <f>MONTH(TAB_HISTORICO_MANUT[[#This Row],[Hora Final]])-MONTH(TAB_HISTORICO_MANUT[[#This Row],[Hora Inicio]])</f>
        <v>0</v>
      </c>
      <c r="B620" s="116"/>
      <c r="C620" s="115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Inicio]]=Z619,TAB_HISTORICO_MANUT[[#This Row],[Equipamento]]=AA619,TAB_HISTORICO_MANUT[[#This Row],[Descricao Despacho]]=AD619),0,1)))</f>
        <v>0</v>
      </c>
      <c r="O62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62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62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620" s="107">
        <f>IF($Q620="","",(TAB_HISTORICO_MANUT[[#This Row],[Hora Final]]-TAB_HISTORICO_MANUT[[#This Row],[Hora Inicio]])*24)</f>
        <v>1.3058333333465271</v>
      </c>
      <c r="S62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20" s="109" t="str">
        <f>IF(AND(TAB_HISTORICO_MANUT[[#This Row],[EXPURGO Mãe]]="SIM",TAB_HISTORICO_MANUT[[#This Row],[Tipo]]="MÃE"),"EXP.MAE",IF(TAB_HISTORICO_MANUT[[#This Row],[EXPURGO Mãe]]="NÃO","NÃO EXP.MAE",T619))</f>
        <v>NÃO EXP.MAE</v>
      </c>
      <c r="U62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20" s="110">
        <f>IF(TAB_HISTORICO_MANUT[[#This Row],[EXPURGO Filhas]]="SIM",MAX(TAB_HISTORICO_MANUT[[#This Row],[Hora Final]]-TAB_HISTORICO_MANUT[[#This Row],[Hora Inicio]],0),0)</f>
        <v>0</v>
      </c>
      <c r="W62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2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20" s="117">
        <v>46174.013912037037</v>
      </c>
      <c r="Z620" s="118">
        <v>46174.06832175926</v>
      </c>
      <c r="AA620" s="119" t="s">
        <v>208</v>
      </c>
      <c r="AB620" s="119"/>
      <c r="AC620" s="115" t="s">
        <v>301</v>
      </c>
      <c r="AD620" s="117" t="s">
        <v>146</v>
      </c>
      <c r="AE620" s="117" t="s">
        <v>310</v>
      </c>
      <c r="AF620" s="88" t="s">
        <v>210</v>
      </c>
      <c r="AG620" s="123">
        <f>IF(TAB_HISTORICO_MANUT[[#This Row],[Hora Inicio]]="","",MONTH(TAB_HISTORICO_MANUT[[#This Row],[Hora Inicio]]))</f>
        <v>6</v>
      </c>
      <c r="AH620" s="120" t="s">
        <v>1101</v>
      </c>
      <c r="AI620" s="115" t="s">
        <v>340</v>
      </c>
      <c r="AJ620" s="115" t="s">
        <v>341</v>
      </c>
      <c r="AK620" s="115"/>
      <c r="AL620" s="115"/>
      <c r="AM620" s="121"/>
      <c r="AN620" s="115"/>
      <c r="AO620" s="115"/>
      <c r="AP620" s="115"/>
    </row>
    <row r="621" spans="1:42" ht="50.1" customHeight="1" x14ac:dyDescent="0.25">
      <c r="A621" s="115">
        <f>MONTH(TAB_HISTORICO_MANUT[[#This Row],[Hora Final]])-MONTH(TAB_HISTORICO_MANUT[[#This Row],[Hora Inicio]])</f>
        <v>0</v>
      </c>
      <c r="B621" s="116"/>
      <c r="C621" s="115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Inicio]]=Z620,TAB_HISTORICO_MANUT[[#This Row],[Equipamento]]=AA620,TAB_HISTORICO_MANUT[[#This Row],[Descricao Despacho]]=AD620),0,1)))</f>
        <v>0</v>
      </c>
      <c r="O62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62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62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621" s="107">
        <f>IF($Q621="","",(TAB_HISTORICO_MANUT[[#This Row],[Hora Final]]-TAB_HISTORICO_MANUT[[#This Row],[Hora Inicio]])*24)</f>
        <v>6.750833333353512</v>
      </c>
      <c r="S62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21" s="109" t="str">
        <f>IF(AND(TAB_HISTORICO_MANUT[[#This Row],[EXPURGO Mãe]]="SIM",TAB_HISTORICO_MANUT[[#This Row],[Tipo]]="MÃE"),"EXP.MAE",IF(TAB_HISTORICO_MANUT[[#This Row],[EXPURGO Mãe]]="NÃO","NÃO EXP.MAE",T620))</f>
        <v>NÃO EXP.MAE</v>
      </c>
      <c r="U62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21" s="110">
        <f>IF(TAB_HISTORICO_MANUT[[#This Row],[EXPURGO Filhas]]="SIM",MAX(TAB_HISTORICO_MANUT[[#This Row],[Hora Final]]-TAB_HISTORICO_MANUT[[#This Row],[Hora Inicio]],0),0)</f>
        <v>0</v>
      </c>
      <c r="W62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2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21" s="117">
        <v>46174.06832175926</v>
      </c>
      <c r="Z621" s="118">
        <v>46174.349606481483</v>
      </c>
      <c r="AA621" s="119" t="s">
        <v>208</v>
      </c>
      <c r="AB621" s="119"/>
      <c r="AC621" s="115" t="s">
        <v>301</v>
      </c>
      <c r="AD621" s="117" t="s">
        <v>146</v>
      </c>
      <c r="AE621" s="117" t="s">
        <v>310</v>
      </c>
      <c r="AF621" s="88" t="s">
        <v>210</v>
      </c>
      <c r="AG621" s="123">
        <v>6</v>
      </c>
      <c r="AH621" s="120" t="s">
        <v>1101</v>
      </c>
      <c r="AI621" s="115" t="s">
        <v>340</v>
      </c>
      <c r="AJ621" s="115" t="s">
        <v>341</v>
      </c>
      <c r="AK621" s="115"/>
      <c r="AL621" s="115"/>
      <c r="AM621" s="121"/>
      <c r="AN621" s="115"/>
      <c r="AO621" s="115"/>
      <c r="AP621" s="115"/>
    </row>
    <row r="622" spans="1:42" ht="50.1" customHeight="1" x14ac:dyDescent="0.25">
      <c r="A622" s="43">
        <f>MONTH(TAB_HISTORICO_MANUT[[#This Row],[Hora Final]])-MONTH(TAB_HISTORICO_MANUT[[#This Row],[Hora Inicio]])</f>
        <v>0</v>
      </c>
      <c r="B622" s="42"/>
      <c r="C622" s="43"/>
      <c r="D622" s="42"/>
      <c r="E622" s="42"/>
      <c r="F622" s="42"/>
      <c r="G622" s="42"/>
      <c r="H622" s="42"/>
      <c r="I622" s="42"/>
      <c r="J622" s="42"/>
      <c r="K622" s="42"/>
      <c r="L622" s="42">
        <v>0</v>
      </c>
      <c r="M622" s="42"/>
      <c r="N62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Inicio]]=Z621,TAB_HISTORICO_MANUT[[#This Row],[Equipamento]]=AA621,TAB_HISTORICO_MANUT[[#This Row],[Descricao Despacho]]=AD621),0,1)))</f>
        <v>0</v>
      </c>
      <c r="O62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622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62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622" s="50">
        <f>IF($Q622="","",(TAB_HISTORICO_MANUT[[#This Row],[Hora Final]]-TAB_HISTORICO_MANUT[[#This Row],[Hora Inicio]])*24)</f>
        <v>0.67472222226206213</v>
      </c>
      <c r="S62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22" s="54" t="str">
        <f>IF(AND(TAB_HISTORICO_MANUT[[#This Row],[EXPURGO Mãe]]="SIM",TAB_HISTORICO_MANUT[[#This Row],[Tipo]]="MÃE"),"EXP.MAE",IF(TAB_HISTORICO_MANUT[[#This Row],[EXPURGO Mãe]]="NÃO","NÃO EXP.MAE",T621))</f>
        <v>NÃO EXP.MAE</v>
      </c>
      <c r="U62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22" s="56">
        <f>IF(TAB_HISTORICO_MANUT[[#This Row],[EXPURGO Filhas]]="SIM",MAX(TAB_HISTORICO_MANUT[[#This Row],[Hora Final]]-TAB_HISTORICO_MANUT[[#This Row],[Hora Inicio]],0),0)</f>
        <v>0</v>
      </c>
      <c r="W62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2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22" s="46">
        <v>46174.349606481483</v>
      </c>
      <c r="Z622" s="47">
        <v>46174.37771990741</v>
      </c>
      <c r="AA622" s="48" t="s">
        <v>208</v>
      </c>
      <c r="AB622" s="48"/>
      <c r="AC622" s="43" t="s">
        <v>302</v>
      </c>
      <c r="AD622" s="46" t="s">
        <v>146</v>
      </c>
      <c r="AE622" s="46" t="s">
        <v>311</v>
      </c>
      <c r="AF622" s="88" t="s">
        <v>210</v>
      </c>
      <c r="AG622" s="105">
        <f>IF(TAB_HISTORICO_MANUT[[#This Row],[Hora Inicio]]="","",MONTH(TAB_HISTORICO_MANUT[[#This Row],[Hora Inicio]]))</f>
        <v>6</v>
      </c>
      <c r="AH622" s="58" t="s">
        <v>1101</v>
      </c>
      <c r="AI622" s="43" t="s">
        <v>340</v>
      </c>
      <c r="AJ622" s="43" t="s">
        <v>341</v>
      </c>
      <c r="AK622" s="43"/>
      <c r="AL622" s="43"/>
      <c r="AM622" s="114"/>
      <c r="AN622" s="43"/>
      <c r="AO622" s="43"/>
      <c r="AP622" s="43"/>
    </row>
    <row r="623" spans="1:42" ht="50.1" customHeight="1" x14ac:dyDescent="0.25">
      <c r="A623" s="115">
        <f>MONTH(TAB_HISTORICO_MANUT[[#This Row],[Hora Final]])-MONTH(TAB_HISTORICO_MANUT[[#This Row],[Hora Inicio]])</f>
        <v>0</v>
      </c>
      <c r="B623" s="116"/>
      <c r="C623" s="115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Inicio]]=Z622,TAB_HISTORICO_MANUT[[#This Row],[Equipamento]]=AA622,TAB_HISTORICO_MANUT[[#This Row],[Descricao Despacho]]=AD622),0,1)))</f>
        <v>0</v>
      </c>
      <c r="O62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62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62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623" s="107">
        <f>IF($Q623="","",(TAB_HISTORICO_MANUT[[#This Row],[Hora Final]]-TAB_HISTORICO_MANUT[[#This Row],[Hora Inicio]])*24)</f>
        <v>35.330555555527098</v>
      </c>
      <c r="S62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23" s="109" t="str">
        <f>IF(AND(TAB_HISTORICO_MANUT[[#This Row],[EXPURGO Mãe]]="SIM",TAB_HISTORICO_MANUT[[#This Row],[Tipo]]="MÃE"),"EXP.MAE",IF(TAB_HISTORICO_MANUT[[#This Row],[EXPURGO Mãe]]="NÃO","NÃO EXP.MAE",T622))</f>
        <v>NÃO EXP.MAE</v>
      </c>
      <c r="U62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23" s="110">
        <f>IF(TAB_HISTORICO_MANUT[[#This Row],[EXPURGO Filhas]]="SIM",MAX(TAB_HISTORICO_MANUT[[#This Row],[Hora Final]]-TAB_HISTORICO_MANUT[[#This Row],[Hora Inicio]],0),0)</f>
        <v>0</v>
      </c>
      <c r="W62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2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23" s="117">
        <v>46174.37771990741</v>
      </c>
      <c r="Z623" s="118">
        <v>46175.849826388891</v>
      </c>
      <c r="AA623" s="119" t="s">
        <v>208</v>
      </c>
      <c r="AB623" s="119"/>
      <c r="AC623" s="115" t="s">
        <v>301</v>
      </c>
      <c r="AD623" s="117" t="s">
        <v>146</v>
      </c>
      <c r="AE623" s="117" t="s">
        <v>310</v>
      </c>
      <c r="AF623" s="88" t="s">
        <v>210</v>
      </c>
      <c r="AG623" s="123">
        <f>IF(TAB_HISTORICO_MANUT[[#This Row],[Hora Inicio]]="","",MONTH(TAB_HISTORICO_MANUT[[#This Row],[Hora Inicio]]))</f>
        <v>6</v>
      </c>
      <c r="AH623" s="120" t="s">
        <v>1101</v>
      </c>
      <c r="AI623" s="115" t="s">
        <v>340</v>
      </c>
      <c r="AJ623" s="115" t="s">
        <v>341</v>
      </c>
      <c r="AK623" s="115"/>
      <c r="AL623" s="115"/>
      <c r="AM623" s="121"/>
      <c r="AN623" s="115"/>
      <c r="AO623" s="115"/>
      <c r="AP623" s="115"/>
    </row>
    <row r="624" spans="1:42" ht="50.1" customHeight="1" x14ac:dyDescent="0.25">
      <c r="A624" s="115">
        <f>MONTH(TAB_HISTORICO_MANUT[[#This Row],[Hora Final]])-MONTH(TAB_HISTORICO_MANUT[[#This Row],[Hora Inicio]])</f>
        <v>0</v>
      </c>
      <c r="B624" s="116"/>
      <c r="C624" s="115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Inicio]]=Z623,TAB_HISTORICO_MANUT[[#This Row],[Equipamento]]=AA623,TAB_HISTORICO_MANUT[[#This Row],[Descricao Despacho]]=AD623),0,1)))</f>
        <v>1</v>
      </c>
      <c r="O62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62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2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24" s="107">
        <f>IF($Q624="","",(TAB_HISTORICO_MANUT[[#This Row],[Hora Final]]-TAB_HISTORICO_MANUT[[#This Row],[Hora Inicio]])*24)</f>
        <v>3.0674999998882413</v>
      </c>
      <c r="S62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24" s="109" t="str">
        <f>IF(AND(TAB_HISTORICO_MANUT[[#This Row],[EXPURGO Mãe]]="SIM",TAB_HISTORICO_MANUT[[#This Row],[Tipo]]="MÃE"),"EXP.MAE",IF(TAB_HISTORICO_MANUT[[#This Row],[EXPURGO Mãe]]="NÃO","NÃO EXP.MAE",T623))</f>
        <v>NÃO EXP.MAE</v>
      </c>
      <c r="U62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24" s="110">
        <f>IF(TAB_HISTORICO_MANUT[[#This Row],[EXPURGO Filhas]]="SIM",MAX(TAB_HISTORICO_MANUT[[#This Row],[Hora Final]]-TAB_HISTORICO_MANUT[[#This Row],[Hora Inicio]],0),0)</f>
        <v>0</v>
      </c>
      <c r="W62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2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24" s="117">
        <v>46177.3281712963</v>
      </c>
      <c r="Z624" s="118">
        <v>46177.455983796295</v>
      </c>
      <c r="AA624" s="119" t="s">
        <v>208</v>
      </c>
      <c r="AB624" s="119">
        <v>202602874812</v>
      </c>
      <c r="AC624" s="115" t="s">
        <v>204</v>
      </c>
      <c r="AD624" s="117" t="s">
        <v>144</v>
      </c>
      <c r="AE624" s="117" t="s">
        <v>172</v>
      </c>
      <c r="AF624" s="88" t="s">
        <v>210</v>
      </c>
      <c r="AG624" s="123">
        <f>IF(TAB_HISTORICO_MANUT[[#This Row],[Hora Inicio]]="","",MONTH(TAB_HISTORICO_MANUT[[#This Row],[Hora Inicio]]))</f>
        <v>6</v>
      </c>
      <c r="AH624" s="120" t="s">
        <v>1112</v>
      </c>
      <c r="AI624" s="115" t="s">
        <v>28</v>
      </c>
      <c r="AJ624" s="115" t="s">
        <v>28</v>
      </c>
      <c r="AK624" s="115" t="s">
        <v>1315</v>
      </c>
      <c r="AL624" s="115" t="s">
        <v>540</v>
      </c>
      <c r="AM624" s="121" t="s">
        <v>541</v>
      </c>
      <c r="AN624" s="115"/>
      <c r="AO624" s="115"/>
      <c r="AP624" s="115"/>
    </row>
    <row r="625" spans="1:42" ht="50.1" customHeight="1" x14ac:dyDescent="0.25">
      <c r="A625" s="115">
        <f>MONTH(TAB_HISTORICO_MANUT[[#This Row],[Hora Final]])-MONTH(TAB_HISTORICO_MANUT[[#This Row],[Hora Inicio]])</f>
        <v>0</v>
      </c>
      <c r="B625" s="116"/>
      <c r="C625" s="115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 t="s">
        <v>99</v>
      </c>
      <c r="N625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Inicio]]=Z624,TAB_HISTORICO_MANUT[[#This Row],[Equipamento]]=AA624,TAB_HISTORICO_MANUT[[#This Row],[Descricao Despacho]]=AD624),0,1)))</f>
        <v/>
      </c>
      <c r="O62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625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62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625" s="107" t="str">
        <f>IF($Q625="","",(TAB_HISTORICO_MANUT[[#This Row],[Hora Final]]-TAB_HISTORICO_MANUT[[#This Row],[Hora Inicio]])*24)</f>
        <v/>
      </c>
      <c r="S62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625" s="109" t="str">
        <f>IF(AND(TAB_HISTORICO_MANUT[[#This Row],[EXPURGO Mãe]]="SIM",TAB_HISTORICO_MANUT[[#This Row],[Tipo]]="MÃE"),"EXP.MAE",IF(TAB_HISTORICO_MANUT[[#This Row],[EXPURGO Mãe]]="NÃO","NÃO EXP.MAE",T624))</f>
        <v>NÃO EXP.MAE</v>
      </c>
      <c r="U62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25" s="110">
        <f>IF(TAB_HISTORICO_MANUT[[#This Row],[EXPURGO Filhas]]="SIM",MAX(TAB_HISTORICO_MANUT[[#This Row],[Hora Final]]-TAB_HISTORICO_MANUT[[#This Row],[Hora Inicio]],0),0)</f>
        <v>0</v>
      </c>
      <c r="W62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2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25" s="117">
        <v>46177.3281712963</v>
      </c>
      <c r="Z625" s="118">
        <v>46177.388194444444</v>
      </c>
      <c r="AA625" s="119" t="s">
        <v>208</v>
      </c>
      <c r="AB625" s="119">
        <v>202602874812</v>
      </c>
      <c r="AC625" s="115" t="s">
        <v>204</v>
      </c>
      <c r="AD625" s="117" t="s">
        <v>144</v>
      </c>
      <c r="AE625" s="117" t="s">
        <v>233</v>
      </c>
      <c r="AF625" s="88" t="s">
        <v>767</v>
      </c>
      <c r="AG625" s="123">
        <f>IF(TAB_HISTORICO_MANUT[[#This Row],[Hora Inicio]]="","",MONTH(TAB_HISTORICO_MANUT[[#This Row],[Hora Inicio]]))</f>
        <v>6</v>
      </c>
      <c r="AH625" s="120" t="s">
        <v>1069</v>
      </c>
      <c r="AI625" s="115" t="s">
        <v>28</v>
      </c>
      <c r="AJ625" s="115" t="s">
        <v>28</v>
      </c>
      <c r="AK625" s="115" t="s">
        <v>1315</v>
      </c>
      <c r="AL625" s="115" t="s">
        <v>540</v>
      </c>
      <c r="AM625" s="121" t="s">
        <v>541</v>
      </c>
      <c r="AN625" s="115"/>
      <c r="AO625" s="115"/>
      <c r="AP625" s="115"/>
    </row>
    <row r="626" spans="1:42" ht="50.1" customHeight="1" x14ac:dyDescent="0.25">
      <c r="A626" s="43">
        <f>MONTH(TAB_HISTORICO_MANUT[[#This Row],[Hora Final]])-MONTH(TAB_HISTORICO_MANUT[[#This Row],[Hora Inicio]])</f>
        <v>0</v>
      </c>
      <c r="B626" s="42"/>
      <c r="C626" s="43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Inicio]]=Z625,TAB_HISTORICO_MANUT[[#This Row],[Equipamento]]=AA625,TAB_HISTORICO_MANUT[[#This Row],[Descricao Despacho]]=AD625),0,1)))</f>
        <v/>
      </c>
      <c r="O62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626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62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626" s="50" t="str">
        <f>IF($Q626="","",(TAB_HISTORICO_MANUT[[#This Row],[Hora Final]]-TAB_HISTORICO_MANUT[[#This Row],[Hora Inicio]])*24)</f>
        <v/>
      </c>
      <c r="S62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626" s="54" t="str">
        <f>IF(AND(TAB_HISTORICO_MANUT[[#This Row],[EXPURGO Mãe]]="SIM",TAB_HISTORICO_MANUT[[#This Row],[Tipo]]="MÃE"),"EXP.MAE",IF(TAB_HISTORICO_MANUT[[#This Row],[EXPURGO Mãe]]="NÃO","NÃO EXP.MAE",T625))</f>
        <v>NÃO EXP.MAE</v>
      </c>
      <c r="U62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626" s="56">
        <f>IF(TAB_HISTORICO_MANUT[[#This Row],[EXPURGO Filhas]]="SIM",MAX(TAB_HISTORICO_MANUT[[#This Row],[Hora Final]]-TAB_HISTORICO_MANUT[[#This Row],[Hora Inicio]],0),0)</f>
        <v>1.8356481479713693E-2</v>
      </c>
      <c r="W62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2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26" s="46">
        <v>46177.369837962964</v>
      </c>
      <c r="Z626" s="47">
        <v>46177.388194444444</v>
      </c>
      <c r="AA626" s="48" t="s">
        <v>208</v>
      </c>
      <c r="AB626" s="48">
        <v>202602874812</v>
      </c>
      <c r="AC626" s="43" t="s">
        <v>204</v>
      </c>
      <c r="AD626" s="46" t="s">
        <v>144</v>
      </c>
      <c r="AE626" s="46" t="s">
        <v>233</v>
      </c>
      <c r="AF626" s="88" t="s">
        <v>767</v>
      </c>
      <c r="AG626" s="105">
        <f>IF(TAB_HISTORICO_MANUT[[#This Row],[Hora Inicio]]="","",MONTH(TAB_HISTORICO_MANUT[[#This Row],[Hora Inicio]]))</f>
        <v>6</v>
      </c>
      <c r="AH626" s="58" t="s">
        <v>1312</v>
      </c>
      <c r="AI626" s="43" t="s">
        <v>28</v>
      </c>
      <c r="AJ626" s="43" t="s">
        <v>28</v>
      </c>
      <c r="AK626" s="43" t="s">
        <v>1315</v>
      </c>
      <c r="AL626" s="43" t="s">
        <v>540</v>
      </c>
      <c r="AM626" s="114" t="s">
        <v>541</v>
      </c>
      <c r="AN626" s="43"/>
      <c r="AO626" s="43"/>
      <c r="AP626" s="43"/>
    </row>
    <row r="627" spans="1:42" ht="50.1" customHeight="1" x14ac:dyDescent="0.25">
      <c r="A627" s="43">
        <f>MONTH(TAB_HISTORICO_MANUT[[#This Row],[Hora Final]])-MONTH(TAB_HISTORICO_MANUT[[#This Row],[Hora Inicio]])</f>
        <v>0</v>
      </c>
      <c r="B627" s="42"/>
      <c r="C627" s="43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Inicio]]=Z626,TAB_HISTORICO_MANUT[[#This Row],[Equipamento]]=AA626,TAB_HISTORICO_MANUT[[#This Row],[Descricao Despacho]]=AD626),0,1)))</f>
        <v>1</v>
      </c>
      <c r="O62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627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2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27" s="50">
        <f>IF($Q627="","",(TAB_HISTORICO_MANUT[[#This Row],[Hora Final]]-TAB_HISTORICO_MANUT[[#This Row],[Hora Inicio]])*24)</f>
        <v>1.8844444443820976</v>
      </c>
      <c r="S62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27" s="54" t="str">
        <f>IF(AND(TAB_HISTORICO_MANUT[[#This Row],[EXPURGO Mãe]]="SIM",TAB_HISTORICO_MANUT[[#This Row],[Tipo]]="MÃE"),"EXP.MAE",IF(TAB_HISTORICO_MANUT[[#This Row],[EXPURGO Mãe]]="NÃO","NÃO EXP.MAE",T626))</f>
        <v>NÃO EXP.MAE</v>
      </c>
      <c r="U62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27" s="56">
        <f>IF(TAB_HISTORICO_MANUT[[#This Row],[EXPURGO Filhas]]="SIM",MAX(TAB_HISTORICO_MANUT[[#This Row],[Hora Final]]-TAB_HISTORICO_MANUT[[#This Row],[Hora Inicio]],0),0)</f>
        <v>0</v>
      </c>
      <c r="W62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2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27" s="46">
        <v>46178.270613425928</v>
      </c>
      <c r="Z627" s="47">
        <v>46178.349131944444</v>
      </c>
      <c r="AA627" s="48" t="s">
        <v>208</v>
      </c>
      <c r="AB627" s="48" t="s">
        <v>1117</v>
      </c>
      <c r="AC627" s="43" t="s">
        <v>204</v>
      </c>
      <c r="AD627" s="46" t="s">
        <v>144</v>
      </c>
      <c r="AE627" s="46" t="s">
        <v>172</v>
      </c>
      <c r="AF627" s="88" t="s">
        <v>210</v>
      </c>
      <c r="AG627" s="105">
        <f>IF(TAB_HISTORICO_MANUT[[#This Row],[Hora Inicio]]="","",MONTH(TAB_HISTORICO_MANUT[[#This Row],[Hora Inicio]]))</f>
        <v>6</v>
      </c>
      <c r="AH627" s="58" t="s">
        <v>1121</v>
      </c>
      <c r="AI627" s="43" t="s">
        <v>28</v>
      </c>
      <c r="AJ627" s="43" t="s">
        <v>30</v>
      </c>
      <c r="AK627" s="43" t="s">
        <v>673</v>
      </c>
      <c r="AL627" s="43" t="s">
        <v>526</v>
      </c>
      <c r="AM627" s="114" t="s">
        <v>527</v>
      </c>
      <c r="AN627" s="43" t="s">
        <v>217</v>
      </c>
      <c r="AO627" s="43" t="s">
        <v>316</v>
      </c>
      <c r="AP627" s="43" t="s">
        <v>1126</v>
      </c>
    </row>
    <row r="628" spans="1:42" ht="50.1" customHeight="1" x14ac:dyDescent="0.25">
      <c r="A628" s="43">
        <f>MONTH(TAB_HISTORICO_MANUT[[#This Row],[Hora Final]])-MONTH(TAB_HISTORICO_MANUT[[#This Row],[Hora Inicio]])</f>
        <v>0</v>
      </c>
      <c r="B628" s="42"/>
      <c r="C628" s="43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Inicio]]=Z627,TAB_HISTORICO_MANUT[[#This Row],[Equipamento]]=AA627,TAB_HISTORICO_MANUT[[#This Row],[Descricao Despacho]]=AD627),0,1)))</f>
        <v>1</v>
      </c>
      <c r="O62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HIDRAULICO</v>
      </c>
      <c r="P628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2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28" s="50">
        <f>IF($Q628="","",(TAB_HISTORICO_MANUT[[#This Row],[Hora Final]]-TAB_HISTORICO_MANUT[[#This Row],[Hora Inicio]])*24)</f>
        <v>2.2736111110425554</v>
      </c>
      <c r="S62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28" s="54" t="str">
        <f>IF(AND(TAB_HISTORICO_MANUT[[#This Row],[EXPURGO Mãe]]="SIM",TAB_HISTORICO_MANUT[[#This Row],[Tipo]]="MÃE"),"EXP.MAE",IF(TAB_HISTORICO_MANUT[[#This Row],[EXPURGO Mãe]]="NÃO","NÃO EXP.MAE",T627))</f>
        <v>NÃO EXP.MAE</v>
      </c>
      <c r="U62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28" s="56">
        <f>IF(TAB_HISTORICO_MANUT[[#This Row],[EXPURGO Filhas]]="SIM",MAX(TAB_HISTORICO_MANUT[[#This Row],[Hora Final]]-TAB_HISTORICO_MANUT[[#This Row],[Hora Inicio]],0),0)</f>
        <v>0</v>
      </c>
      <c r="W62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2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28" s="46">
        <v>46180.259062500001</v>
      </c>
      <c r="Z628" s="47">
        <v>46180.353796296295</v>
      </c>
      <c r="AA628" s="48" t="s">
        <v>208</v>
      </c>
      <c r="AB628" s="48" t="s">
        <v>240</v>
      </c>
      <c r="AC628" s="43" t="s">
        <v>204</v>
      </c>
      <c r="AD628" s="46" t="s">
        <v>144</v>
      </c>
      <c r="AE628" s="46" t="s">
        <v>172</v>
      </c>
      <c r="AF628" s="88" t="s">
        <v>210</v>
      </c>
      <c r="AG628" s="105">
        <f>IF(TAB_HISTORICO_MANUT[[#This Row],[Hora Inicio]]="","",MONTH(TAB_HISTORICO_MANUT[[#This Row],[Hora Inicio]]))</f>
        <v>6</v>
      </c>
      <c r="AH628" s="58" t="s">
        <v>1124</v>
      </c>
      <c r="AI628" s="43" t="s">
        <v>149</v>
      </c>
      <c r="AJ628" s="43" t="s">
        <v>423</v>
      </c>
      <c r="AK628" s="43" t="s">
        <v>422</v>
      </c>
      <c r="AL628" s="43" t="s">
        <v>533</v>
      </c>
      <c r="AM628" s="114" t="s">
        <v>813</v>
      </c>
      <c r="AN628" s="43" t="s">
        <v>217</v>
      </c>
      <c r="AO628" s="43" t="s">
        <v>573</v>
      </c>
      <c r="AP628" s="43" t="s">
        <v>218</v>
      </c>
    </row>
    <row r="629" spans="1:42" ht="50.1" customHeight="1" x14ac:dyDescent="0.25">
      <c r="A629" s="115">
        <f>MONTH(TAB_HISTORICO_MANUT[[#This Row],[Hora Final]])-MONTH(TAB_HISTORICO_MANUT[[#This Row],[Hora Inicio]])</f>
        <v>0</v>
      </c>
      <c r="B629" s="116"/>
      <c r="C629" s="115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Inicio]]=Z628,TAB_HISTORICO_MANUT[[#This Row],[Equipamento]]=AA628,TAB_HISTORICO_MANUT[[#This Row],[Descricao Despacho]]=AD628),0,1)))</f>
        <v>1</v>
      </c>
      <c r="O62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62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62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629" s="107">
        <f>IF($Q629="","",(TAB_HISTORICO_MANUT[[#This Row],[Hora Final]]-TAB_HISTORICO_MANUT[[#This Row],[Hora Inicio]])*24)</f>
        <v>5.8072222222108394</v>
      </c>
      <c r="S62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29" s="109" t="str">
        <f>IF(AND(TAB_HISTORICO_MANUT[[#This Row],[EXPURGO Mãe]]="SIM",TAB_HISTORICO_MANUT[[#This Row],[Tipo]]="MÃE"),"EXP.MAE",IF(TAB_HISTORICO_MANUT[[#This Row],[EXPURGO Mãe]]="NÃO","NÃO EXP.MAE",T628))</f>
        <v>NÃO EXP.MAE</v>
      </c>
      <c r="U62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29" s="110">
        <f>IF(TAB_HISTORICO_MANUT[[#This Row],[EXPURGO Filhas]]="SIM",MAX(TAB_HISTORICO_MANUT[[#This Row],[Hora Final]]-TAB_HISTORICO_MANUT[[#This Row],[Hora Inicio]],0),0)</f>
        <v>0</v>
      </c>
      <c r="W62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2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29" s="117">
        <v>46181.286851851852</v>
      </c>
      <c r="Z629" s="118">
        <v>46181.528819444444</v>
      </c>
      <c r="AA629" s="119" t="s">
        <v>208</v>
      </c>
      <c r="AB629" s="119"/>
      <c r="AC629" s="115" t="s">
        <v>205</v>
      </c>
      <c r="AD629" s="117" t="s">
        <v>145</v>
      </c>
      <c r="AE629" s="117" t="s">
        <v>173</v>
      </c>
      <c r="AF629" s="88" t="s">
        <v>210</v>
      </c>
      <c r="AG629" s="123">
        <f>IF(TAB_HISTORICO_MANUT[[#This Row],[Hora Inicio]]="","",MONTH(TAB_HISTORICO_MANUT[[#This Row],[Hora Inicio]]))</f>
        <v>6</v>
      </c>
      <c r="AH629" s="120" t="s">
        <v>326</v>
      </c>
      <c r="AI629" s="115" t="s">
        <v>21</v>
      </c>
      <c r="AJ629" s="115" t="s">
        <v>21</v>
      </c>
      <c r="AK629" s="115" t="s">
        <v>21</v>
      </c>
      <c r="AL629" s="115" t="s">
        <v>21</v>
      </c>
      <c r="AM629" s="121" t="s">
        <v>21</v>
      </c>
      <c r="AN629" s="115"/>
      <c r="AO629" s="115"/>
      <c r="AP629" s="115"/>
    </row>
    <row r="630" spans="1:42" ht="50.1" customHeight="1" x14ac:dyDescent="0.25">
      <c r="A630" s="43">
        <f>MONTH(TAB_HISTORICO_MANUT[[#This Row],[Hora Final]])-MONTH(TAB_HISTORICO_MANUT[[#This Row],[Hora Inicio]])</f>
        <v>0</v>
      </c>
      <c r="B630" s="42"/>
      <c r="C630" s="43"/>
      <c r="D630" s="42"/>
      <c r="E630" s="42"/>
      <c r="F630" s="42"/>
      <c r="G630" s="42"/>
      <c r="H630" s="42"/>
      <c r="I630" s="42"/>
      <c r="J630" s="42"/>
      <c r="K630" s="42"/>
      <c r="L630" s="42"/>
      <c r="M630" s="42" t="s">
        <v>98</v>
      </c>
      <c r="N630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Inicio]]=Z629,TAB_HISTORICO_MANUT[[#This Row],[Equipamento]]=AA629,TAB_HISTORICO_MANUT[[#This Row],[Descricao Despacho]]=AD629),0,1)))</f>
        <v/>
      </c>
      <c r="O63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630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63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630" s="107" t="str">
        <f>IF($Q630="","",(TAB_HISTORICO_MANUT[[#This Row],[Hora Final]]-TAB_HISTORICO_MANUT[[#This Row],[Hora Inicio]])*24)</f>
        <v/>
      </c>
      <c r="S63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630" s="109" t="str">
        <f>IF(AND(TAB_HISTORICO_MANUT[[#This Row],[EXPURGO Mãe]]="SIM",TAB_HISTORICO_MANUT[[#This Row],[Tipo]]="MÃE"),"EXP.MAE",IF(TAB_HISTORICO_MANUT[[#This Row],[EXPURGO Mãe]]="NÃO","NÃO EXP.MAE",T629))</f>
        <v>NÃO EXP.MAE</v>
      </c>
      <c r="U63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630" s="110">
        <f>IF(TAB_HISTORICO_MANUT[[#This Row],[EXPURGO Filhas]]="SIM",MAX(TAB_HISTORICO_MANUT[[#This Row],[Hora Final]]-TAB_HISTORICO_MANUT[[#This Row],[Hora Inicio]],0),0)</f>
        <v>0.11076308518386213</v>
      </c>
      <c r="W63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3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30" s="46">
        <v>46181.41805635926</v>
      </c>
      <c r="Z630" s="47">
        <v>46181.528819444444</v>
      </c>
      <c r="AA630" s="48" t="s">
        <v>208</v>
      </c>
      <c r="AB630" s="48"/>
      <c r="AC630" s="115" t="s">
        <v>205</v>
      </c>
      <c r="AD630" s="46" t="s">
        <v>145</v>
      </c>
      <c r="AE630" s="46" t="s">
        <v>173</v>
      </c>
      <c r="AF630" s="88" t="s">
        <v>767</v>
      </c>
      <c r="AG630" s="105">
        <f>IF(TAB_HISTORICO_MANUT[[#This Row],[Hora Inicio]]="","",MONTH(TAB_HISTORICO_MANUT[[#This Row],[Hora Inicio]]))</f>
        <v>6</v>
      </c>
      <c r="AH630" s="120" t="s">
        <v>326</v>
      </c>
      <c r="AI630" s="115" t="s">
        <v>21</v>
      </c>
      <c r="AJ630" s="115" t="s">
        <v>21</v>
      </c>
      <c r="AK630" s="115" t="s">
        <v>21</v>
      </c>
      <c r="AL630" s="115" t="s">
        <v>21</v>
      </c>
      <c r="AM630" s="121" t="s">
        <v>21</v>
      </c>
      <c r="AN630" s="43"/>
      <c r="AO630" s="43"/>
      <c r="AP630" s="43"/>
    </row>
    <row r="631" spans="1:42" ht="50.1" customHeight="1" x14ac:dyDescent="0.25">
      <c r="A631" s="115">
        <f>MONTH(TAB_HISTORICO_MANUT[[#This Row],[Hora Final]])-MONTH(TAB_HISTORICO_MANUT[[#This Row],[Hora Inicio]])</f>
        <v>0</v>
      </c>
      <c r="B631" s="116"/>
      <c r="C631" s="115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Inicio]]=Z630,TAB_HISTORICO_MANUT[[#This Row],[Equipamento]]=AA630,TAB_HISTORICO_MANUT[[#This Row],[Descricao Despacho]]=AD630),0,1)))</f>
        <v>1</v>
      </c>
      <c r="O63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63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3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31" s="107">
        <f>IF($Q631="","",(TAB_HISTORICO_MANUT[[#This Row],[Hora Final]]-TAB_HISTORICO_MANUT[[#This Row],[Hora Inicio]])*24)</f>
        <v>40.534999999974389</v>
      </c>
      <c r="S63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31" s="109" t="str">
        <f>IF(AND(TAB_HISTORICO_MANUT[[#This Row],[EXPURGO Mãe]]="SIM",TAB_HISTORICO_MANUT[[#This Row],[Tipo]]="MÃE"),"EXP.MAE",IF(TAB_HISTORICO_MANUT[[#This Row],[EXPURGO Mãe]]="NÃO","NÃO EXP.MAE",T630))</f>
        <v>NÃO EXP.MAE</v>
      </c>
      <c r="U63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31" s="110">
        <f>IF(TAB_HISTORICO_MANUT[[#This Row],[EXPURGO Filhas]]="SIM",MAX(TAB_HISTORICO_MANUT[[#This Row],[Hora Final]]-TAB_HISTORICO_MANUT[[#This Row],[Hora Inicio]],0),0)</f>
        <v>0</v>
      </c>
      <c r="W63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3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31" s="117">
        <v>46182.531469907408</v>
      </c>
      <c r="Z631" s="118">
        <v>46184.22042824074</v>
      </c>
      <c r="AA631" s="119" t="s">
        <v>208</v>
      </c>
      <c r="AB631" s="119"/>
      <c r="AC631" s="115" t="s">
        <v>204</v>
      </c>
      <c r="AD631" s="117" t="s">
        <v>144</v>
      </c>
      <c r="AE631" s="117" t="s">
        <v>172</v>
      </c>
      <c r="AF631" s="88" t="s">
        <v>210</v>
      </c>
      <c r="AG631" s="123">
        <f>IF(TAB_HISTORICO_MANUT[[#This Row],[Hora Inicio]]="","",MONTH(TAB_HISTORICO_MANUT[[#This Row],[Hora Inicio]]))</f>
        <v>6</v>
      </c>
      <c r="AH631" s="120" t="s">
        <v>1134</v>
      </c>
      <c r="AI631" s="115" t="s">
        <v>24</v>
      </c>
      <c r="AJ631" s="115" t="s">
        <v>623</v>
      </c>
      <c r="AK631" s="115" t="s">
        <v>1136</v>
      </c>
      <c r="AL631" s="115" t="s">
        <v>1137</v>
      </c>
      <c r="AM631" s="121" t="s">
        <v>276</v>
      </c>
      <c r="AN631" s="115"/>
      <c r="AO631" s="115"/>
      <c r="AP631" s="115"/>
    </row>
    <row r="632" spans="1:42" ht="50.1" customHeight="1" x14ac:dyDescent="0.25">
      <c r="A632" s="115">
        <f>MONTH(TAB_HISTORICO_MANUT[[#This Row],[Hora Final]])-MONTH(TAB_HISTORICO_MANUT[[#This Row],[Hora Inicio]])</f>
        <v>0</v>
      </c>
      <c r="B632" s="116"/>
      <c r="C632" s="115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Inicio]]=Z631,TAB_HISTORICO_MANUT[[#This Row],[Equipamento]]=AA631,TAB_HISTORICO_MANUT[[#This Row],[Descricao Despacho]]=AD631),0,1)))</f>
        <v/>
      </c>
      <c r="O63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632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63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632" s="107" t="str">
        <f>IF($Q632="","",(TAB_HISTORICO_MANUT[[#This Row],[Hora Final]]-TAB_HISTORICO_MANUT[[#This Row],[Hora Inicio]])*24)</f>
        <v/>
      </c>
      <c r="S63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632" s="109" t="str">
        <f>IF(AND(TAB_HISTORICO_MANUT[[#This Row],[EXPURGO Mãe]]="SIM",TAB_HISTORICO_MANUT[[#This Row],[Tipo]]="MÃE"),"EXP.MAE",IF(TAB_HISTORICO_MANUT[[#This Row],[EXPURGO Mãe]]="NÃO","NÃO EXP.MAE",T631))</f>
        <v>NÃO EXP.MAE</v>
      </c>
      <c r="U63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632" s="110">
        <f>IF(TAB_HISTORICO_MANUT[[#This Row],[EXPURGO Filhas]]="SIM",MAX(TAB_HISTORICO_MANUT[[#This Row],[Hora Final]]-TAB_HISTORICO_MANUT[[#This Row],[Hora Inicio]],0),0)</f>
        <v>6.9444444445252884E-2</v>
      </c>
      <c r="W63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3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32" s="117">
        <v>46183.263888888891</v>
      </c>
      <c r="Z632" s="118">
        <v>46183.333333333336</v>
      </c>
      <c r="AA632" s="119" t="s">
        <v>208</v>
      </c>
      <c r="AB632" s="119">
        <v>202602978343</v>
      </c>
      <c r="AC632" s="115" t="s">
        <v>204</v>
      </c>
      <c r="AD632" s="117" t="s">
        <v>144</v>
      </c>
      <c r="AE632" s="117" t="s">
        <v>231</v>
      </c>
      <c r="AF632" s="88" t="s">
        <v>767</v>
      </c>
      <c r="AG632" s="123">
        <f>IF(TAB_HISTORICO_MANUT[[#This Row],[Hora Inicio]]="","",MONTH(TAB_HISTORICO_MANUT[[#This Row],[Hora Inicio]]))</f>
        <v>6</v>
      </c>
      <c r="AH632" s="120" t="s">
        <v>1070</v>
      </c>
      <c r="AI632" s="115" t="s">
        <v>24</v>
      </c>
      <c r="AJ632" s="115" t="s">
        <v>623</v>
      </c>
      <c r="AK632" s="115" t="s">
        <v>1136</v>
      </c>
      <c r="AL632" s="115" t="s">
        <v>1137</v>
      </c>
      <c r="AM632" s="121" t="s">
        <v>276</v>
      </c>
      <c r="AN632" s="115"/>
      <c r="AO632" s="115"/>
      <c r="AP632" s="115"/>
    </row>
    <row r="633" spans="1:42" ht="50.1" customHeight="1" x14ac:dyDescent="0.25">
      <c r="A633" s="115">
        <f>MONTH(TAB_HISTORICO_MANUT[[#This Row],[Hora Final]])-MONTH(TAB_HISTORICO_MANUT[[#This Row],[Hora Inicio]])</f>
        <v>0</v>
      </c>
      <c r="B633" s="116"/>
      <c r="C633" s="115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Inicio]]=Z632,TAB_HISTORICO_MANUT[[#This Row],[Equipamento]]=AA632,TAB_HISTORICO_MANUT[[#This Row],[Descricao Despacho]]=AD632),0,1)))</f>
        <v/>
      </c>
      <c r="O63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633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63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633" s="107" t="str">
        <f>IF($Q633="","",(TAB_HISTORICO_MANUT[[#This Row],[Hora Final]]-TAB_HISTORICO_MANUT[[#This Row],[Hora Inicio]])*24)</f>
        <v/>
      </c>
      <c r="S63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633" s="109" t="str">
        <f>IF(AND(TAB_HISTORICO_MANUT[[#This Row],[EXPURGO Mãe]]="SIM",TAB_HISTORICO_MANUT[[#This Row],[Tipo]]="MÃE"),"EXP.MAE",IF(TAB_HISTORICO_MANUT[[#This Row],[EXPURGO Mãe]]="NÃO","NÃO EXP.MAE",T632))</f>
        <v>NÃO EXP.MAE</v>
      </c>
      <c r="U63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633" s="110">
        <f>IF(TAB_HISTORICO_MANUT[[#This Row],[EXPURGO Filhas]]="SIM",MAX(TAB_HISTORICO_MANUT[[#This Row],[Hora Final]]-TAB_HISTORICO_MANUT[[#This Row],[Hora Inicio]],0),0)</f>
        <v>3.9583333331393078E-2</v>
      </c>
      <c r="W63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3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33" s="117">
        <v>46183.548611111109</v>
      </c>
      <c r="Z633" s="118">
        <v>46183.588194444441</v>
      </c>
      <c r="AA633" s="119" t="s">
        <v>208</v>
      </c>
      <c r="AB633" s="119">
        <v>202602978343</v>
      </c>
      <c r="AC633" s="115" t="s">
        <v>204</v>
      </c>
      <c r="AD633" s="117" t="s">
        <v>144</v>
      </c>
      <c r="AE633" s="117" t="s">
        <v>231</v>
      </c>
      <c r="AF633" s="88" t="s">
        <v>767</v>
      </c>
      <c r="AG633" s="123">
        <f>IF(TAB_HISTORICO_MANUT[[#This Row],[Hora Inicio]]="","",MONTH(TAB_HISTORICO_MANUT[[#This Row],[Hora Inicio]]))</f>
        <v>6</v>
      </c>
      <c r="AH633" s="120" t="s">
        <v>1070</v>
      </c>
      <c r="AI633" s="115" t="s">
        <v>24</v>
      </c>
      <c r="AJ633" s="115" t="s">
        <v>623</v>
      </c>
      <c r="AK633" s="115" t="s">
        <v>1136</v>
      </c>
      <c r="AL633" s="115" t="s">
        <v>1137</v>
      </c>
      <c r="AM633" s="121" t="s">
        <v>276</v>
      </c>
      <c r="AN633" s="115"/>
      <c r="AO633" s="115"/>
      <c r="AP633" s="115"/>
    </row>
    <row r="634" spans="1:42" ht="50.1" customHeight="1" x14ac:dyDescent="0.25">
      <c r="A634" s="115">
        <f>MONTH(TAB_HISTORICO_MANUT[[#This Row],[Hora Final]])-MONTH(TAB_HISTORICO_MANUT[[#This Row],[Hora Inicio]])</f>
        <v>0</v>
      </c>
      <c r="B634" s="116"/>
      <c r="C634" s="115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Inicio]]=Z633,TAB_HISTORICO_MANUT[[#This Row],[Equipamento]]=AA633,TAB_HISTORICO_MANUT[[#This Row],[Descricao Despacho]]=AD633),0,1)))</f>
        <v>1</v>
      </c>
      <c r="O63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63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3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34" s="107">
        <f>IF($Q634="","",(TAB_HISTORICO_MANUT[[#This Row],[Hora Final]]-TAB_HISTORICO_MANUT[[#This Row],[Hora Inicio]])*24)</f>
        <v>6.1736111110076308</v>
      </c>
      <c r="S63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34" s="109" t="str">
        <f>IF(AND(TAB_HISTORICO_MANUT[[#This Row],[EXPURGO Mãe]]="SIM",TAB_HISTORICO_MANUT[[#This Row],[Tipo]]="MÃE"),"EXP.MAE",IF(TAB_HISTORICO_MANUT[[#This Row],[EXPURGO Mãe]]="NÃO","NÃO EXP.MAE",T633))</f>
        <v>NÃO EXP.MAE</v>
      </c>
      <c r="U63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34" s="110">
        <f>IF(TAB_HISTORICO_MANUT[[#This Row],[EXPURGO Filhas]]="SIM",MAX(TAB_HISTORICO_MANUT[[#This Row],[Hora Final]]-TAB_HISTORICO_MANUT[[#This Row],[Hora Inicio]],0),0)</f>
        <v>0</v>
      </c>
      <c r="W63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3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34" s="117">
        <v>46184.45684027778</v>
      </c>
      <c r="Z634" s="118">
        <v>46184.714074074072</v>
      </c>
      <c r="AA634" s="119" t="s">
        <v>208</v>
      </c>
      <c r="AB634" s="119" t="s">
        <v>1141</v>
      </c>
      <c r="AC634" s="115" t="s">
        <v>204</v>
      </c>
      <c r="AD634" s="117" t="s">
        <v>144</v>
      </c>
      <c r="AE634" s="117" t="s">
        <v>172</v>
      </c>
      <c r="AF634" s="88" t="s">
        <v>210</v>
      </c>
      <c r="AG634" s="123">
        <f>IF(TAB_HISTORICO_MANUT[[#This Row],[Hora Inicio]]="","",MONTH(TAB_HISTORICO_MANUT[[#This Row],[Hora Inicio]]))</f>
        <v>6</v>
      </c>
      <c r="AH634" s="120" t="s">
        <v>1151</v>
      </c>
      <c r="AI634" s="115" t="s">
        <v>235</v>
      </c>
      <c r="AJ634" s="115" t="s">
        <v>908</v>
      </c>
      <c r="AK634" s="115" t="s">
        <v>644</v>
      </c>
      <c r="AL634" s="115" t="s">
        <v>297</v>
      </c>
      <c r="AM634" s="121" t="s">
        <v>813</v>
      </c>
      <c r="AN634" s="115" t="s">
        <v>217</v>
      </c>
      <c r="AO634" s="115" t="s">
        <v>317</v>
      </c>
      <c r="AP634" s="115" t="s">
        <v>318</v>
      </c>
    </row>
    <row r="635" spans="1:42" ht="50.1" customHeight="1" x14ac:dyDescent="0.25">
      <c r="A635" s="115">
        <f>MONTH(TAB_HISTORICO_MANUT[[#This Row],[Hora Final]])-MONTH(TAB_HISTORICO_MANUT[[#This Row],[Hora Inicio]])</f>
        <v>0</v>
      </c>
      <c r="B635" s="116"/>
      <c r="C635" s="115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Inicio]]=Z634,TAB_HISTORICO_MANUT[[#This Row],[Equipamento]]=AA634,TAB_HISTORICO_MANUT[[#This Row],[Descricao Despacho]]=AD634),0,1)))</f>
        <v/>
      </c>
      <c r="O63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635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63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635" s="107" t="str">
        <f>IF($Q635="","",(TAB_HISTORICO_MANUT[[#This Row],[Hora Final]]-TAB_HISTORICO_MANUT[[#This Row],[Hora Inicio]])*24)</f>
        <v/>
      </c>
      <c r="S63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635" s="109" t="str">
        <f>IF(AND(TAB_HISTORICO_MANUT[[#This Row],[EXPURGO Mãe]]="SIM",TAB_HISTORICO_MANUT[[#This Row],[Tipo]]="MÃE"),"EXP.MAE",IF(TAB_HISTORICO_MANUT[[#This Row],[EXPURGO Mãe]]="NÃO","NÃO EXP.MAE",T634))</f>
        <v>NÃO EXP.MAE</v>
      </c>
      <c r="U63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635" s="110">
        <f>IF(TAB_HISTORICO_MANUT[[#This Row],[EXPURGO Filhas]]="SIM",MAX(TAB_HISTORICO_MANUT[[#This Row],[Hora Final]]-TAB_HISTORICO_MANUT[[#This Row],[Hora Inicio]],0),0)</f>
        <v>0.17726851851330139</v>
      </c>
      <c r="W63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3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35" s="117">
        <v>46184.536805555559</v>
      </c>
      <c r="Z635" s="118">
        <v>46184.714074074072</v>
      </c>
      <c r="AA635" s="119" t="s">
        <v>208</v>
      </c>
      <c r="AB635" s="119" t="s">
        <v>1141</v>
      </c>
      <c r="AC635" s="115" t="s">
        <v>204</v>
      </c>
      <c r="AD635" s="117" t="s">
        <v>144</v>
      </c>
      <c r="AE635" s="117" t="s">
        <v>784</v>
      </c>
      <c r="AF635" s="88" t="s">
        <v>767</v>
      </c>
      <c r="AG635" s="123">
        <f>IF(TAB_HISTORICO_MANUT[[#This Row],[Hora Inicio]]="","",MONTH(TAB_HISTORICO_MANUT[[#This Row],[Hora Inicio]]))</f>
        <v>6</v>
      </c>
      <c r="AH635" s="120" t="s">
        <v>1301</v>
      </c>
      <c r="AI635" s="115" t="s">
        <v>235</v>
      </c>
      <c r="AJ635" s="115" t="s">
        <v>908</v>
      </c>
      <c r="AK635" s="115" t="s">
        <v>644</v>
      </c>
      <c r="AL635" s="115" t="s">
        <v>297</v>
      </c>
      <c r="AM635" s="121" t="s">
        <v>813</v>
      </c>
      <c r="AN635" s="115"/>
      <c r="AO635" s="115"/>
      <c r="AP635" s="115"/>
    </row>
    <row r="636" spans="1:42" ht="50.1" customHeight="1" x14ac:dyDescent="0.25">
      <c r="A636" s="115">
        <f>MONTH(TAB_HISTORICO_MANUT[[#This Row],[Hora Final]])-MONTH(TAB_HISTORICO_MANUT[[#This Row],[Hora Inicio]])</f>
        <v>0</v>
      </c>
      <c r="B636" s="116"/>
      <c r="C636" s="115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Inicio]]=Z635,TAB_HISTORICO_MANUT[[#This Row],[Equipamento]]=AA635,TAB_HISTORICO_MANUT[[#This Row],[Descricao Despacho]]=AD635),0,1)))</f>
        <v>1</v>
      </c>
      <c r="O63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63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63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636" s="107">
        <f>IF($Q636="","",(TAB_HISTORICO_MANUT[[#This Row],[Hora Final]]-TAB_HISTORICO_MANUT[[#This Row],[Hora Inicio]])*24)</f>
        <v>2.5705555555759929</v>
      </c>
      <c r="S63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36" s="109" t="str">
        <f>IF(AND(TAB_HISTORICO_MANUT[[#This Row],[EXPURGO Mãe]]="SIM",TAB_HISTORICO_MANUT[[#This Row],[Tipo]]="MÃE"),"EXP.MAE",IF(TAB_HISTORICO_MANUT[[#This Row],[EXPURGO Mãe]]="NÃO","NÃO EXP.MAE",T635))</f>
        <v>NÃO EXP.MAE</v>
      </c>
      <c r="U63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36" s="110">
        <f>IF(TAB_HISTORICO_MANUT[[#This Row],[EXPURGO Filhas]]="SIM",MAX(TAB_HISTORICO_MANUT[[#This Row],[Hora Final]]-TAB_HISTORICO_MANUT[[#This Row],[Hora Inicio]],0),0)</f>
        <v>0</v>
      </c>
      <c r="W63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3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36" s="117">
        <v>46185.278391203705</v>
      </c>
      <c r="Z636" s="118">
        <v>46185.385497685187</v>
      </c>
      <c r="AA636" s="119" t="s">
        <v>208</v>
      </c>
      <c r="AB636" s="119"/>
      <c r="AC636" s="115" t="s">
        <v>205</v>
      </c>
      <c r="AD636" s="117" t="s">
        <v>145</v>
      </c>
      <c r="AE636" s="117" t="s">
        <v>173</v>
      </c>
      <c r="AF636" s="88" t="s">
        <v>210</v>
      </c>
      <c r="AG636" s="123">
        <f>IF(TAB_HISTORICO_MANUT[[#This Row],[Hora Inicio]]="","",MONTH(TAB_HISTORICO_MANUT[[#This Row],[Hora Inicio]]))</f>
        <v>6</v>
      </c>
      <c r="AH636" s="120" t="s">
        <v>1152</v>
      </c>
      <c r="AI636" s="115" t="s">
        <v>21</v>
      </c>
      <c r="AJ636" s="115" t="s">
        <v>293</v>
      </c>
      <c r="AK636" s="115" t="s">
        <v>291</v>
      </c>
      <c r="AL636" s="115" t="s">
        <v>1005</v>
      </c>
      <c r="AM636" s="121" t="s">
        <v>294</v>
      </c>
      <c r="AN636" s="115"/>
      <c r="AO636" s="115"/>
      <c r="AP636" s="115"/>
    </row>
    <row r="637" spans="1:42" ht="50.1" customHeight="1" x14ac:dyDescent="0.25">
      <c r="A637" s="115">
        <f>MONTH(TAB_HISTORICO_MANUT[[#This Row],[Hora Final]])-MONTH(TAB_HISTORICO_MANUT[[#This Row],[Hora Inicio]])</f>
        <v>0</v>
      </c>
      <c r="B637" s="116"/>
      <c r="C637" s="115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 t="s">
        <v>98</v>
      </c>
      <c r="N637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Inicio]]=Z636,TAB_HISTORICO_MANUT[[#This Row],[Equipamento]]=AA636,TAB_HISTORICO_MANUT[[#This Row],[Descricao Despacho]]=AD636),0,1)))</f>
        <v/>
      </c>
      <c r="O63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637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63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637" s="107" t="str">
        <f>IF($Q637="","",(TAB_HISTORICO_MANUT[[#This Row],[Hora Final]]-TAB_HISTORICO_MANUT[[#This Row],[Hora Inicio]])*24)</f>
        <v/>
      </c>
      <c r="S63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637" s="109" t="str">
        <f>IF(AND(TAB_HISTORICO_MANUT[[#This Row],[EXPURGO Mãe]]="SIM",TAB_HISTORICO_MANUT[[#This Row],[Tipo]]="MÃE"),"EXP.MAE",IF(TAB_HISTORICO_MANUT[[#This Row],[EXPURGO Mãe]]="NÃO","NÃO EXP.MAE",T636))</f>
        <v>NÃO EXP.MAE</v>
      </c>
      <c r="U63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637" s="110">
        <f>IF(TAB_HISTORICO_MANUT[[#This Row],[EXPURGO Filhas]]="SIM",MAX(TAB_HISTORICO_MANUT[[#This Row],[Hora Final]]-TAB_HISTORICO_MANUT[[#This Row],[Hora Inicio]],0),0)</f>
        <v>4.9029062960471492E-2</v>
      </c>
      <c r="W63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3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37" s="117">
        <v>46185.336468622227</v>
      </c>
      <c r="Z637" s="118">
        <v>46185.385497685187</v>
      </c>
      <c r="AA637" s="119" t="s">
        <v>208</v>
      </c>
      <c r="AB637" s="119"/>
      <c r="AC637" s="115" t="s">
        <v>205</v>
      </c>
      <c r="AD637" s="117" t="s">
        <v>145</v>
      </c>
      <c r="AE637" s="117" t="s">
        <v>173</v>
      </c>
      <c r="AF637" s="88" t="s">
        <v>767</v>
      </c>
      <c r="AG637" s="123">
        <f>IF(TAB_HISTORICO_MANUT[[#This Row],[Hora Inicio]]="","",MONTH(TAB_HISTORICO_MANUT[[#This Row],[Hora Inicio]]))</f>
        <v>6</v>
      </c>
      <c r="AH637" s="120" t="s">
        <v>1152</v>
      </c>
      <c r="AI637" s="115" t="s">
        <v>21</v>
      </c>
      <c r="AJ637" s="115" t="s">
        <v>293</v>
      </c>
      <c r="AK637" s="115" t="s">
        <v>291</v>
      </c>
      <c r="AL637" s="115" t="s">
        <v>1005</v>
      </c>
      <c r="AM637" s="121" t="s">
        <v>294</v>
      </c>
      <c r="AN637" s="115"/>
      <c r="AO637" s="115"/>
      <c r="AP637" s="115"/>
    </row>
    <row r="638" spans="1:42" ht="50.1" customHeight="1" x14ac:dyDescent="0.25">
      <c r="A638" s="115">
        <f>MONTH(TAB_HISTORICO_MANUT[[#This Row],[Hora Final]])-MONTH(TAB_HISTORICO_MANUT[[#This Row],[Hora Inicio]])</f>
        <v>0</v>
      </c>
      <c r="B638" s="116"/>
      <c r="C638" s="115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Inicio]]=Z637,TAB_HISTORICO_MANUT[[#This Row],[Equipamento]]=AA637,TAB_HISTORICO_MANUT[[#This Row],[Descricao Despacho]]=AD637),0,1)))</f>
        <v>1</v>
      </c>
      <c r="O63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AR CONDICIONADO</v>
      </c>
      <c r="P63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3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38" s="107">
        <f>IF($Q638="","",(TAB_HISTORICO_MANUT[[#This Row],[Hora Final]]-TAB_HISTORICO_MANUT[[#This Row],[Hora Inicio]])*24)</f>
        <v>4.5002777778427117</v>
      </c>
      <c r="S63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38" s="109" t="str">
        <f>IF(AND(TAB_HISTORICO_MANUT[[#This Row],[EXPURGO Mãe]]="SIM",TAB_HISTORICO_MANUT[[#This Row],[Tipo]]="MÃE"),"EXP.MAE",IF(TAB_HISTORICO_MANUT[[#This Row],[EXPURGO Mãe]]="NÃO","NÃO EXP.MAE",T637))</f>
        <v>NÃO EXP.MAE</v>
      </c>
      <c r="U63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38" s="110">
        <f>IF(TAB_HISTORICO_MANUT[[#This Row],[EXPURGO Filhas]]="SIM",MAX(TAB_HISTORICO_MANUT[[#This Row],[Hora Final]]-TAB_HISTORICO_MANUT[[#This Row],[Hora Inicio]],0),0)</f>
        <v>0</v>
      </c>
      <c r="W63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3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38" s="117">
        <v>46188.312025462961</v>
      </c>
      <c r="Z638" s="118">
        <v>46188.499537037038</v>
      </c>
      <c r="AA638" s="119" t="s">
        <v>208</v>
      </c>
      <c r="AB638" s="119" t="s">
        <v>1167</v>
      </c>
      <c r="AC638" s="115" t="s">
        <v>204</v>
      </c>
      <c r="AD638" s="117" t="s">
        <v>144</v>
      </c>
      <c r="AE638" s="117" t="s">
        <v>172</v>
      </c>
      <c r="AF638" s="88" t="s">
        <v>210</v>
      </c>
      <c r="AG638" s="123">
        <f>IF(TAB_HISTORICO_MANUT[[#This Row],[Hora Inicio]]="","",MONTH(TAB_HISTORICO_MANUT[[#This Row],[Hora Inicio]]))</f>
        <v>6</v>
      </c>
      <c r="AH638" s="120" t="s">
        <v>1164</v>
      </c>
      <c r="AI638" s="115" t="s">
        <v>37</v>
      </c>
      <c r="AJ638" s="115" t="s">
        <v>273</v>
      </c>
      <c r="AK638" s="115" t="s">
        <v>1168</v>
      </c>
      <c r="AL638" s="115" t="s">
        <v>282</v>
      </c>
      <c r="AM638" s="121" t="s">
        <v>276</v>
      </c>
      <c r="AN638" s="115" t="s">
        <v>217</v>
      </c>
      <c r="AO638" s="115" t="s">
        <v>216</v>
      </c>
      <c r="AP638" s="115" t="s">
        <v>757</v>
      </c>
    </row>
    <row r="639" spans="1:42" ht="50.1" customHeight="1" x14ac:dyDescent="0.25">
      <c r="A639" s="115">
        <f>MONTH(TAB_HISTORICO_MANUT[[#This Row],[Hora Final]])-MONTH(TAB_HISTORICO_MANUT[[#This Row],[Hora Inicio]])</f>
        <v>0</v>
      </c>
      <c r="B639" s="116"/>
      <c r="C639" s="115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Inicio]]=Z638,TAB_HISTORICO_MANUT[[#This Row],[Equipamento]]=AA638,TAB_HISTORICO_MANUT[[#This Row],[Descricao Despacho]]=AD638),0,1)))</f>
        <v>1</v>
      </c>
      <c r="O63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63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63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639" s="107">
        <f>IF($Q639="","",(TAB_HISTORICO_MANUT[[#This Row],[Hora Final]]-TAB_HISTORICO_MANUT[[#This Row],[Hora Inicio]])*24)</f>
        <v>0.38749999995343387</v>
      </c>
      <c r="S63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39" s="109" t="str">
        <f>IF(AND(TAB_HISTORICO_MANUT[[#This Row],[EXPURGO Mãe]]="SIM",TAB_HISTORICO_MANUT[[#This Row],[Tipo]]="MÃE"),"EXP.MAE",IF(TAB_HISTORICO_MANUT[[#This Row],[EXPURGO Mãe]]="NÃO","NÃO EXP.MAE",T638))</f>
        <v>NÃO EXP.MAE</v>
      </c>
      <c r="U63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39" s="110">
        <f>IF(TAB_HISTORICO_MANUT[[#This Row],[EXPURGO Filhas]]="SIM",MAX(TAB_HISTORICO_MANUT[[#This Row],[Hora Final]]-TAB_HISTORICO_MANUT[[#This Row],[Hora Inicio]],0),0)</f>
        <v>0</v>
      </c>
      <c r="W63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3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39" s="117">
        <v>46189.765266203707</v>
      </c>
      <c r="Z639" s="118">
        <v>46189.781412037039</v>
      </c>
      <c r="AA639" s="119" t="s">
        <v>208</v>
      </c>
      <c r="AB639" s="119"/>
      <c r="AC639" s="115" t="s">
        <v>205</v>
      </c>
      <c r="AD639" s="117" t="s">
        <v>145</v>
      </c>
      <c r="AE639" s="117" t="s">
        <v>173</v>
      </c>
      <c r="AF639" s="88" t="s">
        <v>210</v>
      </c>
      <c r="AG639" s="123">
        <f>IF(TAB_HISTORICO_MANUT[[#This Row],[Hora Inicio]]="","",MONTH(TAB_HISTORICO_MANUT[[#This Row],[Hora Inicio]]))</f>
        <v>6</v>
      </c>
      <c r="AH639" s="120" t="s">
        <v>1171</v>
      </c>
      <c r="AI639" s="115" t="s">
        <v>21</v>
      </c>
      <c r="AJ639" s="115" t="s">
        <v>21</v>
      </c>
      <c r="AK639" s="115" t="s">
        <v>21</v>
      </c>
      <c r="AL639" s="115" t="s">
        <v>21</v>
      </c>
      <c r="AM639" s="121" t="s">
        <v>21</v>
      </c>
      <c r="AN639" s="115"/>
      <c r="AO639" s="115"/>
      <c r="AP639" s="115"/>
    </row>
    <row r="640" spans="1:42" ht="50.1" customHeight="1" x14ac:dyDescent="0.25">
      <c r="A640" s="43">
        <f>MONTH(TAB_HISTORICO_MANUT[[#This Row],[Hora Final]])-MONTH(TAB_HISTORICO_MANUT[[#This Row],[Hora Inicio]])</f>
        <v>0</v>
      </c>
      <c r="B640" s="42"/>
      <c r="C640" s="43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Inicio]]=Z639,TAB_HISTORICO_MANUT[[#This Row],[Equipamento]]=AA639,TAB_HISTORICO_MANUT[[#This Row],[Descricao Despacho]]=AD639),0,1)))</f>
        <v/>
      </c>
      <c r="O64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640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64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640" s="50" t="str">
        <f>IF($Q640="","",(TAB_HISTORICO_MANUT[[#This Row],[Hora Final]]-TAB_HISTORICO_MANUT[[#This Row],[Hora Inicio]])*24)</f>
        <v/>
      </c>
      <c r="S64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640" s="54" t="str">
        <f>IF(AND(TAB_HISTORICO_MANUT[[#This Row],[EXPURGO Mãe]]="SIM",TAB_HISTORICO_MANUT[[#This Row],[Tipo]]="MÃE"),"EXP.MAE",IF(TAB_HISTORICO_MANUT[[#This Row],[EXPURGO Mãe]]="NÃO","NÃO EXP.MAE",T639))</f>
        <v>NÃO EXP.MAE</v>
      </c>
      <c r="U64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40" s="56">
        <f>IF(TAB_HISTORICO_MANUT[[#This Row],[EXPURGO Filhas]]="SIM",MAX(TAB_HISTORICO_MANUT[[#This Row],[Hora Final]]-TAB_HISTORICO_MANUT[[#This Row],[Hora Inicio]],0),0)</f>
        <v>0</v>
      </c>
      <c r="W64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4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40" s="46">
        <v>46189.774021120371</v>
      </c>
      <c r="Z640" s="47">
        <v>46189.781412037039</v>
      </c>
      <c r="AA640" s="48" t="s">
        <v>208</v>
      </c>
      <c r="AB640" s="48"/>
      <c r="AC640" s="43" t="s">
        <v>205</v>
      </c>
      <c r="AD640" s="46" t="s">
        <v>145</v>
      </c>
      <c r="AE640" s="46" t="s">
        <v>173</v>
      </c>
      <c r="AF640" s="88" t="s">
        <v>767</v>
      </c>
      <c r="AG640" s="105">
        <f>IF(TAB_HISTORICO_MANUT[[#This Row],[Hora Inicio]]="","",MONTH(TAB_HISTORICO_MANUT[[#This Row],[Hora Inicio]]))</f>
        <v>6</v>
      </c>
      <c r="AH640" s="58" t="s">
        <v>1171</v>
      </c>
      <c r="AI640" s="43" t="s">
        <v>21</v>
      </c>
      <c r="AJ640" s="43" t="s">
        <v>21</v>
      </c>
      <c r="AK640" s="43" t="s">
        <v>21</v>
      </c>
      <c r="AL640" s="43" t="s">
        <v>21</v>
      </c>
      <c r="AM640" s="114"/>
      <c r="AN640" s="43"/>
      <c r="AO640" s="43"/>
      <c r="AP640" s="43"/>
    </row>
    <row r="641" spans="1:42" ht="50.1" customHeight="1" x14ac:dyDescent="0.25">
      <c r="A641" s="43">
        <f>MONTH(TAB_HISTORICO_MANUT[[#This Row],[Hora Final]])-MONTH(TAB_HISTORICO_MANUT[[#This Row],[Hora Inicio]])</f>
        <v>0</v>
      </c>
      <c r="B641" s="42"/>
      <c r="C641" s="43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Inicio]]=Z640,TAB_HISTORICO_MANUT[[#This Row],[Equipamento]]=AA640,TAB_HISTORICO_MANUT[[#This Row],[Descricao Despacho]]=AD640),0,1)))</f>
        <v>1</v>
      </c>
      <c r="O64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641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64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641" s="50">
        <f>IF($Q641="","",(TAB_HISTORICO_MANUT[[#This Row],[Hora Final]]-TAB_HISTORICO_MANUT[[#This Row],[Hora Inicio]])*24)</f>
        <v>1.2197222221875563</v>
      </c>
      <c r="S64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41" s="54" t="str">
        <f>IF(AND(TAB_HISTORICO_MANUT[[#This Row],[EXPURGO Mãe]]="SIM",TAB_HISTORICO_MANUT[[#This Row],[Tipo]]="MÃE"),"EXP.MAE",IF(TAB_HISTORICO_MANUT[[#This Row],[EXPURGO Mãe]]="NÃO","NÃO EXP.MAE",T640))</f>
        <v>NÃO EXP.MAE</v>
      </c>
      <c r="U64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41" s="56">
        <f>IF(TAB_HISTORICO_MANUT[[#This Row],[EXPURGO Filhas]]="SIM",MAX(TAB_HISTORICO_MANUT[[#This Row],[Hora Final]]-TAB_HISTORICO_MANUT[[#This Row],[Hora Inicio]],0),0)</f>
        <v>0</v>
      </c>
      <c r="W64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4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41" s="46">
        <v>46191.450520833336</v>
      </c>
      <c r="Z641" s="47">
        <v>46191.501342592594</v>
      </c>
      <c r="AA641" s="48" t="s">
        <v>208</v>
      </c>
      <c r="AB641" s="48"/>
      <c r="AC641" s="43" t="s">
        <v>882</v>
      </c>
      <c r="AD641" s="46" t="s">
        <v>146</v>
      </c>
      <c r="AE641" s="46" t="s">
        <v>883</v>
      </c>
      <c r="AF641" s="88" t="s">
        <v>210</v>
      </c>
      <c r="AG641" s="105">
        <f>IF(TAB_HISTORICO_MANUT[[#This Row],[Hora Inicio]]="","",MONTH(TAB_HISTORICO_MANUT[[#This Row],[Hora Inicio]]))</f>
        <v>6</v>
      </c>
      <c r="AH641" s="58" t="s">
        <v>751</v>
      </c>
      <c r="AI641" s="43" t="s">
        <v>25</v>
      </c>
      <c r="AJ641" s="43" t="s">
        <v>25</v>
      </c>
      <c r="AK641" s="43" t="s">
        <v>25</v>
      </c>
      <c r="AL641" s="43" t="s">
        <v>25</v>
      </c>
      <c r="AM641" s="114" t="s">
        <v>25</v>
      </c>
      <c r="AN641" s="43"/>
      <c r="AO641" s="43"/>
      <c r="AP641" s="43"/>
    </row>
    <row r="642" spans="1:42" ht="50.1" customHeight="1" x14ac:dyDescent="0.25">
      <c r="A642" s="43">
        <f>MONTH(TAB_HISTORICO_MANUT[[#This Row],[Hora Final]])-MONTH(TAB_HISTORICO_MANUT[[#This Row],[Hora Inicio]])</f>
        <v>0</v>
      </c>
      <c r="B642" s="42"/>
      <c r="C642" s="43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Inicio]]=Z641,TAB_HISTORICO_MANUT[[#This Row],[Equipamento]]=AA641,TAB_HISTORICO_MANUT[[#This Row],[Descricao Despacho]]=AD641),0,1)))</f>
        <v>1</v>
      </c>
      <c r="O64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AR CONDICIONADO</v>
      </c>
      <c r="P642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4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42" s="50">
        <f>IF($Q642="","",(TAB_HISTORICO_MANUT[[#This Row],[Hora Final]]-TAB_HISTORICO_MANUT[[#This Row],[Hora Inicio]])*24)</f>
        <v>1.6794444444822147</v>
      </c>
      <c r="S64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42" s="54" t="str">
        <f>IF(AND(TAB_HISTORICO_MANUT[[#This Row],[EXPURGO Mãe]]="SIM",TAB_HISTORICO_MANUT[[#This Row],[Tipo]]="MÃE"),"EXP.MAE",IF(TAB_HISTORICO_MANUT[[#This Row],[EXPURGO Mãe]]="NÃO","NÃO EXP.MAE",T641))</f>
        <v>NÃO EXP.MAE</v>
      </c>
      <c r="U64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42" s="56">
        <f>IF(TAB_HISTORICO_MANUT[[#This Row],[EXPURGO Filhas]]="SIM",MAX(TAB_HISTORICO_MANUT[[#This Row],[Hora Final]]-TAB_HISTORICO_MANUT[[#This Row],[Hora Inicio]],0),0)</f>
        <v>0</v>
      </c>
      <c r="W64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4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42" s="46">
        <v>46193.141238425924</v>
      </c>
      <c r="Z642" s="47">
        <v>46193.211215277777</v>
      </c>
      <c r="AA642" s="48" t="s">
        <v>208</v>
      </c>
      <c r="AB642" s="48" t="s">
        <v>1187</v>
      </c>
      <c r="AC642" s="43" t="s">
        <v>204</v>
      </c>
      <c r="AD642" s="46" t="s">
        <v>144</v>
      </c>
      <c r="AE642" s="46" t="s">
        <v>172</v>
      </c>
      <c r="AF642" s="88" t="s">
        <v>210</v>
      </c>
      <c r="AG642" s="105">
        <f>IF(TAB_HISTORICO_MANUT[[#This Row],[Hora Inicio]]="","",MONTH(TAB_HISTORICO_MANUT[[#This Row],[Hora Inicio]]))</f>
        <v>6</v>
      </c>
      <c r="AH642" s="58" t="s">
        <v>1198</v>
      </c>
      <c r="AI642" s="43" t="s">
        <v>37</v>
      </c>
      <c r="AJ642" s="43" t="s">
        <v>273</v>
      </c>
      <c r="AK642" s="43" t="s">
        <v>1098</v>
      </c>
      <c r="AL642" s="43" t="s">
        <v>279</v>
      </c>
      <c r="AM642" s="114" t="s">
        <v>280</v>
      </c>
      <c r="AN642" s="43" t="s">
        <v>217</v>
      </c>
      <c r="AO642" s="43" t="s">
        <v>216</v>
      </c>
      <c r="AP642" s="43" t="s">
        <v>1095</v>
      </c>
    </row>
    <row r="643" spans="1:42" ht="50.1" customHeight="1" x14ac:dyDescent="0.25">
      <c r="A643" s="115">
        <f>MONTH(TAB_HISTORICO_MANUT[[#This Row],[Hora Final]])-MONTH(TAB_HISTORICO_MANUT[[#This Row],[Hora Inicio]])</f>
        <v>0</v>
      </c>
      <c r="B643" s="116"/>
      <c r="C643" s="115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Inicio]]=Z642,TAB_HISTORICO_MANUT[[#This Row],[Equipamento]]=AA642,TAB_HISTORICO_MANUT[[#This Row],[Descricao Despacho]]=AD642),0,1)))</f>
        <v>1</v>
      </c>
      <c r="O64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AR CONDICIONADO</v>
      </c>
      <c r="P64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4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43" s="107">
        <f>IF($Q643="","",(TAB_HISTORICO_MANUT[[#This Row],[Hora Final]]-TAB_HISTORICO_MANUT[[#This Row],[Hora Inicio]])*24)</f>
        <v>5.4547222220571712</v>
      </c>
      <c r="S64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43" s="109" t="str">
        <f>IF(AND(TAB_HISTORICO_MANUT[[#This Row],[EXPURGO Mãe]]="SIM",TAB_HISTORICO_MANUT[[#This Row],[Tipo]]="MÃE"),"EXP.MAE",IF(TAB_HISTORICO_MANUT[[#This Row],[EXPURGO Mãe]]="NÃO","NÃO EXP.MAE",T642))</f>
        <v>NÃO EXP.MAE</v>
      </c>
      <c r="U64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43" s="110">
        <f>IF(TAB_HISTORICO_MANUT[[#This Row],[EXPURGO Filhas]]="SIM",MAX(TAB_HISTORICO_MANUT[[#This Row],[Hora Final]]-TAB_HISTORICO_MANUT[[#This Row],[Hora Inicio]],0),0)</f>
        <v>0</v>
      </c>
      <c r="W64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4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43" s="117">
        <v>46193.288298611114</v>
      </c>
      <c r="Z643" s="118">
        <v>46193.5155787037</v>
      </c>
      <c r="AA643" s="119" t="s">
        <v>208</v>
      </c>
      <c r="AB643" s="119"/>
      <c r="AC643" s="115" t="s">
        <v>204</v>
      </c>
      <c r="AD643" s="117" t="s">
        <v>144</v>
      </c>
      <c r="AE643" s="117" t="s">
        <v>172</v>
      </c>
      <c r="AF643" s="88" t="s">
        <v>210</v>
      </c>
      <c r="AG643" s="123">
        <f>IF(TAB_HISTORICO_MANUT[[#This Row],[Hora Inicio]]="","",MONTH(TAB_HISTORICO_MANUT[[#This Row],[Hora Inicio]]))</f>
        <v>6</v>
      </c>
      <c r="AH643" s="120" t="s">
        <v>1199</v>
      </c>
      <c r="AI643" s="115" t="s">
        <v>37</v>
      </c>
      <c r="AJ643" s="115" t="s">
        <v>331</v>
      </c>
      <c r="AK643" s="115" t="s">
        <v>1209</v>
      </c>
      <c r="AL643" s="115" t="s">
        <v>275</v>
      </c>
      <c r="AM643" s="115" t="s">
        <v>1210</v>
      </c>
      <c r="AN643" s="115"/>
      <c r="AO643" s="115"/>
      <c r="AP643" s="115"/>
    </row>
    <row r="644" spans="1:42" ht="50.1" customHeight="1" x14ac:dyDescent="0.25">
      <c r="A644" s="43">
        <f>MONTH(TAB_HISTORICO_MANUT[[#This Row],[Hora Final]])-MONTH(TAB_HISTORICO_MANUT[[#This Row],[Hora Inicio]])</f>
        <v>0</v>
      </c>
      <c r="B644" s="42"/>
      <c r="C644" s="43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Inicio]]=Z643,TAB_HISTORICO_MANUT[[#This Row],[Equipamento]]=AA643,TAB_HISTORICO_MANUT[[#This Row],[Descricao Despacho]]=AD643),0,1)))</f>
        <v>1</v>
      </c>
      <c r="O64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644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64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644" s="50">
        <f>IF($Q644="","",(TAB_HISTORICO_MANUT[[#This Row],[Hora Final]]-TAB_HISTORICO_MANUT[[#This Row],[Hora Inicio]])*24)</f>
        <v>5.344166666676756</v>
      </c>
      <c r="S64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44" s="54" t="str">
        <f>IF(AND(TAB_HISTORICO_MANUT[[#This Row],[EXPURGO Mãe]]="SIM",TAB_HISTORICO_MANUT[[#This Row],[Tipo]]="MÃE"),"EXP.MAE",IF(TAB_HISTORICO_MANUT[[#This Row],[EXPURGO Mãe]]="NÃO","NÃO EXP.MAE",T643))</f>
        <v>NÃO EXP.MAE</v>
      </c>
      <c r="U64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44" s="56">
        <f>IF(TAB_HISTORICO_MANUT[[#This Row],[EXPURGO Filhas]]="SIM",MAX(TAB_HISTORICO_MANUT[[#This Row],[Hora Final]]-TAB_HISTORICO_MANUT[[#This Row],[Hora Inicio]],0),0)</f>
        <v>0</v>
      </c>
      <c r="W64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4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44" s="46">
        <v>46195.360000000001</v>
      </c>
      <c r="Z644" s="47">
        <v>46195.582673611112</v>
      </c>
      <c r="AA644" s="48" t="s">
        <v>208</v>
      </c>
      <c r="AB644" s="48"/>
      <c r="AC644" s="43" t="s">
        <v>301</v>
      </c>
      <c r="AD644" s="46" t="s">
        <v>146</v>
      </c>
      <c r="AE644" s="46" t="s">
        <v>310</v>
      </c>
      <c r="AF644" s="88" t="s">
        <v>210</v>
      </c>
      <c r="AG644" s="105">
        <f>IF(TAB_HISTORICO_MANUT[[#This Row],[Hora Inicio]]="","",MONTH(TAB_HISTORICO_MANUT[[#This Row],[Hora Inicio]]))</f>
        <v>6</v>
      </c>
      <c r="AH644" s="58" t="s">
        <v>1215</v>
      </c>
      <c r="AI644" s="43" t="s">
        <v>340</v>
      </c>
      <c r="AJ644" s="43" t="s">
        <v>436</v>
      </c>
      <c r="AK644" s="43"/>
      <c r="AL644" s="43"/>
      <c r="AM644" s="114"/>
      <c r="AN644" s="43"/>
      <c r="AO644" s="43"/>
      <c r="AP644" s="43"/>
    </row>
    <row r="645" spans="1:42" ht="50.1" customHeight="1" x14ac:dyDescent="0.25">
      <c r="A645" s="43">
        <f>MONTH(TAB_HISTORICO_MANUT[[#This Row],[Hora Final]])-MONTH(TAB_HISTORICO_MANUT[[#This Row],[Hora Inicio]])</f>
        <v>0</v>
      </c>
      <c r="B645" s="42"/>
      <c r="C645" s="43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Inicio]]=Z644,TAB_HISTORICO_MANUT[[#This Row],[Equipamento]]=AA644,TAB_HISTORICO_MANUT[[#This Row],[Descricao Despacho]]=AD644),0,1)))</f>
        <v>1</v>
      </c>
      <c r="O64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645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4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645" s="50">
        <f>IF($Q645="","",(TAB_HISTORICO_MANUT[[#This Row],[Hora Final]]-TAB_HISTORICO_MANUT[[#This Row],[Hora Inicio]])*24)</f>
        <v>0.79500000004190952</v>
      </c>
      <c r="S64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45" s="54" t="str">
        <f>IF(AND(TAB_HISTORICO_MANUT[[#This Row],[EXPURGO Mãe]]="SIM",TAB_HISTORICO_MANUT[[#This Row],[Tipo]]="MÃE"),"EXP.MAE",IF(TAB_HISTORICO_MANUT[[#This Row],[EXPURGO Mãe]]="NÃO","NÃO EXP.MAE",T644))</f>
        <v>NÃO EXP.MAE</v>
      </c>
      <c r="U64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45" s="56">
        <f>IF(TAB_HISTORICO_MANUT[[#This Row],[EXPURGO Filhas]]="SIM",MAX(TAB_HISTORICO_MANUT[[#This Row],[Hora Final]]-TAB_HISTORICO_MANUT[[#This Row],[Hora Inicio]],0),0)</f>
        <v>0</v>
      </c>
      <c r="W64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4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45" s="46">
        <v>46203.072083333333</v>
      </c>
      <c r="Z645" s="47">
        <v>46203.105208333334</v>
      </c>
      <c r="AA645" s="48" t="s">
        <v>208</v>
      </c>
      <c r="AB645" s="48" t="s">
        <v>1240</v>
      </c>
      <c r="AC645" s="43" t="s">
        <v>211</v>
      </c>
      <c r="AD645" s="46" t="s">
        <v>144</v>
      </c>
      <c r="AE645" s="46" t="s">
        <v>213</v>
      </c>
      <c r="AF645" s="88" t="s">
        <v>210</v>
      </c>
      <c r="AG645" s="105">
        <f>IF(TAB_HISTORICO_MANUT[[#This Row],[Hora Inicio]]="","",MONTH(TAB_HISTORICO_MANUT[[#This Row],[Hora Inicio]]))</f>
        <v>6</v>
      </c>
      <c r="AH645" s="58" t="s">
        <v>1243</v>
      </c>
      <c r="AI645" s="43" t="s">
        <v>21</v>
      </c>
      <c r="AJ645" s="43" t="s">
        <v>427</v>
      </c>
      <c r="AK645" s="43" t="s">
        <v>291</v>
      </c>
      <c r="AL645" s="43" t="s">
        <v>1100</v>
      </c>
      <c r="AM645" s="114" t="s">
        <v>294</v>
      </c>
      <c r="AN645" s="43" t="s">
        <v>229</v>
      </c>
      <c r="AO645" s="43" t="s">
        <v>411</v>
      </c>
      <c r="AP645" s="43" t="s">
        <v>242</v>
      </c>
    </row>
    <row r="646" spans="1:42" ht="50.1" customHeight="1" x14ac:dyDescent="0.25">
      <c r="A646" s="115">
        <f>MONTH(TAB_HISTORICO_MANUT[[#This Row],[Hora Final]])-MONTH(TAB_HISTORICO_MANUT[[#This Row],[Hora Inicio]])</f>
        <v>0</v>
      </c>
      <c r="B646" s="116"/>
      <c r="C646" s="115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Inicio]]=Z645,TAB_HISTORICO_MANUT[[#This Row],[Equipamento]]=AA645,TAB_HISTORICO_MANUT[[#This Row],[Descricao Despacho]]=AD645),0,1)))</f>
        <v/>
      </c>
      <c r="O64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646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64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646" s="107" t="str">
        <f>IF($Q646="","",(TAB_HISTORICO_MANUT[[#This Row],[Hora Final]]-TAB_HISTORICO_MANUT[[#This Row],[Hora Inicio]])*24)</f>
        <v/>
      </c>
      <c r="S64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646" s="109" t="str">
        <f>IF(AND(TAB_HISTORICO_MANUT[[#This Row],[EXPURGO Mãe]]="SIM",TAB_HISTORICO_MANUT[[#This Row],[Tipo]]="MÃE"),"EXP.MAE",IF(TAB_HISTORICO_MANUT[[#This Row],[EXPURGO Mãe]]="NÃO","NÃO EXP.MAE",T645))</f>
        <v>NÃO EXP.MAE</v>
      </c>
      <c r="U64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46" s="110">
        <f>IF(TAB_HISTORICO_MANUT[[#This Row],[EXPURGO Filhas]]="SIM",MAX(TAB_HISTORICO_MANUT[[#This Row],[Hora Final]]-TAB_HISTORICO_MANUT[[#This Row],[Hora Inicio]],0),0)</f>
        <v>0</v>
      </c>
      <c r="W64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4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46" s="117">
        <v>46203.090045033336</v>
      </c>
      <c r="Z646" s="118">
        <v>46203.105208333334</v>
      </c>
      <c r="AA646" s="119" t="s">
        <v>208</v>
      </c>
      <c r="AB646" s="119" t="s">
        <v>1240</v>
      </c>
      <c r="AC646" s="115" t="s">
        <v>211</v>
      </c>
      <c r="AD646" s="117" t="s">
        <v>144</v>
      </c>
      <c r="AE646" s="117" t="s">
        <v>213</v>
      </c>
      <c r="AF646" s="88" t="s">
        <v>767</v>
      </c>
      <c r="AG646" s="123">
        <f>IF(TAB_HISTORICO_MANUT[[#This Row],[Hora Inicio]]="","",MONTH(TAB_HISTORICO_MANUT[[#This Row],[Hora Inicio]]))</f>
        <v>6</v>
      </c>
      <c r="AH646" s="120" t="s">
        <v>1243</v>
      </c>
      <c r="AI646" s="115" t="s">
        <v>21</v>
      </c>
      <c r="AJ646" s="115" t="s">
        <v>427</v>
      </c>
      <c r="AK646" s="115" t="s">
        <v>291</v>
      </c>
      <c r="AL646" s="115" t="s">
        <v>1100</v>
      </c>
      <c r="AM646" s="115" t="s">
        <v>294</v>
      </c>
      <c r="AN646" s="115"/>
      <c r="AO646" s="115"/>
      <c r="AP646" s="115"/>
    </row>
    <row r="647" spans="1:42" ht="50.1" customHeight="1" x14ac:dyDescent="0.25">
      <c r="A647" s="115">
        <f>MONTH(TAB_HISTORICO_MANUT[[#This Row],[Hora Final]])-MONTH(TAB_HISTORICO_MANUT[[#This Row],[Hora Inicio]])</f>
        <v>0</v>
      </c>
      <c r="B647" s="116"/>
      <c r="C647" s="115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Inicio]]=Z646,TAB_HISTORICO_MANUT[[#This Row],[Equipamento]]=AA646,TAB_HISTORICO_MANUT[[#This Row],[Descricao Despacho]]=AD646),0,1)))</f>
        <v>1</v>
      </c>
      <c r="O64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64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4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47" s="107">
        <f>IF($Q647="","",(TAB_HISTORICO_MANUT[[#This Row],[Hora Final]]-TAB_HISTORICO_MANUT[[#This Row],[Hora Inicio]])*24)</f>
        <v>2.1783333333441988</v>
      </c>
      <c r="S64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47" s="109" t="str">
        <f>IF(AND(TAB_HISTORICO_MANUT[[#This Row],[EXPURGO Mãe]]="SIM",TAB_HISTORICO_MANUT[[#This Row],[Tipo]]="MÃE"),"EXP.MAE",IF(TAB_HISTORICO_MANUT[[#This Row],[EXPURGO Mãe]]="NÃO","NÃO EXP.MAE",T646))</f>
        <v>NÃO EXP.MAE</v>
      </c>
      <c r="U64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47" s="110">
        <f>IF(TAB_HISTORICO_MANUT[[#This Row],[EXPURGO Filhas]]="SIM",MAX(TAB_HISTORICO_MANUT[[#This Row],[Hora Final]]-TAB_HISTORICO_MANUT[[#This Row],[Hora Inicio]],0),0)</f>
        <v>0</v>
      </c>
      <c r="W64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4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47" s="117">
        <v>46207.326967592591</v>
      </c>
      <c r="Z647" s="118">
        <v>46207.417731481481</v>
      </c>
      <c r="AA647" s="119" t="s">
        <v>208</v>
      </c>
      <c r="AB647" s="119" t="s">
        <v>1258</v>
      </c>
      <c r="AC647" s="115" t="s">
        <v>204</v>
      </c>
      <c r="AD647" s="117" t="s">
        <v>144</v>
      </c>
      <c r="AE647" s="117" t="s">
        <v>172</v>
      </c>
      <c r="AF647" s="88" t="s">
        <v>210</v>
      </c>
      <c r="AG647" s="123">
        <f>IF(TAB_HISTORICO_MANUT[[#This Row],[Hora Inicio]]="","",MONTH(TAB_HISTORICO_MANUT[[#This Row],[Hora Inicio]]))</f>
        <v>7</v>
      </c>
      <c r="AH647" s="120" t="s">
        <v>1264</v>
      </c>
      <c r="AI647" s="115" t="s">
        <v>23</v>
      </c>
      <c r="AJ647" s="43" t="s">
        <v>43</v>
      </c>
      <c r="AK647" s="43" t="s">
        <v>464</v>
      </c>
      <c r="AL647" s="43" t="s">
        <v>279</v>
      </c>
      <c r="AM647" s="114" t="s">
        <v>280</v>
      </c>
      <c r="AN647" s="115" t="s">
        <v>217</v>
      </c>
      <c r="AO647" s="115" t="s">
        <v>453</v>
      </c>
      <c r="AP647" s="115" t="s">
        <v>457</v>
      </c>
    </row>
    <row r="648" spans="1:42" ht="50.1" customHeight="1" x14ac:dyDescent="0.25">
      <c r="A648" s="115">
        <f>MONTH(TAB_HISTORICO_MANUT[[#This Row],[Hora Final]])-MONTH(TAB_HISTORICO_MANUT[[#This Row],[Hora Inicio]])</f>
        <v>0</v>
      </c>
      <c r="B648" s="116"/>
      <c r="C648" s="115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 t="s">
        <v>98</v>
      </c>
      <c r="N64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Inicio]]=Z647,TAB_HISTORICO_MANUT[[#This Row],[Equipamento]]=AA647,TAB_HISTORICO_MANUT[[#This Row],[Descricao Despacho]]=AD647),0,1)))</f>
        <v>1</v>
      </c>
      <c r="O64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DE FREIO</v>
      </c>
      <c r="P64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4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48" s="107">
        <f>IF($Q648="","",(TAB_HISTORICO_MANUT[[#This Row],[Hora Final]]-TAB_HISTORICO_MANUT[[#This Row],[Hora Inicio]])*24)</f>
        <v>4.4800000000395812</v>
      </c>
      <c r="S64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648" s="109" t="str">
        <f>IF(AND(TAB_HISTORICO_MANUT[[#This Row],[EXPURGO Mãe]]="SIM",TAB_HISTORICO_MANUT[[#This Row],[Tipo]]="MÃE"),"EXP.MAE",IF(TAB_HISTORICO_MANUT[[#This Row],[EXPURGO Mãe]]="NÃO","NÃO EXP.MAE",T647))</f>
        <v>EXP.MAE</v>
      </c>
      <c r="U64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48" s="110">
        <f>IF(TAB_HISTORICO_MANUT[[#This Row],[EXPURGO Filhas]]="SIM",MAX(TAB_HISTORICO_MANUT[[#This Row],[Hora Final]]-TAB_HISTORICO_MANUT[[#This Row],[Hora Inicio]],0),0)</f>
        <v>0</v>
      </c>
      <c r="W64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4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48" s="117">
        <v>46207.444664351853</v>
      </c>
      <c r="Z648" s="118">
        <v>46207.631331018521</v>
      </c>
      <c r="AA648" s="119" t="s">
        <v>208</v>
      </c>
      <c r="AB648" s="119"/>
      <c r="AC648" s="115" t="s">
        <v>204</v>
      </c>
      <c r="AD648" s="117" t="s">
        <v>144</v>
      </c>
      <c r="AE648" s="117" t="s">
        <v>172</v>
      </c>
      <c r="AF648" s="88" t="s">
        <v>210</v>
      </c>
      <c r="AG648" s="123">
        <f>IF(TAB_HISTORICO_MANUT[[#This Row],[Hora Inicio]]="","",MONTH(TAB_HISTORICO_MANUT[[#This Row],[Hora Inicio]]))</f>
        <v>7</v>
      </c>
      <c r="AH648" s="120" t="s">
        <v>1547</v>
      </c>
      <c r="AI648" s="43" t="s">
        <v>46</v>
      </c>
      <c r="AJ648" s="43"/>
      <c r="AK648" s="43"/>
      <c r="AL648" s="43"/>
      <c r="AM648" s="114"/>
      <c r="AN648" s="115" t="s">
        <v>217</v>
      </c>
      <c r="AO648" s="115" t="s">
        <v>1269</v>
      </c>
      <c r="AP648" s="115" t="s">
        <v>577</v>
      </c>
    </row>
    <row r="649" spans="1:42" ht="50.1" customHeight="1" x14ac:dyDescent="0.25">
      <c r="A649" s="43">
        <f>MONTH(TAB_HISTORICO_MANUT[[#This Row],[Hora Final]])-MONTH(TAB_HISTORICO_MANUT[[#This Row],[Hora Inicio]])</f>
        <v>0</v>
      </c>
      <c r="B649" s="42"/>
      <c r="C649" s="43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Inicio]]=Z648,TAB_HISTORICO_MANUT[[#This Row],[Equipamento]]=AA648,TAB_HISTORICO_MANUT[[#This Row],[Descricao Despacho]]=AD648),0,1)))</f>
        <v>1</v>
      </c>
      <c r="O64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649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4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49" s="50">
        <f>IF($Q649="","",(TAB_HISTORICO_MANUT[[#This Row],[Hora Final]]-TAB_HISTORICO_MANUT[[#This Row],[Hora Inicio]])*24)</f>
        <v>1.9252777776564471</v>
      </c>
      <c r="S64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49" s="54" t="str">
        <f>IF(AND(TAB_HISTORICO_MANUT[[#This Row],[EXPURGO Mãe]]="SIM",TAB_HISTORICO_MANUT[[#This Row],[Tipo]]="MÃE"),"EXP.MAE",IF(TAB_HISTORICO_MANUT[[#This Row],[EXPURGO Mãe]]="NÃO","NÃO EXP.MAE",T648))</f>
        <v>NÃO EXP.MAE</v>
      </c>
      <c r="U64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49" s="56">
        <f>IF(TAB_HISTORICO_MANUT[[#This Row],[EXPURGO Filhas]]="SIM",MAX(TAB_HISTORICO_MANUT[[#This Row],[Hora Final]]-TAB_HISTORICO_MANUT[[#This Row],[Hora Inicio]],0),0)</f>
        <v>0</v>
      </c>
      <c r="W64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4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49" s="46">
        <v>46207.813043981485</v>
      </c>
      <c r="Z649" s="47">
        <v>46207.893263888887</v>
      </c>
      <c r="AA649" s="48" t="s">
        <v>208</v>
      </c>
      <c r="AB649" s="48" t="s">
        <v>1260</v>
      </c>
      <c r="AC649" s="43" t="s">
        <v>204</v>
      </c>
      <c r="AD649" s="46" t="s">
        <v>144</v>
      </c>
      <c r="AE649" s="46" t="s">
        <v>172</v>
      </c>
      <c r="AF649" s="88" t="s">
        <v>210</v>
      </c>
      <c r="AG649" s="105">
        <f>IF(TAB_HISTORICO_MANUT[[#This Row],[Hora Inicio]]="","",MONTH(TAB_HISTORICO_MANUT[[#This Row],[Hora Inicio]]))</f>
        <v>7</v>
      </c>
      <c r="AH649" s="58" t="s">
        <v>1266</v>
      </c>
      <c r="AI649" s="43" t="s">
        <v>28</v>
      </c>
      <c r="AJ649" s="43" t="s">
        <v>614</v>
      </c>
      <c r="AK649" s="43" t="s">
        <v>1271</v>
      </c>
      <c r="AL649" s="43" t="s">
        <v>275</v>
      </c>
      <c r="AM649" s="114" t="s">
        <v>877</v>
      </c>
      <c r="AN649" s="43" t="s">
        <v>217</v>
      </c>
      <c r="AO649" s="43" t="s">
        <v>316</v>
      </c>
      <c r="AP649" s="43" t="s">
        <v>319</v>
      </c>
    </row>
    <row r="650" spans="1:42" ht="50.1" customHeight="1" x14ac:dyDescent="0.25">
      <c r="A650" s="115">
        <f>MONTH(TAB_HISTORICO_MANUT[[#This Row],[Hora Final]])-MONTH(TAB_HISTORICO_MANUT[[#This Row],[Hora Inicio]])</f>
        <v>0</v>
      </c>
      <c r="B650" s="116"/>
      <c r="C650" s="115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Inicio]]=Z649,TAB_HISTORICO_MANUT[[#This Row],[Equipamento]]=AA649,TAB_HISTORICO_MANUT[[#This Row],[Descricao Despacho]]=AD649),0,1)))</f>
        <v>1</v>
      </c>
      <c r="O65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65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65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650" s="107">
        <f>IF($Q650="","",(TAB_HISTORICO_MANUT[[#This Row],[Hora Final]]-TAB_HISTORICO_MANUT[[#This Row],[Hora Inicio]])*24)</f>
        <v>3.2233333333279006</v>
      </c>
      <c r="S65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50" s="109" t="str">
        <f>IF(AND(TAB_HISTORICO_MANUT[[#This Row],[EXPURGO Mãe]]="SIM",TAB_HISTORICO_MANUT[[#This Row],[Tipo]]="MÃE"),"EXP.MAE",IF(TAB_HISTORICO_MANUT[[#This Row],[EXPURGO Mãe]]="NÃO","NÃO EXP.MAE",T649))</f>
        <v>NÃO EXP.MAE</v>
      </c>
      <c r="U65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50" s="110">
        <f>IF(TAB_HISTORICO_MANUT[[#This Row],[EXPURGO Filhas]]="SIM",MAX(TAB_HISTORICO_MANUT[[#This Row],[Hora Final]]-TAB_HISTORICO_MANUT[[#This Row],[Hora Inicio]],0),0)</f>
        <v>0</v>
      </c>
      <c r="W65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5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50" s="117">
        <v>46211.454733796294</v>
      </c>
      <c r="Z650" s="118">
        <v>46211.589039351849</v>
      </c>
      <c r="AA650" s="119" t="s">
        <v>208</v>
      </c>
      <c r="AB650" s="119" t="s">
        <v>1272</v>
      </c>
      <c r="AC650" s="115" t="s">
        <v>882</v>
      </c>
      <c r="AD650" s="117" t="s">
        <v>146</v>
      </c>
      <c r="AE650" s="117" t="s">
        <v>883</v>
      </c>
      <c r="AF650" s="88" t="s">
        <v>210</v>
      </c>
      <c r="AG650" s="123">
        <f>IF(TAB_HISTORICO_MANUT[[#This Row],[Hora Inicio]]="","",MONTH(TAB_HISTORICO_MANUT[[#This Row],[Hora Inicio]]))</f>
        <v>7</v>
      </c>
      <c r="AH650" s="120" t="s">
        <v>1272</v>
      </c>
      <c r="AI650" s="115" t="s">
        <v>25</v>
      </c>
      <c r="AJ650" s="115" t="s">
        <v>25</v>
      </c>
      <c r="AK650" s="115" t="s">
        <v>25</v>
      </c>
      <c r="AL650" s="115" t="s">
        <v>25</v>
      </c>
      <c r="AM650" s="121" t="s">
        <v>25</v>
      </c>
      <c r="AN650" s="115" t="s">
        <v>1272</v>
      </c>
      <c r="AO650" s="115" t="s">
        <v>1272</v>
      </c>
      <c r="AP650" s="115" t="s">
        <v>1272</v>
      </c>
    </row>
    <row r="651" spans="1:42" ht="50.1" customHeight="1" x14ac:dyDescent="0.25">
      <c r="A651" s="43">
        <f>MONTH(TAB_HISTORICO_MANUT[[#This Row],[Hora Final]])-MONTH(TAB_HISTORICO_MANUT[[#This Row],[Hora Inicio]])</f>
        <v>0</v>
      </c>
      <c r="B651" s="42"/>
      <c r="C651" s="43"/>
      <c r="D651" s="42"/>
      <c r="E651" s="42"/>
      <c r="F651" s="42"/>
      <c r="G651" s="42"/>
      <c r="H651" s="42"/>
      <c r="I651" s="42"/>
      <c r="J651" s="42"/>
      <c r="K651" s="42"/>
      <c r="L651" s="42"/>
      <c r="M651" s="42" t="s">
        <v>98</v>
      </c>
      <c r="N65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Inicio]]=Z650,TAB_HISTORICO_MANUT[[#This Row],[Equipamento]]=AA650,TAB_HISTORICO_MANUT[[#This Row],[Descricao Despacho]]=AD650),0,1)))</f>
        <v>1</v>
      </c>
      <c r="O65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651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5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51" s="50">
        <f>IF($Q651="","",(TAB_HISTORICO_MANUT[[#This Row],[Hora Final]]-TAB_HISTORICO_MANUT[[#This Row],[Hora Inicio]])*24)</f>
        <v>0.68305555562255904</v>
      </c>
      <c r="S65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651" s="54" t="str">
        <f>IF(AND(TAB_HISTORICO_MANUT[[#This Row],[EXPURGO Mãe]]="SIM",TAB_HISTORICO_MANUT[[#This Row],[Tipo]]="MÃE"),"EXP.MAE",IF(TAB_HISTORICO_MANUT[[#This Row],[EXPURGO Mãe]]="NÃO","NÃO EXP.MAE",T650))</f>
        <v>EXP.MAE</v>
      </c>
      <c r="U65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51" s="56">
        <f>IF(TAB_HISTORICO_MANUT[[#This Row],[EXPURGO Filhas]]="SIM",MAX(TAB_HISTORICO_MANUT[[#This Row],[Hora Final]]-TAB_HISTORICO_MANUT[[#This Row],[Hora Inicio]],0),0)</f>
        <v>0</v>
      </c>
      <c r="W65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5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51" s="46">
        <v>46214.339328703703</v>
      </c>
      <c r="Z651" s="47">
        <v>46214.367789351854</v>
      </c>
      <c r="AA651" s="48" t="s">
        <v>208</v>
      </c>
      <c r="AB651" s="48" t="s">
        <v>1322</v>
      </c>
      <c r="AC651" s="43" t="s">
        <v>204</v>
      </c>
      <c r="AD651" s="46" t="s">
        <v>144</v>
      </c>
      <c r="AE651" s="46" t="s">
        <v>172</v>
      </c>
      <c r="AF651" s="88" t="s">
        <v>210</v>
      </c>
      <c r="AG651" s="105">
        <f>IF(TAB_HISTORICO_MANUT[[#This Row],[Hora Inicio]]="","",MONTH(TAB_HISTORICO_MANUT[[#This Row],[Hora Inicio]]))</f>
        <v>7</v>
      </c>
      <c r="AH651" s="58" t="s">
        <v>1548</v>
      </c>
      <c r="AI651" s="43" t="s">
        <v>24</v>
      </c>
      <c r="AJ651" s="43" t="s">
        <v>223</v>
      </c>
      <c r="AK651" s="43" t="s">
        <v>422</v>
      </c>
      <c r="AL651" s="43" t="s">
        <v>279</v>
      </c>
      <c r="AM651" s="114" t="s">
        <v>280</v>
      </c>
      <c r="AN651" s="43" t="s">
        <v>217</v>
      </c>
      <c r="AO651" s="43" t="s">
        <v>405</v>
      </c>
      <c r="AP651" s="43" t="s">
        <v>403</v>
      </c>
    </row>
    <row r="652" spans="1:42" ht="50.1" customHeight="1" x14ac:dyDescent="0.25">
      <c r="A652" s="115">
        <f>MONTH(TAB_HISTORICO_MANUT[[#This Row],[Hora Final]])-MONTH(TAB_HISTORICO_MANUT[[#This Row],[Hora Inicio]])</f>
        <v>0</v>
      </c>
      <c r="B652" s="116"/>
      <c r="C652" s="115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Inicio]]=Z651,TAB_HISTORICO_MANUT[[#This Row],[Equipamento]]=AA651,TAB_HISTORICO_MANUT[[#This Row],[Descricao Despacho]]=AD651),0,1)))</f>
        <v>1</v>
      </c>
      <c r="O65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65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5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52" s="107">
        <f>IF($Q652="","",(TAB_HISTORICO_MANUT[[#This Row],[Hora Final]]-TAB_HISTORICO_MANUT[[#This Row],[Hora Inicio]])*24)</f>
        <v>1.4425000000046566</v>
      </c>
      <c r="S65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52" s="109" t="str">
        <f>IF(AND(TAB_HISTORICO_MANUT[[#This Row],[EXPURGO Mãe]]="SIM",TAB_HISTORICO_MANUT[[#This Row],[Tipo]]="MÃE"),"EXP.MAE",IF(TAB_HISTORICO_MANUT[[#This Row],[EXPURGO Mãe]]="NÃO","NÃO EXP.MAE",T651))</f>
        <v>NÃO EXP.MAE</v>
      </c>
      <c r="U65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52" s="110">
        <f>IF(TAB_HISTORICO_MANUT[[#This Row],[EXPURGO Filhas]]="SIM",MAX(TAB_HISTORICO_MANUT[[#This Row],[Hora Final]]-TAB_HISTORICO_MANUT[[#This Row],[Hora Inicio]],0),0)</f>
        <v>0</v>
      </c>
      <c r="W65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5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52" s="117">
        <v>46214.46565972222</v>
      </c>
      <c r="Z652" s="118">
        <v>46214.525763888887</v>
      </c>
      <c r="AA652" s="119" t="s">
        <v>208</v>
      </c>
      <c r="AB652" s="119" t="s">
        <v>1322</v>
      </c>
      <c r="AC652" s="115" t="s">
        <v>204</v>
      </c>
      <c r="AD652" s="117" t="s">
        <v>144</v>
      </c>
      <c r="AE652" s="117" t="s">
        <v>172</v>
      </c>
      <c r="AF652" s="88" t="s">
        <v>210</v>
      </c>
      <c r="AG652" s="123">
        <f>IF(TAB_HISTORICO_MANUT[[#This Row],[Hora Inicio]]="","",MONTH(TAB_HISTORICO_MANUT[[#This Row],[Hora Inicio]]))</f>
        <v>7</v>
      </c>
      <c r="AH652" s="120" t="s">
        <v>1326</v>
      </c>
      <c r="AI652" s="115" t="s">
        <v>24</v>
      </c>
      <c r="AJ652" s="115" t="s">
        <v>223</v>
      </c>
      <c r="AK652" s="115" t="s">
        <v>422</v>
      </c>
      <c r="AL652" s="115" t="s">
        <v>279</v>
      </c>
      <c r="AM652" s="115" t="s">
        <v>280</v>
      </c>
      <c r="AN652" s="115" t="s">
        <v>217</v>
      </c>
      <c r="AO652" s="115" t="s">
        <v>405</v>
      </c>
      <c r="AP652" s="115" t="s">
        <v>633</v>
      </c>
    </row>
    <row r="653" spans="1:42" ht="50.1" customHeight="1" x14ac:dyDescent="0.25">
      <c r="A653" s="43">
        <f>MONTH(TAB_HISTORICO_MANUT[[#This Row],[Hora Final]])-MONTH(TAB_HISTORICO_MANUT[[#This Row],[Hora Inicio]])</f>
        <v>0</v>
      </c>
      <c r="B653" s="42"/>
      <c r="C653" s="43"/>
      <c r="D653" s="42"/>
      <c r="E653" s="42"/>
      <c r="F653" s="42"/>
      <c r="G653" s="42"/>
      <c r="H653" s="42"/>
      <c r="I653" s="42"/>
      <c r="J653" s="42"/>
      <c r="K653" s="42"/>
      <c r="L653" s="42"/>
      <c r="M653" s="42" t="s">
        <v>99</v>
      </c>
      <c r="N65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Inicio]]=Z652,TAB_HISTORICO_MANUT[[#This Row],[Equipamento]]=AA652,TAB_HISTORICO_MANUT[[#This Row],[Descricao Despacho]]=AD652),0,1)))</f>
        <v>1</v>
      </c>
      <c r="O65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653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65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653" s="50">
        <f>IF($Q653="","",(TAB_HISTORICO_MANUT[[#This Row],[Hora Final]]-TAB_HISTORICO_MANUT[[#This Row],[Hora Inicio]])*24)</f>
        <v>5.5941666666185483</v>
      </c>
      <c r="S65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53" s="54" t="str">
        <f>IF(AND(TAB_HISTORICO_MANUT[[#This Row],[EXPURGO Mãe]]="SIM",TAB_HISTORICO_MANUT[[#This Row],[Tipo]]="MÃE"),"EXP.MAE",IF(TAB_HISTORICO_MANUT[[#This Row],[EXPURGO Mãe]]="NÃO","NÃO EXP.MAE",T652))</f>
        <v>NÃO EXP.MAE</v>
      </c>
      <c r="U65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53" s="56">
        <f>IF(TAB_HISTORICO_MANUT[[#This Row],[EXPURGO Filhas]]="SIM",MAX(TAB_HISTORICO_MANUT[[#This Row],[Hora Final]]-TAB_HISTORICO_MANUT[[#This Row],[Hora Inicio]],0),0)</f>
        <v>0</v>
      </c>
      <c r="W65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5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53" s="46">
        <v>46214.801631944443</v>
      </c>
      <c r="Z653" s="47">
        <v>46215.034722222219</v>
      </c>
      <c r="AA653" s="48" t="s">
        <v>208</v>
      </c>
      <c r="AB653" s="48" t="s">
        <v>1272</v>
      </c>
      <c r="AC653" s="43" t="s">
        <v>300</v>
      </c>
      <c r="AD653" s="46" t="s">
        <v>146</v>
      </c>
      <c r="AE653" s="46" t="s">
        <v>178</v>
      </c>
      <c r="AF653" s="88" t="s">
        <v>210</v>
      </c>
      <c r="AG653" s="105">
        <f>IF(TAB_HISTORICO_MANUT[[#This Row],[Hora Inicio]]="","",MONTH(TAB_HISTORICO_MANUT[[#This Row],[Hora Inicio]]))</f>
        <v>7</v>
      </c>
      <c r="AH653" s="58" t="s">
        <v>1333</v>
      </c>
      <c r="AI653" s="43" t="s">
        <v>340</v>
      </c>
      <c r="AJ653" s="43" t="s">
        <v>432</v>
      </c>
      <c r="AK653" s="43" t="s">
        <v>1272</v>
      </c>
      <c r="AL653" s="43" t="s">
        <v>1272</v>
      </c>
      <c r="AM653" s="114" t="s">
        <v>1272</v>
      </c>
      <c r="AN653" s="43" t="s">
        <v>1272</v>
      </c>
      <c r="AO653" s="43" t="s">
        <v>1272</v>
      </c>
      <c r="AP653" s="43" t="s">
        <v>1272</v>
      </c>
    </row>
    <row r="654" spans="1:42" ht="50.1" customHeight="1" x14ac:dyDescent="0.25">
      <c r="A654" s="115">
        <f>MONTH(TAB_HISTORICO_MANUT[[#This Row],[Hora Final]])-MONTH(TAB_HISTORICO_MANUT[[#This Row],[Hora Inicio]])</f>
        <v>0</v>
      </c>
      <c r="B654" s="116"/>
      <c r="C654" s="115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Inicio]]=Z653,TAB_HISTORICO_MANUT[[#This Row],[Equipamento]]=AA653,TAB_HISTORICO_MANUT[[#This Row],[Descricao Despacho]]=AD653),0,1)))</f>
        <v/>
      </c>
      <c r="O65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654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65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654" s="107" t="str">
        <f>IF($Q654="","",(TAB_HISTORICO_MANUT[[#This Row],[Hora Final]]-TAB_HISTORICO_MANUT[[#This Row],[Hora Inicio]])*24)</f>
        <v/>
      </c>
      <c r="S65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654" s="109" t="str">
        <f>IF(AND(TAB_HISTORICO_MANUT[[#This Row],[EXPURGO Mãe]]="SIM",TAB_HISTORICO_MANUT[[#This Row],[Tipo]]="MÃE"),"EXP.MAE",IF(TAB_HISTORICO_MANUT[[#This Row],[EXPURGO Mãe]]="NÃO","NÃO EXP.MAE",T653))</f>
        <v>NÃO EXP.MAE</v>
      </c>
      <c r="U65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654" s="110">
        <f>IF(TAB_HISTORICO_MANUT[[#This Row],[EXPURGO Filhas]]="SIM",MAX(TAB_HISTORICO_MANUT[[#This Row],[Hora Final]]-TAB_HISTORICO_MANUT[[#This Row],[Hora Inicio]],0),0)</f>
        <v>0.19142361110425554</v>
      </c>
      <c r="W65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5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54" s="117">
        <v>46214.843298611115</v>
      </c>
      <c r="Z654" s="118">
        <v>46215.034722222219</v>
      </c>
      <c r="AA654" s="119" t="s">
        <v>208</v>
      </c>
      <c r="AB654" s="119"/>
      <c r="AC654" s="115">
        <v>7116</v>
      </c>
      <c r="AD654" s="117" t="s">
        <v>146</v>
      </c>
      <c r="AE654" s="117" t="s">
        <v>178</v>
      </c>
      <c r="AF654" s="88" t="s">
        <v>767</v>
      </c>
      <c r="AG654" s="123">
        <f>IF(TAB_HISTORICO_MANUT[[#This Row],[Hora Inicio]]="","",MONTH(TAB_HISTORICO_MANUT[[#This Row],[Hora Inicio]]))</f>
        <v>7</v>
      </c>
      <c r="AH654" s="120" t="s">
        <v>1557</v>
      </c>
      <c r="AI654" s="115" t="s">
        <v>340</v>
      </c>
      <c r="AJ654" s="115" t="s">
        <v>432</v>
      </c>
      <c r="AK654" s="115"/>
      <c r="AL654" s="115"/>
      <c r="AM654" s="121"/>
      <c r="AN654" s="115"/>
      <c r="AO654" s="115"/>
      <c r="AP654" s="115"/>
    </row>
    <row r="655" spans="1:42" ht="50.1" customHeight="1" x14ac:dyDescent="0.25">
      <c r="A655" s="115">
        <f>MONTH(TAB_HISTORICO_MANUT[[#This Row],[Hora Final]])-MONTH(TAB_HISTORICO_MANUT[[#This Row],[Hora Inicio]])</f>
        <v>0</v>
      </c>
      <c r="B655" s="116"/>
      <c r="C655" s="115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Inicio]]=Z654,TAB_HISTORICO_MANUT[[#This Row],[Equipamento]]=AA654,TAB_HISTORICO_MANUT[[#This Row],[Descricao Despacho]]=AD654),0,1)))</f>
        <v>0</v>
      </c>
      <c r="O65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65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65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655" s="107">
        <f>IF($Q655="","",(TAB_HISTORICO_MANUT[[#This Row],[Hora Final]]-TAB_HISTORICO_MANUT[[#This Row],[Hora Inicio]])*24)</f>
        <v>1.0000000001164153</v>
      </c>
      <c r="S65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55" s="109" t="str">
        <f>IF(AND(TAB_HISTORICO_MANUT[[#This Row],[EXPURGO Mãe]]="SIM",TAB_HISTORICO_MANUT[[#This Row],[Tipo]]="MÃE"),"EXP.MAE",IF(TAB_HISTORICO_MANUT[[#This Row],[EXPURGO Mãe]]="NÃO","NÃO EXP.MAE",T654))</f>
        <v>NÃO EXP.MAE</v>
      </c>
      <c r="U65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55" s="110">
        <f>IF(TAB_HISTORICO_MANUT[[#This Row],[EXPURGO Filhas]]="SIM",MAX(TAB_HISTORICO_MANUT[[#This Row],[Hora Final]]-TAB_HISTORICO_MANUT[[#This Row],[Hora Inicio]],0),0)</f>
        <v>0</v>
      </c>
      <c r="W65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5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55" s="117">
        <v>46215.034722222219</v>
      </c>
      <c r="Z655" s="118">
        <v>46215.076388888891</v>
      </c>
      <c r="AA655" s="119" t="s">
        <v>208</v>
      </c>
      <c r="AB655" s="119" t="s">
        <v>1272</v>
      </c>
      <c r="AC655" s="115" t="s">
        <v>301</v>
      </c>
      <c r="AD655" s="117" t="s">
        <v>146</v>
      </c>
      <c r="AE655" s="117" t="s">
        <v>310</v>
      </c>
      <c r="AF655" s="88" t="s">
        <v>210</v>
      </c>
      <c r="AG655" s="123">
        <f>IF(TAB_HISTORICO_MANUT[[#This Row],[Hora Inicio]]="","",MONTH(TAB_HISTORICO_MANUT[[#This Row],[Hora Inicio]]))</f>
        <v>7</v>
      </c>
      <c r="AH655" s="120" t="s">
        <v>1333</v>
      </c>
      <c r="AI655" s="115" t="s">
        <v>340</v>
      </c>
      <c r="AJ655" s="115" t="s">
        <v>432</v>
      </c>
      <c r="AK655" s="115" t="s">
        <v>1272</v>
      </c>
      <c r="AL655" s="115" t="s">
        <v>1272</v>
      </c>
      <c r="AM655" s="121" t="s">
        <v>1272</v>
      </c>
      <c r="AN655" s="115" t="s">
        <v>1272</v>
      </c>
      <c r="AO655" s="115" t="s">
        <v>1272</v>
      </c>
      <c r="AP655" s="115" t="s">
        <v>1272</v>
      </c>
    </row>
    <row r="656" spans="1:42" ht="50.1" customHeight="1" x14ac:dyDescent="0.25">
      <c r="A656" s="43">
        <f>MONTH(TAB_HISTORICO_MANUT[[#This Row],[Hora Final]])-MONTH(TAB_HISTORICO_MANUT[[#This Row],[Hora Inicio]])</f>
        <v>0</v>
      </c>
      <c r="B656" s="42"/>
      <c r="C656" s="43"/>
      <c r="D656" s="42"/>
      <c r="E656" s="42"/>
      <c r="F656" s="42"/>
      <c r="G656" s="42"/>
      <c r="H656" s="42"/>
      <c r="I656" s="42"/>
      <c r="J656" s="42"/>
      <c r="K656" s="42"/>
      <c r="L656" s="42">
        <v>0</v>
      </c>
      <c r="M656" s="42"/>
      <c r="N65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Inicio]]=Z655,TAB_HISTORICO_MANUT[[#This Row],[Equipamento]]=AA655,TAB_HISTORICO_MANUT[[#This Row],[Descricao Despacho]]=AD655),0,1)))</f>
        <v>0</v>
      </c>
      <c r="O65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656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65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656" s="50">
        <f>IF($Q656="","",(TAB_HISTORICO_MANUT[[#This Row],[Hora Final]]-TAB_HISTORICO_MANUT[[#This Row],[Hora Inicio]])*24)</f>
        <v>0.83777777769137174</v>
      </c>
      <c r="S65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656" s="54" t="str">
        <f>IF(AND(TAB_HISTORICO_MANUT[[#This Row],[EXPURGO Mãe]]="SIM",TAB_HISTORICO_MANUT[[#This Row],[Tipo]]="MÃE"),"EXP.MAE",IF(TAB_HISTORICO_MANUT[[#This Row],[EXPURGO Mãe]]="NÃO","NÃO EXP.MAE",T655))</f>
        <v>EXP.MAE</v>
      </c>
      <c r="U65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56" s="56">
        <f>IF(TAB_HISTORICO_MANUT[[#This Row],[EXPURGO Filhas]]="SIM",MAX(TAB_HISTORICO_MANUT[[#This Row],[Hora Final]]-TAB_HISTORICO_MANUT[[#This Row],[Hora Inicio]],0),0)</f>
        <v>0</v>
      </c>
      <c r="W65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5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56" s="46">
        <v>46215.076388888891</v>
      </c>
      <c r="Z656" s="46">
        <v>46215.111296296294</v>
      </c>
      <c r="AA656" s="48" t="s">
        <v>208</v>
      </c>
      <c r="AB656" s="48" t="s">
        <v>1272</v>
      </c>
      <c r="AC656" s="43" t="s">
        <v>362</v>
      </c>
      <c r="AD656" s="46" t="s">
        <v>146</v>
      </c>
      <c r="AE656" s="46" t="s">
        <v>175</v>
      </c>
      <c r="AF656" s="88" t="s">
        <v>210</v>
      </c>
      <c r="AG656" s="105">
        <f>IF(TAB_HISTORICO_MANUT[[#This Row],[Hora Inicio]]="","",MONTH(TAB_HISTORICO_MANUT[[#This Row],[Hora Inicio]]))</f>
        <v>7</v>
      </c>
      <c r="AH656" s="58" t="s">
        <v>1333</v>
      </c>
      <c r="AI656" s="43" t="s">
        <v>340</v>
      </c>
      <c r="AJ656" s="43" t="s">
        <v>432</v>
      </c>
      <c r="AK656" s="43" t="s">
        <v>1272</v>
      </c>
      <c r="AL656" s="43" t="s">
        <v>1272</v>
      </c>
      <c r="AM656" s="114" t="s">
        <v>1272</v>
      </c>
      <c r="AN656" s="43" t="s">
        <v>1272</v>
      </c>
      <c r="AO656" s="43" t="s">
        <v>1272</v>
      </c>
      <c r="AP656" s="43" t="s">
        <v>1272</v>
      </c>
    </row>
    <row r="657" spans="1:42" ht="50.1" customHeight="1" x14ac:dyDescent="0.25">
      <c r="A657" s="43">
        <f>MONTH(TAB_HISTORICO_MANUT[[#This Row],[Hora Final]])-MONTH(TAB_HISTORICO_MANUT[[#This Row],[Hora Inicio]])</f>
        <v>0</v>
      </c>
      <c r="B657" s="42"/>
      <c r="C657" s="43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Inicio]]=Z656,TAB_HISTORICO_MANUT[[#This Row],[Equipamento]]=AA656,TAB_HISTORICO_MANUT[[#This Row],[Descricao Despacho]]=AD656),0,1)))</f>
        <v>0</v>
      </c>
      <c r="O65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657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65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657" s="50">
        <f>IF($Q657="","",(TAB_HISTORICO_MANUT[[#This Row],[Hora Final]]-TAB_HISTORICO_MANUT[[#This Row],[Hora Inicio]])*24)</f>
        <v>9.2419444444240071</v>
      </c>
      <c r="S65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57" s="54" t="str">
        <f>IF(AND(TAB_HISTORICO_MANUT[[#This Row],[EXPURGO Mãe]]="SIM",TAB_HISTORICO_MANUT[[#This Row],[Tipo]]="MÃE"),"EXP.MAE",IF(TAB_HISTORICO_MANUT[[#This Row],[EXPURGO Mãe]]="NÃO","NÃO EXP.MAE",T656))</f>
        <v>NÃO EXP.MAE</v>
      </c>
      <c r="U65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57" s="56">
        <f>IF(TAB_HISTORICO_MANUT[[#This Row],[EXPURGO Filhas]]="SIM",MAX(TAB_HISTORICO_MANUT[[#This Row],[Hora Final]]-TAB_HISTORICO_MANUT[[#This Row],[Hora Inicio]],0),0)</f>
        <v>0</v>
      </c>
      <c r="W65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5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57" s="46">
        <v>46215.111296296294</v>
      </c>
      <c r="Z657" s="47">
        <v>46215.496377314812</v>
      </c>
      <c r="AA657" s="48" t="s">
        <v>208</v>
      </c>
      <c r="AB657" s="48" t="s">
        <v>1272</v>
      </c>
      <c r="AC657" s="43" t="s">
        <v>302</v>
      </c>
      <c r="AD657" s="46" t="s">
        <v>146</v>
      </c>
      <c r="AE657" s="46" t="s">
        <v>311</v>
      </c>
      <c r="AF657" s="88" t="s">
        <v>210</v>
      </c>
      <c r="AG657" s="105">
        <f>IF(TAB_HISTORICO_MANUT[[#This Row],[Hora Inicio]]="","",MONTH(TAB_HISTORICO_MANUT[[#This Row],[Hora Inicio]]))</f>
        <v>7</v>
      </c>
      <c r="AH657" s="58" t="s">
        <v>1333</v>
      </c>
      <c r="AI657" s="43" t="s">
        <v>340</v>
      </c>
      <c r="AJ657" s="43" t="s">
        <v>432</v>
      </c>
      <c r="AK657" s="43"/>
      <c r="AL657" s="43"/>
      <c r="AM657" s="114"/>
      <c r="AN657" s="43"/>
      <c r="AO657" s="43"/>
      <c r="AP657" s="43"/>
    </row>
    <row r="658" spans="1:42" ht="50.1" customHeight="1" x14ac:dyDescent="0.25">
      <c r="A658" s="43">
        <f>MONTH(TAB_HISTORICO_MANUT[[#This Row],[Hora Final]])-MONTH(TAB_HISTORICO_MANUT[[#This Row],[Hora Inicio]])</f>
        <v>0</v>
      </c>
      <c r="B658" s="42"/>
      <c r="C658" s="43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Inicio]]=Z657,TAB_HISTORICO_MANUT[[#This Row],[Equipamento]]=AA657,TAB_HISTORICO_MANUT[[#This Row],[Descricao Despacho]]=AD657),0,1)))</f>
        <v/>
      </c>
      <c r="O65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658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65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658" s="50" t="str">
        <f>IF($Q658="","",(TAB_HISTORICO_MANUT[[#This Row],[Hora Final]]-TAB_HISTORICO_MANUT[[#This Row],[Hora Inicio]])*24)</f>
        <v/>
      </c>
      <c r="S65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658" s="54" t="str">
        <f>IF(AND(TAB_HISTORICO_MANUT[[#This Row],[EXPURGO Mãe]]="SIM",TAB_HISTORICO_MANUT[[#This Row],[Tipo]]="MÃE"),"EXP.MAE",IF(TAB_HISTORICO_MANUT[[#This Row],[EXPURGO Mãe]]="NÃO","NÃO EXP.MAE",T657))</f>
        <v>NÃO EXP.MAE</v>
      </c>
      <c r="U65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58" s="56">
        <f>IF(TAB_HISTORICO_MANUT[[#This Row],[EXPURGO Filhas]]="SIM",MAX(TAB_HISTORICO_MANUT[[#This Row],[Hora Final]]-TAB_HISTORICO_MANUT[[#This Row],[Hora Inicio]],0),0)</f>
        <v>0</v>
      </c>
      <c r="W65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5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58" s="46">
        <v>46215.277962962966</v>
      </c>
      <c r="Z658" s="47">
        <v>46215.496377314812</v>
      </c>
      <c r="AA658" s="48" t="s">
        <v>208</v>
      </c>
      <c r="AB658" s="48"/>
      <c r="AC658" s="43">
        <v>7011</v>
      </c>
      <c r="AD658" s="46" t="s">
        <v>146</v>
      </c>
      <c r="AE658" s="46" t="s">
        <v>311</v>
      </c>
      <c r="AF658" s="88" t="s">
        <v>767</v>
      </c>
      <c r="AG658" s="105">
        <f>IF(TAB_HISTORICO_MANUT[[#This Row],[Hora Inicio]]="","",MONTH(TAB_HISTORICO_MANUT[[#This Row],[Hora Inicio]]))</f>
        <v>7</v>
      </c>
      <c r="AH658" s="58" t="s">
        <v>1282</v>
      </c>
      <c r="AI658" s="43" t="s">
        <v>340</v>
      </c>
      <c r="AJ658" s="43" t="s">
        <v>432</v>
      </c>
      <c r="AK658" s="43"/>
      <c r="AL658" s="43"/>
      <c r="AM658" s="114"/>
      <c r="AN658" s="43"/>
      <c r="AO658" s="43"/>
      <c r="AP658" s="43"/>
    </row>
    <row r="659" spans="1:42" ht="50.1" customHeight="1" x14ac:dyDescent="0.25">
      <c r="A659" s="43">
        <f>MONTH(TAB_HISTORICO_MANUT[[#This Row],[Hora Final]])-MONTH(TAB_HISTORICO_MANUT[[#This Row],[Hora Inicio]])</f>
        <v>0</v>
      </c>
      <c r="B659" s="42"/>
      <c r="C659" s="43"/>
      <c r="D659" s="42"/>
      <c r="E659" s="42"/>
      <c r="F659" s="42"/>
      <c r="G659" s="42"/>
      <c r="H659" s="42"/>
      <c r="I659" s="42"/>
      <c r="J659" s="42"/>
      <c r="K659" s="42"/>
      <c r="L659" s="42">
        <v>0</v>
      </c>
      <c r="M659" s="42"/>
      <c r="N65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Inicio]]=Z658,TAB_HISTORICO_MANUT[[#This Row],[Equipamento]]=AA658,TAB_HISTORICO_MANUT[[#This Row],[Descricao Despacho]]=AD658),0,1)))</f>
        <v>0</v>
      </c>
      <c r="O65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659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65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659" s="50">
        <f>IF($Q659="","",(TAB_HISTORICO_MANUT[[#This Row],[Hora Final]]-TAB_HISTORICO_MANUT[[#This Row],[Hora Inicio]])*24)</f>
        <v>36.708333333372138</v>
      </c>
      <c r="S65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59" s="54" t="str">
        <f>IF(AND(TAB_HISTORICO_MANUT[[#This Row],[EXPURGO Mãe]]="SIM",TAB_HISTORICO_MANUT[[#This Row],[Tipo]]="MÃE"),"EXP.MAE",IF(TAB_HISTORICO_MANUT[[#This Row],[EXPURGO Mãe]]="NÃO","NÃO EXP.MAE",T658))</f>
        <v>NÃO EXP.MAE</v>
      </c>
      <c r="U65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59" s="56">
        <f>IF(TAB_HISTORICO_MANUT[[#This Row],[EXPURGO Filhas]]="SIM",MAX(TAB_HISTORICO_MANUT[[#This Row],[Hora Final]]-TAB_HISTORICO_MANUT[[#This Row],[Hora Inicio]],0),0)</f>
        <v>0</v>
      </c>
      <c r="W65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5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59" s="46">
        <v>46215.496377314812</v>
      </c>
      <c r="Z659" s="47">
        <v>46217.025891203702</v>
      </c>
      <c r="AA659" s="48" t="s">
        <v>208</v>
      </c>
      <c r="AB659" s="48" t="s">
        <v>1272</v>
      </c>
      <c r="AC659" s="43" t="s">
        <v>301</v>
      </c>
      <c r="AD659" s="46" t="s">
        <v>146</v>
      </c>
      <c r="AE659" s="46" t="s">
        <v>310</v>
      </c>
      <c r="AF659" s="88" t="s">
        <v>210</v>
      </c>
      <c r="AG659" s="105">
        <f>IF(TAB_HISTORICO_MANUT[[#This Row],[Hora Inicio]]="","",MONTH(TAB_HISTORICO_MANUT[[#This Row],[Hora Inicio]]))</f>
        <v>7</v>
      </c>
      <c r="AH659" s="58" t="s">
        <v>1333</v>
      </c>
      <c r="AI659" s="43" t="s">
        <v>340</v>
      </c>
      <c r="AJ659" s="43" t="s">
        <v>432</v>
      </c>
      <c r="AK659" s="43"/>
      <c r="AL659" s="43"/>
      <c r="AM659" s="114"/>
      <c r="AN659" s="43"/>
      <c r="AO659" s="43"/>
      <c r="AP659" s="43"/>
    </row>
    <row r="660" spans="1:42" ht="50.1" customHeight="1" x14ac:dyDescent="0.25">
      <c r="A660" s="115">
        <f>MONTH(TAB_HISTORICO_MANUT[[#This Row],[Hora Final]])-MONTH(TAB_HISTORICO_MANUT[[#This Row],[Hora Inicio]])</f>
        <v>0</v>
      </c>
      <c r="B660" s="116"/>
      <c r="C660" s="115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Inicio]]=Z659,TAB_HISTORICO_MANUT[[#This Row],[Equipamento]]=AA659,TAB_HISTORICO_MANUT[[#This Row],[Descricao Despacho]]=AD659),0,1)))</f>
        <v>1</v>
      </c>
      <c r="O66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66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66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660" s="107">
        <f>IF($Q660="","",(TAB_HISTORICO_MANUT[[#This Row],[Hora Final]]-TAB_HISTORICO_MANUT[[#This Row],[Hora Inicio]])*24)</f>
        <v>0.73277777776820585</v>
      </c>
      <c r="S66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60" s="109" t="str">
        <f>IF(AND(TAB_HISTORICO_MANUT[[#This Row],[EXPURGO Mãe]]="SIM",TAB_HISTORICO_MANUT[[#This Row],[Tipo]]="MÃE"),"EXP.MAE",IF(TAB_HISTORICO_MANUT[[#This Row],[EXPURGO Mãe]]="NÃO","NÃO EXP.MAE",T659))</f>
        <v>NÃO EXP.MAE</v>
      </c>
      <c r="U66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60" s="110">
        <f>IF(TAB_HISTORICO_MANUT[[#This Row],[EXPURGO Filhas]]="SIM",MAX(TAB_HISTORICO_MANUT[[#This Row],[Hora Final]]-TAB_HISTORICO_MANUT[[#This Row],[Hora Inicio]],0),0)</f>
        <v>0</v>
      </c>
      <c r="W66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6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60" s="117">
        <v>46217.878622685188</v>
      </c>
      <c r="Z660" s="118">
        <v>46217.909155092595</v>
      </c>
      <c r="AA660" s="119" t="s">
        <v>208</v>
      </c>
      <c r="AB660" s="119" t="s">
        <v>1272</v>
      </c>
      <c r="AC660" s="115" t="s">
        <v>205</v>
      </c>
      <c r="AD660" s="117" t="s">
        <v>145</v>
      </c>
      <c r="AE660" s="117" t="s">
        <v>173</v>
      </c>
      <c r="AF660" s="88" t="s">
        <v>210</v>
      </c>
      <c r="AG660" s="123">
        <f>IF(TAB_HISTORICO_MANUT[[#This Row],[Hora Inicio]]="","",MONTH(TAB_HISTORICO_MANUT[[#This Row],[Hora Inicio]]))</f>
        <v>7</v>
      </c>
      <c r="AH660" s="120" t="s">
        <v>1272</v>
      </c>
      <c r="AI660" s="115" t="s">
        <v>21</v>
      </c>
      <c r="AJ660" s="115" t="s">
        <v>21</v>
      </c>
      <c r="AK660" s="115" t="s">
        <v>21</v>
      </c>
      <c r="AL660" s="115" t="s">
        <v>21</v>
      </c>
      <c r="AM660" s="121" t="s">
        <v>21</v>
      </c>
      <c r="AN660" s="115" t="s">
        <v>1272</v>
      </c>
      <c r="AO660" s="115" t="s">
        <v>1272</v>
      </c>
      <c r="AP660" s="115" t="s">
        <v>1272</v>
      </c>
    </row>
    <row r="661" spans="1:42" ht="50.1" customHeight="1" x14ac:dyDescent="0.25">
      <c r="A661" s="43">
        <f>MONTH(TAB_HISTORICO_MANUT[[#This Row],[Hora Final]])-MONTH(TAB_HISTORICO_MANUT[[#This Row],[Hora Inicio]])</f>
        <v>0</v>
      </c>
      <c r="B661" s="42"/>
      <c r="C661" s="43"/>
      <c r="D661" s="42"/>
      <c r="E661" s="42"/>
      <c r="F661" s="42"/>
      <c r="G661" s="42"/>
      <c r="H661" s="42"/>
      <c r="I661" s="42"/>
      <c r="J661" s="42"/>
      <c r="K661" s="42"/>
      <c r="L661" s="42"/>
      <c r="M661" s="42" t="s">
        <v>98</v>
      </c>
      <c r="N661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Inicio]]=Z660,TAB_HISTORICO_MANUT[[#This Row],[Equipamento]]=AA660,TAB_HISTORICO_MANUT[[#This Row],[Descricao Despacho]]=AD660),0,1)))</f>
        <v/>
      </c>
      <c r="O66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661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66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661" s="50" t="str">
        <f>IF($Q661="","",(TAB_HISTORICO_MANUT[[#This Row],[Hora Final]]-TAB_HISTORICO_MANUT[[#This Row],[Hora Inicio]])*24)</f>
        <v/>
      </c>
      <c r="S66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661" s="54" t="str">
        <f>IF(AND(TAB_HISTORICO_MANUT[[#This Row],[EXPURGO Mãe]]="SIM",TAB_HISTORICO_MANUT[[#This Row],[Tipo]]="MÃE"),"EXP.MAE",IF(TAB_HISTORICO_MANUT[[#This Row],[EXPURGO Mãe]]="NÃO","NÃO EXP.MAE",T660))</f>
        <v>NÃO EXP.MAE</v>
      </c>
      <c r="U66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661" s="56">
        <f>IF(TAB_HISTORICO_MANUT[[#This Row],[EXPURGO Filhas]]="SIM",MAX(TAB_HISTORICO_MANUT[[#This Row],[Hora Final]]-TAB_HISTORICO_MANUT[[#This Row],[Hora Inicio]],0),0)</f>
        <v>1.7259965279663447E-2</v>
      </c>
      <c r="W66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6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61" s="46">
        <v>46217.891895127315</v>
      </c>
      <c r="Z661" s="47">
        <v>46217.909155092595</v>
      </c>
      <c r="AA661" s="48" t="s">
        <v>208</v>
      </c>
      <c r="AB661" s="48"/>
      <c r="AC661" s="43">
        <v>8010</v>
      </c>
      <c r="AD661" s="46" t="s">
        <v>145</v>
      </c>
      <c r="AE661" s="46" t="s">
        <v>173</v>
      </c>
      <c r="AF661" s="88" t="s">
        <v>767</v>
      </c>
      <c r="AG661" s="105">
        <f>IF(TAB_HISTORICO_MANUT[[#This Row],[Hora Inicio]]="","",MONTH(TAB_HISTORICO_MANUT[[#This Row],[Hora Inicio]]))</f>
        <v>7</v>
      </c>
      <c r="AH661" s="58" t="s">
        <v>1555</v>
      </c>
      <c r="AI661" s="115" t="s">
        <v>21</v>
      </c>
      <c r="AJ661" s="115" t="s">
        <v>21</v>
      </c>
      <c r="AK661" s="115" t="s">
        <v>21</v>
      </c>
      <c r="AL661" s="115" t="s">
        <v>21</v>
      </c>
      <c r="AM661" s="121" t="s">
        <v>21</v>
      </c>
      <c r="AN661" s="43"/>
      <c r="AO661" s="43"/>
      <c r="AP661" s="43"/>
    </row>
    <row r="662" spans="1:42" ht="50.1" customHeight="1" x14ac:dyDescent="0.25">
      <c r="A662" s="115">
        <f>MONTH(TAB_HISTORICO_MANUT[[#This Row],[Hora Final]])-MONTH(TAB_HISTORICO_MANUT[[#This Row],[Hora Inicio]])</f>
        <v>0</v>
      </c>
      <c r="B662" s="116"/>
      <c r="C662" s="115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Inicio]]=Z661,TAB_HISTORICO_MANUT[[#This Row],[Equipamento]]=AA661,TAB_HISTORICO_MANUT[[#This Row],[Descricao Despacho]]=AD661),0,1)))</f>
        <v>1</v>
      </c>
      <c r="O66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66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66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Reparo Programado</v>
      </c>
      <c r="R662" s="107">
        <f>IF($Q662="","",(TAB_HISTORICO_MANUT[[#This Row],[Hora Final]]-TAB_HISTORICO_MANUT[[#This Row],[Hora Inicio]])*24)</f>
        <v>0.42833333340240642</v>
      </c>
      <c r="S66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62" s="109" t="str">
        <f>IF(AND(TAB_HISTORICO_MANUT[[#This Row],[EXPURGO Mãe]]="SIM",TAB_HISTORICO_MANUT[[#This Row],[Tipo]]="MÃE"),"EXP.MAE",IF(TAB_HISTORICO_MANUT[[#This Row],[EXPURGO Mãe]]="NÃO","NÃO EXP.MAE",T661))</f>
        <v>NÃO EXP.MAE</v>
      </c>
      <c r="U66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62" s="110">
        <f>IF(TAB_HISTORICO_MANUT[[#This Row],[EXPURGO Filhas]]="SIM",MAX(TAB_HISTORICO_MANUT[[#This Row],[Hora Final]]-TAB_HISTORICO_MANUT[[#This Row],[Hora Inicio]],0),0)</f>
        <v>0</v>
      </c>
      <c r="W66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6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62" s="117">
        <v>46219.447604166664</v>
      </c>
      <c r="Z662" s="118">
        <v>46219.465451388889</v>
      </c>
      <c r="AA662" s="119" t="s">
        <v>208</v>
      </c>
      <c r="AB662" s="119" t="s">
        <v>1272</v>
      </c>
      <c r="AC662" s="115" t="s">
        <v>363</v>
      </c>
      <c r="AD662" s="117" t="s">
        <v>145</v>
      </c>
      <c r="AE662" s="117" t="s">
        <v>359</v>
      </c>
      <c r="AF662" s="88" t="s">
        <v>210</v>
      </c>
      <c r="AG662" s="123">
        <f>IF(TAB_HISTORICO_MANUT[[#This Row],[Hora Inicio]]="","",MONTH(TAB_HISTORICO_MANUT[[#This Row],[Hora Inicio]]))</f>
        <v>7</v>
      </c>
      <c r="AH662" s="149" t="s">
        <v>383</v>
      </c>
      <c r="AI662" s="146" t="s">
        <v>23</v>
      </c>
      <c r="AJ662" s="115" t="s">
        <v>1272</v>
      </c>
      <c r="AK662" s="115" t="s">
        <v>1272</v>
      </c>
      <c r="AL662" s="115" t="s">
        <v>1272</v>
      </c>
      <c r="AM662" s="115" t="s">
        <v>1272</v>
      </c>
      <c r="AN662" s="115" t="s">
        <v>1272</v>
      </c>
      <c r="AO662" s="115" t="s">
        <v>1272</v>
      </c>
      <c r="AP662" s="115" t="s">
        <v>1272</v>
      </c>
    </row>
    <row r="663" spans="1:42" ht="50.1" customHeight="1" x14ac:dyDescent="0.25">
      <c r="A663" s="115">
        <f>MONTH(TAB_HISTORICO_MANUT[[#This Row],[Hora Final]])-MONTH(TAB_HISTORICO_MANUT[[#This Row],[Hora Inicio]])</f>
        <v>0</v>
      </c>
      <c r="B663" s="116"/>
      <c r="C663" s="115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Inicio]]=Z662,TAB_HISTORICO_MANUT[[#This Row],[Equipamento]]=AA662,TAB_HISTORICO_MANUT[[#This Row],[Descricao Despacho]]=AD662),0,1)))</f>
        <v>1</v>
      </c>
      <c r="O66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ALERTA DE PROXIMIDADE</v>
      </c>
      <c r="P66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6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663" s="107">
        <f>IF($Q663="","",(TAB_HISTORICO_MANUT[[#This Row],[Hora Final]]-TAB_HISTORICO_MANUT[[#This Row],[Hora Inicio]])*24)</f>
        <v>1.2586111110867932</v>
      </c>
      <c r="S66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663" s="109" t="str">
        <f>IF(AND(TAB_HISTORICO_MANUT[[#This Row],[EXPURGO Mãe]]="SIM",TAB_HISTORICO_MANUT[[#This Row],[Tipo]]="MÃE"),"EXP.MAE",IF(TAB_HISTORICO_MANUT[[#This Row],[EXPURGO Mãe]]="NÃO","NÃO EXP.MAE",T662))</f>
        <v>EXP.MAE</v>
      </c>
      <c r="U66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63" s="110">
        <f>IF(TAB_HISTORICO_MANUT[[#This Row],[EXPURGO Filhas]]="SIM",MAX(TAB_HISTORICO_MANUT[[#This Row],[Hora Final]]-TAB_HISTORICO_MANUT[[#This Row],[Hora Inicio]],0),0)</f>
        <v>0</v>
      </c>
      <c r="W66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6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63" s="117">
        <v>46219.94290509259</v>
      </c>
      <c r="Z663" s="118">
        <v>46219.995347222219</v>
      </c>
      <c r="AA663" s="119" t="s">
        <v>208</v>
      </c>
      <c r="AB663" s="119" t="s">
        <v>1341</v>
      </c>
      <c r="AC663" s="115" t="s">
        <v>212</v>
      </c>
      <c r="AD663" s="117" t="s">
        <v>144</v>
      </c>
      <c r="AE663" s="117" t="s">
        <v>214</v>
      </c>
      <c r="AF663" s="88" t="s">
        <v>210</v>
      </c>
      <c r="AG663" s="123">
        <f>IF(TAB_HISTORICO_MANUT[[#This Row],[Hora Inicio]]="","",MONTH(TAB_HISTORICO_MANUT[[#This Row],[Hora Inicio]]))</f>
        <v>7</v>
      </c>
      <c r="AH663" s="120" t="s">
        <v>1346</v>
      </c>
      <c r="AI663" s="115" t="s">
        <v>153</v>
      </c>
      <c r="AJ663" s="115" t="s">
        <v>428</v>
      </c>
      <c r="AK663" s="115" t="s">
        <v>290</v>
      </c>
      <c r="AL663" s="115" t="s">
        <v>282</v>
      </c>
      <c r="AM663" s="121" t="s">
        <v>283</v>
      </c>
      <c r="AN663" s="115" t="s">
        <v>241</v>
      </c>
      <c r="AO663" s="115" t="s">
        <v>1347</v>
      </c>
      <c r="AP663" s="115" t="s">
        <v>1348</v>
      </c>
    </row>
    <row r="664" spans="1:42" ht="50.1" customHeight="1" x14ac:dyDescent="0.25">
      <c r="A664" s="115">
        <f>MONTH(TAB_HISTORICO_MANUT[[#This Row],[Hora Final]])-MONTH(TAB_HISTORICO_MANUT[[#This Row],[Hora Inicio]])</f>
        <v>0</v>
      </c>
      <c r="B664" s="116"/>
      <c r="C664" s="115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 t="s">
        <v>98</v>
      </c>
      <c r="N66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Inicio]]=Z663,TAB_HISTORICO_MANUT[[#This Row],[Equipamento]]=AA663,TAB_HISTORICO_MANUT[[#This Row],[Descricao Despacho]]=AD663),0,1)))</f>
        <v>1</v>
      </c>
      <c r="O66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66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6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64" s="107">
        <f>IF($Q664="","",(TAB_HISTORICO_MANUT[[#This Row],[Hora Final]]-TAB_HISTORICO_MANUT[[#This Row],[Hora Inicio]])*24)</f>
        <v>13.377777777670417</v>
      </c>
      <c r="S66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664" s="109" t="str">
        <f>IF(AND(TAB_HISTORICO_MANUT[[#This Row],[EXPURGO Mãe]]="SIM",TAB_HISTORICO_MANUT[[#This Row],[Tipo]]="MÃE"),"EXP.MAE",IF(TAB_HISTORICO_MANUT[[#This Row],[EXPURGO Mãe]]="NÃO","NÃO EXP.MAE",T663))</f>
        <v>EXP.MAE</v>
      </c>
      <c r="U66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64" s="110">
        <f>IF(TAB_HISTORICO_MANUT[[#This Row],[EXPURGO Filhas]]="SIM",MAX(TAB_HISTORICO_MANUT[[#This Row],[Hora Final]]-TAB_HISTORICO_MANUT[[#This Row],[Hora Inicio]],0),0)</f>
        <v>0</v>
      </c>
      <c r="W66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6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64" s="117">
        <v>46223.277777777781</v>
      </c>
      <c r="Z664" s="118">
        <v>46223.835185185184</v>
      </c>
      <c r="AA664" s="119" t="s">
        <v>208</v>
      </c>
      <c r="AB664" s="119" t="s">
        <v>1366</v>
      </c>
      <c r="AC664" s="115" t="s">
        <v>204</v>
      </c>
      <c r="AD664" s="117" t="s">
        <v>144</v>
      </c>
      <c r="AE664" s="117" t="s">
        <v>172</v>
      </c>
      <c r="AF664" s="88" t="s">
        <v>210</v>
      </c>
      <c r="AG664" s="123">
        <f>IF(TAB_HISTORICO_MANUT[[#This Row],[Hora Inicio]]="","",MONTH(TAB_HISTORICO_MANUT[[#This Row],[Hora Inicio]]))</f>
        <v>7</v>
      </c>
      <c r="AH664" s="120" t="s">
        <v>1549</v>
      </c>
      <c r="AI664" s="115" t="s">
        <v>235</v>
      </c>
      <c r="AJ664" s="115" t="s">
        <v>83</v>
      </c>
      <c r="AK664" s="115" t="s">
        <v>644</v>
      </c>
      <c r="AL664" s="115" t="s">
        <v>275</v>
      </c>
      <c r="AM664" s="121" t="s">
        <v>276</v>
      </c>
      <c r="AN664" s="115" t="s">
        <v>217</v>
      </c>
      <c r="AO664" s="115" t="s">
        <v>317</v>
      </c>
      <c r="AP664" s="115" t="s">
        <v>469</v>
      </c>
    </row>
    <row r="665" spans="1:42" ht="50.1" customHeight="1" x14ac:dyDescent="0.25">
      <c r="A665" s="115">
        <f>MONTH(TAB_HISTORICO_MANUT[[#This Row],[Hora Final]])-MONTH(TAB_HISTORICO_MANUT[[#This Row],[Hora Inicio]])</f>
        <v>0</v>
      </c>
      <c r="B665" s="116"/>
      <c r="C665" s="115"/>
      <c r="D665" s="116"/>
      <c r="E665" s="116"/>
      <c r="F665" s="116"/>
      <c r="G665" s="116"/>
      <c r="H665" s="116"/>
      <c r="I665" s="116"/>
      <c r="J665" s="116" t="s">
        <v>81</v>
      </c>
      <c r="K665" s="116"/>
      <c r="L665" s="116"/>
      <c r="M665" s="116" t="s">
        <v>99</v>
      </c>
      <c r="N66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Inicio]]=Z664,TAB_HISTORICO_MANUT[[#This Row],[Equipamento]]=AA664,TAB_HISTORICO_MANUT[[#This Row],[Descricao Despacho]]=AD664),0,1)))</f>
        <v>1</v>
      </c>
      <c r="O66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66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66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Componente (Major e Minor)</v>
      </c>
      <c r="R665" s="107">
        <f>IF($Q665="","",(TAB_HISTORICO_MANUT[[#This Row],[Hora Final]]-TAB_HISTORICO_MANUT[[#This Row],[Hora Inicio]])*24)</f>
        <v>0.87527777772629634</v>
      </c>
      <c r="S66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65" s="109" t="str">
        <f>IF(AND(TAB_HISTORICO_MANUT[[#This Row],[EXPURGO Mãe]]="SIM",TAB_HISTORICO_MANUT[[#This Row],[Tipo]]="MÃE"),"EXP.MAE",IF(TAB_HISTORICO_MANUT[[#This Row],[EXPURGO Mãe]]="NÃO","NÃO EXP.MAE",T664))</f>
        <v>NÃO EXP.MAE</v>
      </c>
      <c r="U66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65" s="110">
        <f>IF(TAB_HISTORICO_MANUT[[#This Row],[EXPURGO Filhas]]="SIM",MAX(TAB_HISTORICO_MANUT[[#This Row],[Hora Final]]-TAB_HISTORICO_MANUT[[#This Row],[Hora Inicio]],0),0)</f>
        <v>0</v>
      </c>
      <c r="W66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6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65" s="117">
        <v>46225.034456018519</v>
      </c>
      <c r="Z665" s="118">
        <v>46225.070925925924</v>
      </c>
      <c r="AA665" s="119" t="s">
        <v>208</v>
      </c>
      <c r="AB665" s="119" t="s">
        <v>1272</v>
      </c>
      <c r="AC665" s="115" t="s">
        <v>524</v>
      </c>
      <c r="AD665" s="117" t="s">
        <v>145</v>
      </c>
      <c r="AE665" s="117" t="s">
        <v>180</v>
      </c>
      <c r="AF665" s="88" t="s">
        <v>210</v>
      </c>
      <c r="AG665" s="123">
        <f>IF(TAB_HISTORICO_MANUT[[#This Row],[Hora Inicio]]="","",MONTH(TAB_HISTORICO_MANUT[[#This Row],[Hora Inicio]]))</f>
        <v>7</v>
      </c>
      <c r="AH665" s="120" t="s">
        <v>1371</v>
      </c>
      <c r="AI665" s="115" t="s">
        <v>235</v>
      </c>
      <c r="AJ665" s="115" t="s">
        <v>1381</v>
      </c>
      <c r="AK665" s="115" t="s">
        <v>83</v>
      </c>
      <c r="AL665" s="115" t="s">
        <v>275</v>
      </c>
      <c r="AM665" s="121" t="s">
        <v>276</v>
      </c>
      <c r="AN665" s="115" t="s">
        <v>1272</v>
      </c>
      <c r="AO665" s="115" t="s">
        <v>1272</v>
      </c>
      <c r="AP665" s="115" t="s">
        <v>1272</v>
      </c>
    </row>
    <row r="666" spans="1:42" ht="50.1" customHeight="1" x14ac:dyDescent="0.25">
      <c r="A666" s="115">
        <f>MONTH(TAB_HISTORICO_MANUT[[#This Row],[Hora Final]])-MONTH(TAB_HISTORICO_MANUT[[#This Row],[Hora Inicio]])</f>
        <v>0</v>
      </c>
      <c r="B666" s="116"/>
      <c r="C666" s="115"/>
      <c r="D666" s="116"/>
      <c r="E666" s="116"/>
      <c r="F666" s="116"/>
      <c r="G666" s="116"/>
      <c r="H666" s="116"/>
      <c r="I666" s="116"/>
      <c r="J666" s="116" t="s">
        <v>81</v>
      </c>
      <c r="K666" s="116"/>
      <c r="L666" s="116"/>
      <c r="M666" s="116"/>
      <c r="N66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Inicio]]=Z665,TAB_HISTORICO_MANUT[[#This Row],[Equipamento]]=AA665,TAB_HISTORICO_MANUT[[#This Row],[Descricao Despacho]]=AD665),0,1)))</f>
        <v>0</v>
      </c>
      <c r="O66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66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66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Componente (Major e Minor)</v>
      </c>
      <c r="R666" s="107">
        <f>IF($Q666="","",(TAB_HISTORICO_MANUT[[#This Row],[Hora Final]]-TAB_HISTORICO_MANUT[[#This Row],[Hora Inicio]])*24)</f>
        <v>0.86583333334419876</v>
      </c>
      <c r="S66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66" s="109" t="str">
        <f>IF(AND(TAB_HISTORICO_MANUT[[#This Row],[EXPURGO Mãe]]="SIM",TAB_HISTORICO_MANUT[[#This Row],[Tipo]]="MÃE"),"EXP.MAE",IF(TAB_HISTORICO_MANUT[[#This Row],[EXPURGO Mãe]]="NÃO","NÃO EXP.MAE",T665))</f>
        <v>NÃO EXP.MAE</v>
      </c>
      <c r="U66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66" s="110">
        <f>IF(TAB_HISTORICO_MANUT[[#This Row],[EXPURGO Filhas]]="SIM",MAX(TAB_HISTORICO_MANUT[[#This Row],[Hora Final]]-TAB_HISTORICO_MANUT[[#This Row],[Hora Inicio]],0),0)</f>
        <v>0</v>
      </c>
      <c r="W66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6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66" s="117">
        <v>46225.070925925924</v>
      </c>
      <c r="Z666" s="118">
        <v>46225.107002314813</v>
      </c>
      <c r="AA666" s="119" t="s">
        <v>208</v>
      </c>
      <c r="AB666" s="119" t="s">
        <v>1272</v>
      </c>
      <c r="AC666" s="115" t="s">
        <v>363</v>
      </c>
      <c r="AD666" s="117" t="s">
        <v>145</v>
      </c>
      <c r="AE666" s="117" t="s">
        <v>359</v>
      </c>
      <c r="AF666" s="88" t="s">
        <v>210</v>
      </c>
      <c r="AG666" s="123">
        <f>IF(TAB_HISTORICO_MANUT[[#This Row],[Hora Inicio]]="","",MONTH(TAB_HISTORICO_MANUT[[#This Row],[Hora Inicio]]))</f>
        <v>7</v>
      </c>
      <c r="AH666" s="120" t="s">
        <v>1371</v>
      </c>
      <c r="AI666" s="115" t="s">
        <v>235</v>
      </c>
      <c r="AJ666" s="115" t="s">
        <v>1381</v>
      </c>
      <c r="AK666" s="115" t="s">
        <v>83</v>
      </c>
      <c r="AL666" s="115" t="s">
        <v>275</v>
      </c>
      <c r="AM666" s="121" t="s">
        <v>276</v>
      </c>
      <c r="AN666" s="115" t="s">
        <v>1272</v>
      </c>
      <c r="AO666" s="115" t="s">
        <v>1272</v>
      </c>
      <c r="AP666" s="115" t="s">
        <v>1272</v>
      </c>
    </row>
    <row r="667" spans="1:42" ht="50.1" customHeight="1" x14ac:dyDescent="0.25">
      <c r="A667" s="115">
        <f>MONTH(TAB_HISTORICO_MANUT[[#This Row],[Hora Final]])-MONTH(TAB_HISTORICO_MANUT[[#This Row],[Hora Inicio]])</f>
        <v>0</v>
      </c>
      <c r="B667" s="116"/>
      <c r="C667" s="115"/>
      <c r="D667" s="116"/>
      <c r="E667" s="116"/>
      <c r="F667" s="116"/>
      <c r="G667" s="116"/>
      <c r="H667" s="116"/>
      <c r="I667" s="116"/>
      <c r="J667" s="116" t="s">
        <v>81</v>
      </c>
      <c r="K667" s="116"/>
      <c r="L667" s="116"/>
      <c r="M667" s="116"/>
      <c r="N66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Inicio]]=Z666,TAB_HISTORICO_MANUT[[#This Row],[Equipamento]]=AA666,TAB_HISTORICO_MANUT[[#This Row],[Descricao Despacho]]=AD666),0,1)))</f>
        <v>0</v>
      </c>
      <c r="O66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66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66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Componente (Major e Minor)</v>
      </c>
      <c r="R667" s="107">
        <f>IF($Q667="","",(TAB_HISTORICO_MANUT[[#This Row],[Hora Final]]-TAB_HISTORICO_MANUT[[#This Row],[Hora Inicio]])*24)</f>
        <v>2.1052777778240852</v>
      </c>
      <c r="S66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67" s="109" t="str">
        <f>IF(AND(TAB_HISTORICO_MANUT[[#This Row],[EXPURGO Mãe]]="SIM",TAB_HISTORICO_MANUT[[#This Row],[Tipo]]="MÃE"),"EXP.MAE",IF(TAB_HISTORICO_MANUT[[#This Row],[EXPURGO Mãe]]="NÃO","NÃO EXP.MAE",T666))</f>
        <v>NÃO EXP.MAE</v>
      </c>
      <c r="U66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67" s="110">
        <f>IF(TAB_HISTORICO_MANUT[[#This Row],[EXPURGO Filhas]]="SIM",MAX(TAB_HISTORICO_MANUT[[#This Row],[Hora Final]]-TAB_HISTORICO_MANUT[[#This Row],[Hora Inicio]],0),0)</f>
        <v>0</v>
      </c>
      <c r="W66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6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67" s="117">
        <v>46225.107002314813</v>
      </c>
      <c r="Z667" s="118">
        <v>46225.194722222222</v>
      </c>
      <c r="AA667" s="119" t="s">
        <v>208</v>
      </c>
      <c r="AB667" s="119" t="s">
        <v>1272</v>
      </c>
      <c r="AC667" s="115" t="s">
        <v>889</v>
      </c>
      <c r="AD667" s="117" t="s">
        <v>145</v>
      </c>
      <c r="AE667" s="117" t="s">
        <v>1369</v>
      </c>
      <c r="AF667" s="88" t="s">
        <v>210</v>
      </c>
      <c r="AG667" s="123">
        <f>IF(TAB_HISTORICO_MANUT[[#This Row],[Hora Inicio]]="","",MONTH(TAB_HISTORICO_MANUT[[#This Row],[Hora Inicio]]))</f>
        <v>7</v>
      </c>
      <c r="AH667" s="120" t="s">
        <v>1371</v>
      </c>
      <c r="AI667" s="115" t="s">
        <v>235</v>
      </c>
      <c r="AJ667" s="115" t="s">
        <v>1381</v>
      </c>
      <c r="AK667" s="115" t="s">
        <v>83</v>
      </c>
      <c r="AL667" s="115" t="s">
        <v>275</v>
      </c>
      <c r="AM667" s="121" t="s">
        <v>276</v>
      </c>
      <c r="AN667" s="115" t="s">
        <v>1272</v>
      </c>
      <c r="AO667" s="115" t="s">
        <v>1272</v>
      </c>
      <c r="AP667" s="115" t="s">
        <v>1272</v>
      </c>
    </row>
    <row r="668" spans="1:42" ht="50.1" customHeight="1" x14ac:dyDescent="0.25">
      <c r="A668" s="115">
        <f>MONTH(TAB_HISTORICO_MANUT[[#This Row],[Hora Final]])-MONTH(TAB_HISTORICO_MANUT[[#This Row],[Hora Inicio]])</f>
        <v>0</v>
      </c>
      <c r="B668" s="116"/>
      <c r="C668" s="115"/>
      <c r="D668" s="116"/>
      <c r="E668" s="116"/>
      <c r="F668" s="116"/>
      <c r="G668" s="116"/>
      <c r="H668" s="116"/>
      <c r="I668" s="116"/>
      <c r="J668" s="116" t="s">
        <v>81</v>
      </c>
      <c r="K668" s="116"/>
      <c r="L668" s="116"/>
      <c r="M668" s="116"/>
      <c r="N66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Inicio]]=Z667,TAB_HISTORICO_MANUT[[#This Row],[Equipamento]]=AA667,TAB_HISTORICO_MANUT[[#This Row],[Descricao Despacho]]=AD667),0,1)))</f>
        <v>0</v>
      </c>
      <c r="O66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66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66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Componente (Major e Minor)</v>
      </c>
      <c r="R668" s="107">
        <f>IF($Q668="","",(TAB_HISTORICO_MANUT[[#This Row],[Hora Final]]-TAB_HISTORICO_MANUT[[#This Row],[Hora Inicio]])*24)</f>
        <v>66.347222222189885</v>
      </c>
      <c r="S66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68" s="109" t="str">
        <f>IF(AND(TAB_HISTORICO_MANUT[[#This Row],[EXPURGO Mãe]]="SIM",TAB_HISTORICO_MANUT[[#This Row],[Tipo]]="MÃE"),"EXP.MAE",IF(TAB_HISTORICO_MANUT[[#This Row],[EXPURGO Mãe]]="NÃO","NÃO EXP.MAE",T667))</f>
        <v>NÃO EXP.MAE</v>
      </c>
      <c r="U66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68" s="110">
        <f>IF(TAB_HISTORICO_MANUT[[#This Row],[EXPURGO Filhas]]="SIM",MAX(TAB_HISTORICO_MANUT[[#This Row],[Hora Final]]-TAB_HISTORICO_MANUT[[#This Row],[Hora Inicio]],0),0)</f>
        <v>0</v>
      </c>
      <c r="W66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6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68" s="117">
        <v>46225.194722222222</v>
      </c>
      <c r="Z668" s="118">
        <v>46227.959189814814</v>
      </c>
      <c r="AA668" s="119" t="s">
        <v>208</v>
      </c>
      <c r="AB668" s="119" t="s">
        <v>1272</v>
      </c>
      <c r="AC668" s="115" t="s">
        <v>363</v>
      </c>
      <c r="AD668" s="117" t="s">
        <v>145</v>
      </c>
      <c r="AE668" s="117" t="s">
        <v>359</v>
      </c>
      <c r="AF668" s="88" t="s">
        <v>210</v>
      </c>
      <c r="AG668" s="123">
        <f>IF(TAB_HISTORICO_MANUT[[#This Row],[Hora Inicio]]="","",MONTH(TAB_HISTORICO_MANUT[[#This Row],[Hora Inicio]]))</f>
        <v>7</v>
      </c>
      <c r="AH668" s="120" t="s">
        <v>1371</v>
      </c>
      <c r="AI668" s="115" t="s">
        <v>235</v>
      </c>
      <c r="AJ668" s="115" t="s">
        <v>1381</v>
      </c>
      <c r="AK668" s="115" t="s">
        <v>83</v>
      </c>
      <c r="AL668" s="115" t="s">
        <v>275</v>
      </c>
      <c r="AM668" s="121" t="s">
        <v>276</v>
      </c>
      <c r="AN668" s="115" t="s">
        <v>1272</v>
      </c>
      <c r="AO668" s="115" t="s">
        <v>1272</v>
      </c>
      <c r="AP668" s="115" t="s">
        <v>1272</v>
      </c>
    </row>
    <row r="669" spans="1:42" ht="50.1" customHeight="1" x14ac:dyDescent="0.25">
      <c r="A669" s="115">
        <f>MONTH(TAB_HISTORICO_MANUT[[#This Row],[Hora Final]])-MONTH(TAB_HISTORICO_MANUT[[#This Row],[Hora Inicio]])</f>
        <v>0</v>
      </c>
      <c r="B669" s="116"/>
      <c r="C669" s="115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Inicio]]=Z668,TAB_HISTORICO_MANUT[[#This Row],[Equipamento]]=AA668,TAB_HISTORICO_MANUT[[#This Row],[Descricao Despacho]]=AD668),0,1)))</f>
        <v/>
      </c>
      <c r="O66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669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66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669" s="107" t="str">
        <f>IF($Q669="","",(TAB_HISTORICO_MANUT[[#This Row],[Hora Final]]-TAB_HISTORICO_MANUT[[#This Row],[Hora Inicio]])*24)</f>
        <v/>
      </c>
      <c r="S66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669" s="109" t="str">
        <f>IF(AND(TAB_HISTORICO_MANUT[[#This Row],[EXPURGO Mãe]]="SIM",TAB_HISTORICO_MANUT[[#This Row],[Tipo]]="MÃE"),"EXP.MAE",IF(TAB_HISTORICO_MANUT[[#This Row],[EXPURGO Mãe]]="NÃO","NÃO EXP.MAE",T668))</f>
        <v>NÃO EXP.MAE</v>
      </c>
      <c r="U66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669" s="110">
        <f>IF(TAB_HISTORICO_MANUT[[#This Row],[EXPURGO Filhas]]="SIM",MAX(TAB_HISTORICO_MANUT[[#This Row],[Hora Final]]-TAB_HISTORICO_MANUT[[#This Row],[Hora Inicio]],0),0)</f>
        <v>0.11384513889061054</v>
      </c>
      <c r="W66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6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69" s="117">
        <v>46225.58754375</v>
      </c>
      <c r="Z669" s="118">
        <v>46225.701388888891</v>
      </c>
      <c r="AA669" s="119" t="s">
        <v>208</v>
      </c>
      <c r="AB669" s="119"/>
      <c r="AC669" s="115">
        <v>8001</v>
      </c>
      <c r="AD669" s="117" t="s">
        <v>145</v>
      </c>
      <c r="AE669" s="117" t="s">
        <v>188</v>
      </c>
      <c r="AF669" s="88" t="s">
        <v>767</v>
      </c>
      <c r="AG669" s="123">
        <f>IF(TAB_HISTORICO_MANUT[[#This Row],[Hora Inicio]]="","",MONTH(TAB_HISTORICO_MANUT[[#This Row],[Hora Inicio]]))</f>
        <v>7</v>
      </c>
      <c r="AH669" s="120" t="s">
        <v>1555</v>
      </c>
      <c r="AI669" s="115" t="s">
        <v>235</v>
      </c>
      <c r="AJ669" s="115" t="s">
        <v>1381</v>
      </c>
      <c r="AK669" s="115" t="s">
        <v>83</v>
      </c>
      <c r="AL669" s="115" t="s">
        <v>275</v>
      </c>
      <c r="AM669" s="121" t="s">
        <v>276</v>
      </c>
      <c r="AN669" s="115"/>
      <c r="AO669" s="115"/>
      <c r="AP669" s="115"/>
    </row>
    <row r="670" spans="1:42" ht="50.1" customHeight="1" x14ac:dyDescent="0.25">
      <c r="A670" s="43">
        <f>MONTH(TAB_HISTORICO_MANUT[[#This Row],[Hora Final]])-MONTH(TAB_HISTORICO_MANUT[[#This Row],[Hora Inicio]])</f>
        <v>0</v>
      </c>
      <c r="B670" s="42"/>
      <c r="C670" s="43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Inicio]]=Z669,TAB_HISTORICO_MANUT[[#This Row],[Equipamento]]=AA669,TAB_HISTORICO_MANUT[[#This Row],[Descricao Despacho]]=AD669),0,1)))</f>
        <v/>
      </c>
      <c r="O67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670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67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670" s="50" t="str">
        <f>IF($Q670="","",(TAB_HISTORICO_MANUT[[#This Row],[Hora Final]]-TAB_HISTORICO_MANUT[[#This Row],[Hora Inicio]])*24)</f>
        <v/>
      </c>
      <c r="S67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670" s="54" t="str">
        <f>IF(AND(TAB_HISTORICO_MANUT[[#This Row],[EXPURGO Mãe]]="SIM",TAB_HISTORICO_MANUT[[#This Row],[Tipo]]="MÃE"),"EXP.MAE",IF(TAB_HISTORICO_MANUT[[#This Row],[EXPURGO Mãe]]="NÃO","NÃO EXP.MAE",T669))</f>
        <v>NÃO EXP.MAE</v>
      </c>
      <c r="U67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670" s="56">
        <f>IF(TAB_HISTORICO_MANUT[[#This Row],[EXPURGO Filhas]]="SIM",MAX(TAB_HISTORICO_MANUT[[#This Row],[Hora Final]]-TAB_HISTORICO_MANUT[[#This Row],[Hora Inicio]],0),0)</f>
        <v>0.26458333333721384</v>
      </c>
      <c r="W67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7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70" s="46">
        <v>46225.916666666664</v>
      </c>
      <c r="Z670" s="47">
        <v>46226.181250000001</v>
      </c>
      <c r="AA670" s="48" t="s">
        <v>208</v>
      </c>
      <c r="AB670" s="48" t="s">
        <v>1550</v>
      </c>
      <c r="AC670" s="43">
        <v>8001</v>
      </c>
      <c r="AD670" s="46" t="s">
        <v>145</v>
      </c>
      <c r="AE670" s="46" t="s">
        <v>769</v>
      </c>
      <c r="AF670" s="88" t="s">
        <v>767</v>
      </c>
      <c r="AG670" s="105">
        <f>IF(TAB_HISTORICO_MANUT[[#This Row],[Hora Inicio]]="","",MONTH(TAB_HISTORICO_MANUT[[#This Row],[Hora Inicio]]))</f>
        <v>7</v>
      </c>
      <c r="AH670" s="58" t="s">
        <v>1552</v>
      </c>
      <c r="AI670" s="43" t="s">
        <v>235</v>
      </c>
      <c r="AJ670" s="43" t="s">
        <v>1381</v>
      </c>
      <c r="AK670" s="43" t="s">
        <v>83</v>
      </c>
      <c r="AL670" s="43" t="s">
        <v>275</v>
      </c>
      <c r="AM670" s="43" t="s">
        <v>276</v>
      </c>
      <c r="AN670" s="43"/>
      <c r="AO670" s="43"/>
      <c r="AP670" s="43"/>
    </row>
    <row r="671" spans="1:42" ht="50.1" customHeight="1" x14ac:dyDescent="0.25">
      <c r="A671" s="115">
        <f>MONTH(TAB_HISTORICO_MANUT[[#This Row],[Hora Final]])-MONTH(TAB_HISTORICO_MANUT[[#This Row],[Hora Inicio]])</f>
        <v>0</v>
      </c>
      <c r="B671" s="116"/>
      <c r="C671" s="115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Inicio]]=Z670,TAB_HISTORICO_MANUT[[#This Row],[Equipamento]]=AA670,TAB_HISTORICO_MANUT[[#This Row],[Descricao Despacho]]=AD670),0,1)))</f>
        <v/>
      </c>
      <c r="O67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671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67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671" s="107" t="str">
        <f>IF($Q671="","",(TAB_HISTORICO_MANUT[[#This Row],[Hora Final]]-TAB_HISTORICO_MANUT[[#This Row],[Hora Inicio]])*24)</f>
        <v/>
      </c>
      <c r="S67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671" s="109" t="str">
        <f>IF(AND(TAB_HISTORICO_MANUT[[#This Row],[EXPURGO Mãe]]="SIM",TAB_HISTORICO_MANUT[[#This Row],[Tipo]]="MÃE"),"EXP.MAE",IF(TAB_HISTORICO_MANUT[[#This Row],[EXPURGO Mãe]]="NÃO","NÃO EXP.MAE",T670))</f>
        <v>NÃO EXP.MAE</v>
      </c>
      <c r="U67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671" s="110">
        <f>IF(TAB_HISTORICO_MANUT[[#This Row],[EXPURGO Filhas]]="SIM",MAX(TAB_HISTORICO_MANUT[[#This Row],[Hora Final]]-TAB_HISTORICO_MANUT[[#This Row],[Hora Inicio]],0),0)</f>
        <v>8.3333333328482695E-2</v>
      </c>
      <c r="W67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7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71" s="117">
        <v>46226.473611111112</v>
      </c>
      <c r="Z671" s="118">
        <v>46226.556944444441</v>
      </c>
      <c r="AA671" s="119" t="s">
        <v>208</v>
      </c>
      <c r="AB671" s="119" t="s">
        <v>1550</v>
      </c>
      <c r="AC671" s="115">
        <v>8001</v>
      </c>
      <c r="AD671" s="117" t="s">
        <v>145</v>
      </c>
      <c r="AE671" s="117" t="s">
        <v>769</v>
      </c>
      <c r="AF671" s="122" t="s">
        <v>767</v>
      </c>
      <c r="AG671" s="123">
        <f>IF(TAB_HISTORICO_MANUT[[#This Row],[Hora Inicio]]="","",MONTH(TAB_HISTORICO_MANUT[[#This Row],[Hora Inicio]]))</f>
        <v>7</v>
      </c>
      <c r="AH671" s="120" t="s">
        <v>1292</v>
      </c>
      <c r="AI671" s="115" t="s">
        <v>235</v>
      </c>
      <c r="AJ671" s="115" t="s">
        <v>1381</v>
      </c>
      <c r="AK671" s="115" t="s">
        <v>83</v>
      </c>
      <c r="AL671" s="115" t="s">
        <v>275</v>
      </c>
      <c r="AM671" s="121" t="s">
        <v>276</v>
      </c>
      <c r="AN671" s="115"/>
      <c r="AO671" s="115"/>
      <c r="AP671" s="115"/>
    </row>
    <row r="672" spans="1:42" ht="50.1" customHeight="1" x14ac:dyDescent="0.25">
      <c r="A672" s="43">
        <f>MONTH(TAB_HISTORICO_MANUT[[#This Row],[Hora Final]])-MONTH(TAB_HISTORICO_MANUT[[#This Row],[Hora Inicio]])</f>
        <v>0</v>
      </c>
      <c r="B672" s="42"/>
      <c r="C672" s="43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Inicio]]=Z671,TAB_HISTORICO_MANUT[[#This Row],[Equipamento]]=AA671,TAB_HISTORICO_MANUT[[#This Row],[Descricao Despacho]]=AD671),0,1)))</f>
        <v/>
      </c>
      <c r="O67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672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67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672" s="50" t="str">
        <f>IF($Q672="","",(TAB_HISTORICO_MANUT[[#This Row],[Hora Final]]-TAB_HISTORICO_MANUT[[#This Row],[Hora Inicio]])*24)</f>
        <v/>
      </c>
      <c r="S67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672" s="54" t="str">
        <f>IF(AND(TAB_HISTORICO_MANUT[[#This Row],[EXPURGO Mãe]]="SIM",TAB_HISTORICO_MANUT[[#This Row],[Tipo]]="MÃE"),"EXP.MAE",IF(TAB_HISTORICO_MANUT[[#This Row],[EXPURGO Mãe]]="NÃO","NÃO EXP.MAE",T671))</f>
        <v>NÃO EXP.MAE</v>
      </c>
      <c r="U67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672" s="56">
        <f>IF(TAB_HISTORICO_MANUT[[#This Row],[EXPURGO Filhas]]="SIM",MAX(TAB_HISTORICO_MANUT[[#This Row],[Hora Final]]-TAB_HISTORICO_MANUT[[#This Row],[Hora Inicio]],0),0)</f>
        <v>6.5972222226264421E-2</v>
      </c>
      <c r="W67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7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72" s="46">
        <v>46226.556944444441</v>
      </c>
      <c r="Z672" s="47">
        <v>46226.622916666667</v>
      </c>
      <c r="AA672" s="48" t="s">
        <v>208</v>
      </c>
      <c r="AB672" s="48" t="s">
        <v>1550</v>
      </c>
      <c r="AC672" s="43">
        <v>8001</v>
      </c>
      <c r="AD672" s="46" t="s">
        <v>145</v>
      </c>
      <c r="AE672" s="46" t="s">
        <v>769</v>
      </c>
      <c r="AF672" s="88" t="s">
        <v>767</v>
      </c>
      <c r="AG672" s="105">
        <f>IF(TAB_HISTORICO_MANUT[[#This Row],[Hora Inicio]]="","",MONTH(TAB_HISTORICO_MANUT[[#This Row],[Hora Inicio]]))</f>
        <v>7</v>
      </c>
      <c r="AH672" s="58" t="s">
        <v>1292</v>
      </c>
      <c r="AI672" s="43" t="s">
        <v>235</v>
      </c>
      <c r="AJ672" s="43" t="s">
        <v>1381</v>
      </c>
      <c r="AK672" s="43" t="s">
        <v>83</v>
      </c>
      <c r="AL672" s="43" t="s">
        <v>275</v>
      </c>
      <c r="AM672" s="114" t="s">
        <v>276</v>
      </c>
      <c r="AN672" s="43"/>
      <c r="AO672" s="43"/>
      <c r="AP672" s="43"/>
    </row>
    <row r="673" spans="1:42" ht="50.1" customHeight="1" x14ac:dyDescent="0.25">
      <c r="A673" s="43">
        <f>MONTH(TAB_HISTORICO_MANUT[[#This Row],[Hora Final]])-MONTH(TAB_HISTORICO_MANUT[[#This Row],[Hora Inicio]])</f>
        <v>0</v>
      </c>
      <c r="B673" s="42"/>
      <c r="C673" s="43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Inicio]]=Z672,TAB_HISTORICO_MANUT[[#This Row],[Equipamento]]=AA672,TAB_HISTORICO_MANUT[[#This Row],[Descricao Despacho]]=AD672),0,1)))</f>
        <v/>
      </c>
      <c r="O67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673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67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673" s="50" t="str">
        <f>IF($Q673="","",(TAB_HISTORICO_MANUT[[#This Row],[Hora Final]]-TAB_HISTORICO_MANUT[[#This Row],[Hora Inicio]])*24)</f>
        <v/>
      </c>
      <c r="S67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673" s="54" t="str">
        <f>IF(AND(TAB_HISTORICO_MANUT[[#This Row],[EXPURGO Mãe]]="SIM",TAB_HISTORICO_MANUT[[#This Row],[Tipo]]="MÃE"),"EXP.MAE",IF(TAB_HISTORICO_MANUT[[#This Row],[EXPURGO Mãe]]="NÃO","NÃO EXP.MAE",T672))</f>
        <v>NÃO EXP.MAE</v>
      </c>
      <c r="U67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673" s="56">
        <f>IF(TAB_HISTORICO_MANUT[[#This Row],[EXPURGO Filhas]]="SIM",MAX(TAB_HISTORICO_MANUT[[#This Row],[Hora Final]]-TAB_HISTORICO_MANUT[[#This Row],[Hora Inicio]],0),0)</f>
        <v>8.2047013886040077E-2</v>
      </c>
      <c r="W67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7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73" s="46">
        <v>46227.479758541667</v>
      </c>
      <c r="Z673" s="47">
        <v>46227.561805555553</v>
      </c>
      <c r="AA673" s="48" t="s">
        <v>208</v>
      </c>
      <c r="AB673" s="48"/>
      <c r="AC673" s="43">
        <v>8001</v>
      </c>
      <c r="AD673" s="46" t="s">
        <v>145</v>
      </c>
      <c r="AE673" s="46" t="s">
        <v>188</v>
      </c>
      <c r="AF673" s="88" t="s">
        <v>767</v>
      </c>
      <c r="AG673" s="105">
        <f>IF(TAB_HISTORICO_MANUT[[#This Row],[Hora Inicio]]="","",MONTH(TAB_HISTORICO_MANUT[[#This Row],[Hora Inicio]]))</f>
        <v>7</v>
      </c>
      <c r="AH673" s="120" t="s">
        <v>1555</v>
      </c>
      <c r="AI673" s="43" t="s">
        <v>235</v>
      </c>
      <c r="AJ673" s="43" t="s">
        <v>1381</v>
      </c>
      <c r="AK673" s="43" t="s">
        <v>83</v>
      </c>
      <c r="AL673" s="43" t="s">
        <v>275</v>
      </c>
      <c r="AM673" s="114" t="s">
        <v>276</v>
      </c>
      <c r="AN673" s="43"/>
      <c r="AO673" s="43"/>
      <c r="AP673" s="43"/>
    </row>
    <row r="674" spans="1:42" ht="50.1" customHeight="1" x14ac:dyDescent="0.25">
      <c r="A674" s="115">
        <f>MONTH(TAB_HISTORICO_MANUT[[#This Row],[Hora Final]])-MONTH(TAB_HISTORICO_MANUT[[#This Row],[Hora Inicio]])</f>
        <v>0</v>
      </c>
      <c r="B674" s="116"/>
      <c r="C674" s="115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Inicio]]=Z673,TAB_HISTORICO_MANUT[[#This Row],[Equipamento]]=AA673,TAB_HISTORICO_MANUT[[#This Row],[Descricao Despacho]]=AD673),0,1)))</f>
        <v/>
      </c>
      <c r="O67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674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67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674" s="107" t="str">
        <f>IF($Q674="","",(TAB_HISTORICO_MANUT[[#This Row],[Hora Final]]-TAB_HISTORICO_MANUT[[#This Row],[Hora Inicio]])*24)</f>
        <v/>
      </c>
      <c r="S67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674" s="109" t="str">
        <f>IF(AND(TAB_HISTORICO_MANUT[[#This Row],[EXPURGO Mãe]]="SIM",TAB_HISTORICO_MANUT[[#This Row],[Tipo]]="MÃE"),"EXP.MAE",IF(TAB_HISTORICO_MANUT[[#This Row],[EXPURGO Mãe]]="NÃO","NÃO EXP.MAE",T673))</f>
        <v>NÃO EXP.MAE</v>
      </c>
      <c r="U67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674" s="110">
        <f>IF(TAB_HISTORICO_MANUT[[#This Row],[EXPURGO Filhas]]="SIM",MAX(TAB_HISTORICO_MANUT[[#This Row],[Hora Final]]-TAB_HISTORICO_MANUT[[#This Row],[Hora Inicio]],0),0)</f>
        <v>4.6323194444994442E-2</v>
      </c>
      <c r="W67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7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74" s="117">
        <v>46227.597426805558</v>
      </c>
      <c r="Z674" s="118">
        <v>46227.643750000003</v>
      </c>
      <c r="AA674" s="119" t="s">
        <v>208</v>
      </c>
      <c r="AB674" s="119"/>
      <c r="AC674" s="115">
        <v>8001</v>
      </c>
      <c r="AD674" s="117" t="s">
        <v>145</v>
      </c>
      <c r="AE674" s="117" t="s">
        <v>188</v>
      </c>
      <c r="AF674" s="122" t="s">
        <v>767</v>
      </c>
      <c r="AG674" s="123">
        <f>IF(TAB_HISTORICO_MANUT[[#This Row],[Hora Inicio]]="","",MONTH(TAB_HISTORICO_MANUT[[#This Row],[Hora Inicio]]))</f>
        <v>7</v>
      </c>
      <c r="AH674" s="120" t="s">
        <v>1555</v>
      </c>
      <c r="AI674" s="115" t="s">
        <v>235</v>
      </c>
      <c r="AJ674" s="115" t="s">
        <v>1381</v>
      </c>
      <c r="AK674" s="115" t="s">
        <v>83</v>
      </c>
      <c r="AL674" s="115" t="s">
        <v>275</v>
      </c>
      <c r="AM674" s="115" t="s">
        <v>276</v>
      </c>
      <c r="AN674" s="115"/>
      <c r="AO674" s="115"/>
      <c r="AP674" s="115"/>
    </row>
    <row r="675" spans="1:42" ht="50.1" customHeight="1" x14ac:dyDescent="0.25">
      <c r="A675" s="115">
        <f>MONTH(TAB_HISTORICO_MANUT[[#This Row],[Hora Final]])-MONTH(TAB_HISTORICO_MANUT[[#This Row],[Hora Inicio]])</f>
        <v>0</v>
      </c>
      <c r="B675" s="116"/>
      <c r="C675" s="115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Inicio]]=Z674,TAB_HISTORICO_MANUT[[#This Row],[Equipamento]]=AA674,TAB_HISTORICO_MANUT[[#This Row],[Descricao Despacho]]=AD674),0,1)))</f>
        <v>1</v>
      </c>
      <c r="O67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DE FREIO</v>
      </c>
      <c r="P67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7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75" s="107">
        <f>IF($Q675="","",(TAB_HISTORICO_MANUT[[#This Row],[Hora Final]]-TAB_HISTORICO_MANUT[[#This Row],[Hora Inicio]])*24)</f>
        <v>3.8172222222201526</v>
      </c>
      <c r="S67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75" s="109" t="str">
        <f>IF(AND(TAB_HISTORICO_MANUT[[#This Row],[EXPURGO Mãe]]="SIM",TAB_HISTORICO_MANUT[[#This Row],[Tipo]]="MÃE"),"EXP.MAE",IF(TAB_HISTORICO_MANUT[[#This Row],[EXPURGO Mãe]]="NÃO","NÃO EXP.MAE",T674))</f>
        <v>NÃO EXP.MAE</v>
      </c>
      <c r="U67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75" s="110">
        <f>IF(TAB_HISTORICO_MANUT[[#This Row],[EXPURGO Filhas]]="SIM",MAX(TAB_HISTORICO_MANUT[[#This Row],[Hora Final]]-TAB_HISTORICO_MANUT[[#This Row],[Hora Inicio]],0),0)</f>
        <v>0</v>
      </c>
      <c r="W67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7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75" s="117">
        <v>46228.441053240742</v>
      </c>
      <c r="Z675" s="118">
        <v>46228.600104166668</v>
      </c>
      <c r="AA675" s="119" t="s">
        <v>208</v>
      </c>
      <c r="AB675" s="119" t="s">
        <v>1384</v>
      </c>
      <c r="AC675" s="115" t="s">
        <v>204</v>
      </c>
      <c r="AD675" s="117" t="s">
        <v>144</v>
      </c>
      <c r="AE675" s="117" t="s">
        <v>172</v>
      </c>
      <c r="AF675" s="122" t="s">
        <v>210</v>
      </c>
      <c r="AG675" s="123">
        <f>IF(TAB_HISTORICO_MANUT[[#This Row],[Hora Inicio]]="","",MONTH(TAB_HISTORICO_MANUT[[#This Row],[Hora Inicio]]))</f>
        <v>7</v>
      </c>
      <c r="AH675" s="120" t="s">
        <v>1392</v>
      </c>
      <c r="AI675" s="43" t="s">
        <v>46</v>
      </c>
      <c r="AJ675" s="43" t="s">
        <v>149</v>
      </c>
      <c r="AK675" s="115" t="s">
        <v>1397</v>
      </c>
      <c r="AL675" s="115" t="s">
        <v>282</v>
      </c>
      <c r="AM675" s="121" t="s">
        <v>531</v>
      </c>
      <c r="AN675" s="115" t="s">
        <v>217</v>
      </c>
      <c r="AO675" s="115" t="s">
        <v>586</v>
      </c>
      <c r="AP675" s="115" t="s">
        <v>1162</v>
      </c>
    </row>
    <row r="676" spans="1:42" ht="50.1" customHeight="1" x14ac:dyDescent="0.25">
      <c r="A676" s="115">
        <f>MONTH(TAB_HISTORICO_MANUT[[#This Row],[Hora Final]])-MONTH(TAB_HISTORICO_MANUT[[#This Row],[Hora Inicio]])</f>
        <v>0</v>
      </c>
      <c r="B676" s="116"/>
      <c r="C676" s="115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Inicio]]=Z675,TAB_HISTORICO_MANUT[[#This Row],[Equipamento]]=AA675,TAB_HISTORICO_MANUT[[#This Row],[Descricao Despacho]]=AD675),0,1)))</f>
        <v>1</v>
      </c>
      <c r="O67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67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67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676" s="107">
        <f>IF($Q676="","",(TAB_HISTORICO_MANUT[[#This Row],[Hora Final]]-TAB_HISTORICO_MANUT[[#This Row],[Hora Inicio]])*24)</f>
        <v>0.4599999999627471</v>
      </c>
      <c r="S67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76" s="109" t="str">
        <f>IF(AND(TAB_HISTORICO_MANUT[[#This Row],[EXPURGO Mãe]]="SIM",TAB_HISTORICO_MANUT[[#This Row],[Tipo]]="MÃE"),"EXP.MAE",IF(TAB_HISTORICO_MANUT[[#This Row],[EXPURGO Mãe]]="NÃO","NÃO EXP.MAE",T675))</f>
        <v>NÃO EXP.MAE</v>
      </c>
      <c r="U67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76" s="110">
        <f>IF(TAB_HISTORICO_MANUT[[#This Row],[EXPURGO Filhas]]="SIM",MAX(TAB_HISTORICO_MANUT[[#This Row],[Hora Final]]-TAB_HISTORICO_MANUT[[#This Row],[Hora Inicio]],0),0)</f>
        <v>0</v>
      </c>
      <c r="W67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7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76" s="117">
        <v>46229.648668981485</v>
      </c>
      <c r="Z676" s="118">
        <v>46229.66783564815</v>
      </c>
      <c r="AA676" s="119" t="s">
        <v>208</v>
      </c>
      <c r="AB676" s="119" t="s">
        <v>1272</v>
      </c>
      <c r="AC676" s="115" t="s">
        <v>205</v>
      </c>
      <c r="AD676" s="117" t="s">
        <v>145</v>
      </c>
      <c r="AE676" s="117" t="s">
        <v>173</v>
      </c>
      <c r="AF676" s="122" t="s">
        <v>210</v>
      </c>
      <c r="AG676" s="123">
        <f>IF(TAB_HISTORICO_MANUT[[#This Row],[Hora Inicio]]="","",MONTH(TAB_HISTORICO_MANUT[[#This Row],[Hora Inicio]]))</f>
        <v>7</v>
      </c>
      <c r="AH676" s="120" t="s">
        <v>326</v>
      </c>
      <c r="AI676" s="43" t="s">
        <v>21</v>
      </c>
      <c r="AJ676" s="43" t="s">
        <v>21</v>
      </c>
      <c r="AK676" s="115" t="s">
        <v>21</v>
      </c>
      <c r="AL676" s="115" t="s">
        <v>21</v>
      </c>
      <c r="AM676" s="121" t="s">
        <v>21</v>
      </c>
      <c r="AN676" s="115" t="s">
        <v>1272</v>
      </c>
      <c r="AO676" s="115" t="s">
        <v>1272</v>
      </c>
      <c r="AP676" s="115" t="s">
        <v>1272</v>
      </c>
    </row>
    <row r="677" spans="1:42" ht="50.1" customHeight="1" x14ac:dyDescent="0.25">
      <c r="A677" s="115">
        <f>MONTH(TAB_HISTORICO_MANUT[[#This Row],[Hora Final]])-MONTH(TAB_HISTORICO_MANUT[[#This Row],[Hora Inicio]])</f>
        <v>0</v>
      </c>
      <c r="B677" s="116"/>
      <c r="C677" s="115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 t="s">
        <v>98</v>
      </c>
      <c r="N677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Inicio]]=Z676,TAB_HISTORICO_MANUT[[#This Row],[Equipamento]]=AA676,TAB_HISTORICO_MANUT[[#This Row],[Descricao Despacho]]=AD676),0,1)))</f>
        <v/>
      </c>
      <c r="O67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677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67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677" s="107" t="str">
        <f>IF($Q677="","",(TAB_HISTORICO_MANUT[[#This Row],[Hora Final]]-TAB_HISTORICO_MANUT[[#This Row],[Hora Inicio]])*24)</f>
        <v/>
      </c>
      <c r="S67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677" s="109" t="str">
        <f>IF(AND(TAB_HISTORICO_MANUT[[#This Row],[EXPURGO Mãe]]="SIM",TAB_HISTORICO_MANUT[[#This Row],[Tipo]]="MÃE"),"EXP.MAE",IF(TAB_HISTORICO_MANUT[[#This Row],[EXPURGO Mãe]]="NÃO","NÃO EXP.MAE",T676))</f>
        <v>NÃO EXP.MAE</v>
      </c>
      <c r="U67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677" s="110">
        <f>IF(TAB_HISTORICO_MANUT[[#This Row],[EXPURGO Filhas]]="SIM",MAX(TAB_HISTORICO_MANUT[[#This Row],[Hora Final]]-TAB_HISTORICO_MANUT[[#This Row],[Hora Inicio]],0),0)</f>
        <v>1.0834918983164243E-2</v>
      </c>
      <c r="W67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7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77" s="117">
        <v>46229.657000729167</v>
      </c>
      <c r="Z677" s="118">
        <v>46229.66783564815</v>
      </c>
      <c r="AA677" s="119" t="s">
        <v>208</v>
      </c>
      <c r="AB677" s="119"/>
      <c r="AC677" s="115">
        <v>8010</v>
      </c>
      <c r="AD677" s="117" t="s">
        <v>145</v>
      </c>
      <c r="AE677" s="117" t="s">
        <v>173</v>
      </c>
      <c r="AF677" s="122" t="s">
        <v>767</v>
      </c>
      <c r="AG677" s="123">
        <f>IF(TAB_HISTORICO_MANUT[[#This Row],[Hora Inicio]]="","",MONTH(TAB_HISTORICO_MANUT[[#This Row],[Hora Inicio]]))</f>
        <v>7</v>
      </c>
      <c r="AH677" s="120" t="s">
        <v>1555</v>
      </c>
      <c r="AI677" s="115" t="s">
        <v>21</v>
      </c>
      <c r="AJ677" s="115" t="s">
        <v>21</v>
      </c>
      <c r="AK677" s="115" t="s">
        <v>21</v>
      </c>
      <c r="AL677" s="115" t="s">
        <v>21</v>
      </c>
      <c r="AM677" s="115" t="s">
        <v>21</v>
      </c>
      <c r="AN677" s="115"/>
      <c r="AO677" s="115"/>
      <c r="AP677" s="115"/>
    </row>
    <row r="678" spans="1:42" ht="50.1" customHeight="1" x14ac:dyDescent="0.25">
      <c r="A678" s="43">
        <f>MONTH(TAB_HISTORICO_MANUT[[#This Row],[Hora Final]])-MONTH(TAB_HISTORICO_MANUT[[#This Row],[Hora Inicio]])</f>
        <v>0</v>
      </c>
      <c r="B678" s="42"/>
      <c r="C678" s="43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Inicio]]=Z677,TAB_HISTORICO_MANUT[[#This Row],[Equipamento]]=AA677,TAB_HISTORICO_MANUT[[#This Row],[Descricao Despacho]]=AD677),0,1)))</f>
        <v>1</v>
      </c>
      <c r="O67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DE FREIO</v>
      </c>
      <c r="P678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7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78" s="50">
        <f>IF($Q678="","",(TAB_HISTORICO_MANUT[[#This Row],[Hora Final]]-TAB_HISTORICO_MANUT[[#This Row],[Hora Inicio]])*24)</f>
        <v>2.90416666661622</v>
      </c>
      <c r="S67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78" s="54" t="str">
        <f>IF(AND(TAB_HISTORICO_MANUT[[#This Row],[EXPURGO Mãe]]="SIM",TAB_HISTORICO_MANUT[[#This Row],[Tipo]]="MÃE"),"EXP.MAE",IF(TAB_HISTORICO_MANUT[[#This Row],[EXPURGO Mãe]]="NÃO","NÃO EXP.MAE",T677))</f>
        <v>NÃO EXP.MAE</v>
      </c>
      <c r="U67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78" s="56">
        <f>IF(TAB_HISTORICO_MANUT[[#This Row],[EXPURGO Filhas]]="SIM",MAX(TAB_HISTORICO_MANUT[[#This Row],[Hora Final]]-TAB_HISTORICO_MANUT[[#This Row],[Hora Inicio]],0),0)</f>
        <v>0</v>
      </c>
      <c r="W67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7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78" s="46">
        <v>46233.469884259262</v>
      </c>
      <c r="Z678" s="47">
        <v>46233.590891203705</v>
      </c>
      <c r="AA678" s="48" t="s">
        <v>208</v>
      </c>
      <c r="AB678" s="48" t="s">
        <v>1403</v>
      </c>
      <c r="AC678" s="43" t="s">
        <v>204</v>
      </c>
      <c r="AD678" s="46" t="s">
        <v>144</v>
      </c>
      <c r="AE678" s="46" t="s">
        <v>172</v>
      </c>
      <c r="AF678" s="88" t="s">
        <v>210</v>
      </c>
      <c r="AG678" s="105">
        <f>IF(TAB_HISTORICO_MANUT[[#This Row],[Hora Inicio]]="","",MONTH(TAB_HISTORICO_MANUT[[#This Row],[Hora Inicio]]))</f>
        <v>7</v>
      </c>
      <c r="AH678" s="120" t="s">
        <v>1404</v>
      </c>
      <c r="AI678" s="43" t="s">
        <v>46</v>
      </c>
      <c r="AJ678" s="43" t="s">
        <v>22</v>
      </c>
      <c r="AK678" s="43" t="s">
        <v>1406</v>
      </c>
      <c r="AL678" s="43" t="s">
        <v>460</v>
      </c>
      <c r="AM678" s="114" t="s">
        <v>283</v>
      </c>
      <c r="AN678" s="43" t="s">
        <v>217</v>
      </c>
      <c r="AO678" s="43" t="s">
        <v>1405</v>
      </c>
      <c r="AP678" s="43" t="s">
        <v>469</v>
      </c>
    </row>
    <row r="679" spans="1:42" ht="50.1" customHeight="1" x14ac:dyDescent="0.25">
      <c r="A679" s="115">
        <f>MONTH(TAB_HISTORICO_MANUT[[#This Row],[Hora Final]])-MONTH(TAB_HISTORICO_MANUT[[#This Row],[Hora Inicio]])</f>
        <v>0</v>
      </c>
      <c r="B679" s="116"/>
      <c r="C679" s="115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 t="s">
        <v>98</v>
      </c>
      <c r="N679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Inicio]]=Z678,TAB_HISTORICO_MANUT[[#This Row],[Equipamento]]=AA678,TAB_HISTORICO_MANUT[[#This Row],[Descricao Despacho]]=AD678),0,1)))</f>
        <v/>
      </c>
      <c r="O67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679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67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679" s="107" t="str">
        <f>IF($Q679="","",(TAB_HISTORICO_MANUT[[#This Row],[Hora Final]]-TAB_HISTORICO_MANUT[[#This Row],[Hora Inicio]])*24)</f>
        <v/>
      </c>
      <c r="S67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679" s="109" t="str">
        <f>IF(AND(TAB_HISTORICO_MANUT[[#This Row],[EXPURGO Mãe]]="SIM",TAB_HISTORICO_MANUT[[#This Row],[Tipo]]="MÃE"),"EXP.MAE",IF(TAB_HISTORICO_MANUT[[#This Row],[EXPURGO Mãe]]="NÃO","NÃO EXP.MAE",T678))</f>
        <v>NÃO EXP.MAE</v>
      </c>
      <c r="U67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679" s="110">
        <f>IF(TAB_HISTORICO_MANUT[[#This Row],[EXPURGO Filhas]]="SIM",MAX(TAB_HISTORICO_MANUT[[#This Row],[Hora Final]]-TAB_HISTORICO_MANUT[[#This Row],[Hora Inicio]],0),0)</f>
        <v>2.004721065168269E-2</v>
      </c>
      <c r="W67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7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79" s="117">
        <v>46234.645982881942</v>
      </c>
      <c r="Z679" s="118">
        <v>46234.666030092594</v>
      </c>
      <c r="AA679" s="119" t="s">
        <v>208</v>
      </c>
      <c r="AB679" s="119"/>
      <c r="AC679" s="115">
        <v>9010</v>
      </c>
      <c r="AD679" s="117" t="s">
        <v>144</v>
      </c>
      <c r="AE679" s="117" t="s">
        <v>213</v>
      </c>
      <c r="AF679" s="122" t="s">
        <v>767</v>
      </c>
      <c r="AG679" s="123">
        <f>IF(TAB_HISTORICO_MANUT[[#This Row],[Hora Inicio]]="","",MONTH(TAB_HISTORICO_MANUT[[#This Row],[Hora Inicio]]))</f>
        <v>7</v>
      </c>
      <c r="AH679" s="120" t="s">
        <v>1555</v>
      </c>
      <c r="AI679" s="115" t="s">
        <v>21</v>
      </c>
      <c r="AJ679" s="115" t="s">
        <v>427</v>
      </c>
      <c r="AK679" s="115" t="s">
        <v>291</v>
      </c>
      <c r="AL679" s="115" t="s">
        <v>292</v>
      </c>
      <c r="AM679" s="121" t="s">
        <v>294</v>
      </c>
      <c r="AN679" s="115"/>
      <c r="AO679" s="115"/>
      <c r="AP679" s="115"/>
    </row>
    <row r="680" spans="1:42" ht="50.1" customHeight="1" x14ac:dyDescent="0.25">
      <c r="A680" s="115">
        <f>MONTH(TAB_HISTORICO_MANUT[[#This Row],[Hora Final]])-MONTH(TAB_HISTORICO_MANUT[[#This Row],[Hora Inicio]])</f>
        <v>0</v>
      </c>
      <c r="B680" s="116"/>
      <c r="C680" s="115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Inicio]]=Z679,TAB_HISTORICO_MANUT[[#This Row],[Equipamento]]=AA679,TAB_HISTORICO_MANUT[[#This Row],[Descricao Despacho]]=AD679),0,1)))</f>
        <v>1</v>
      </c>
      <c r="O68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68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68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680" s="107">
        <f>IF($Q680="","",(TAB_HISTORICO_MANUT[[#This Row],[Hora Final]]-TAB_HISTORICO_MANUT[[#This Row],[Hora Inicio]])*24)</f>
        <v>0.27111111109843478</v>
      </c>
      <c r="S68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680" s="109" t="str">
        <f>IF(AND(TAB_HISTORICO_MANUT[[#This Row],[EXPURGO Mãe]]="SIM",TAB_HISTORICO_MANUT[[#This Row],[Tipo]]="MÃE"),"EXP.MAE",IF(TAB_HISTORICO_MANUT[[#This Row],[EXPURGO Mãe]]="NÃO","NÃO EXP.MAE",T679))</f>
        <v>EXP.MAE</v>
      </c>
      <c r="U68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80" s="110">
        <f>IF(TAB_HISTORICO_MANUT[[#This Row],[EXPURGO Filhas]]="SIM",MAX(TAB_HISTORICO_MANUT[[#This Row],[Hora Final]]-TAB_HISTORICO_MANUT[[#This Row],[Hora Inicio]],0),0)</f>
        <v>0</v>
      </c>
      <c r="W68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8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80" s="117">
        <v>46235.510671296295</v>
      </c>
      <c r="Z680" s="47">
        <v>46235.521967592591</v>
      </c>
      <c r="AA680" s="119" t="s">
        <v>208</v>
      </c>
      <c r="AB680" s="119"/>
      <c r="AC680" s="115" t="s">
        <v>300</v>
      </c>
      <c r="AD680" s="117" t="s">
        <v>146</v>
      </c>
      <c r="AE680" s="117" t="s">
        <v>178</v>
      </c>
      <c r="AF680" s="122" t="s">
        <v>210</v>
      </c>
      <c r="AG680" s="123">
        <f>IF(TAB_HISTORICO_MANUT[[#This Row],[Hora Inicio]]="","",MONTH(TAB_HISTORICO_MANUT[[#This Row],[Hora Inicio]]))</f>
        <v>8</v>
      </c>
      <c r="AH680" s="120" t="s">
        <v>1411</v>
      </c>
      <c r="AI680" s="43" t="s">
        <v>340</v>
      </c>
      <c r="AJ680" s="43" t="s">
        <v>436</v>
      </c>
      <c r="AK680" s="115"/>
      <c r="AL680" s="115"/>
      <c r="AM680" s="121"/>
      <c r="AN680" s="115"/>
      <c r="AO680" s="115"/>
      <c r="AP680" s="115"/>
    </row>
    <row r="681" spans="1:42" ht="50.1" customHeight="1" x14ac:dyDescent="0.25">
      <c r="A681" s="43">
        <f>MONTH(TAB_HISTORICO_MANUT[[#This Row],[Hora Final]])-MONTH(TAB_HISTORICO_MANUT[[#This Row],[Hora Inicio]])</f>
        <v>0</v>
      </c>
      <c r="B681" s="42"/>
      <c r="C681" s="43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Inicio]]=Z680,TAB_HISTORICO_MANUT[[#This Row],[Equipamento]]=AA680,TAB_HISTORICO_MANUT[[#This Row],[Descricao Despacho]]=AD680),0,1)))</f>
        <v>0</v>
      </c>
      <c r="O68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681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68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681" s="50">
        <f>IF($Q681="","",(TAB_HISTORICO_MANUT[[#This Row],[Hora Final]]-TAB_HISTORICO_MANUT[[#This Row],[Hora Inicio]])*24)</f>
        <v>4.19027777784504</v>
      </c>
      <c r="S68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81" s="54" t="str">
        <f>IF(AND(TAB_HISTORICO_MANUT[[#This Row],[EXPURGO Mãe]]="SIM",TAB_HISTORICO_MANUT[[#This Row],[Tipo]]="MÃE"),"EXP.MAE",IF(TAB_HISTORICO_MANUT[[#This Row],[EXPURGO Mãe]]="NÃO","NÃO EXP.MAE",T680))</f>
        <v>NÃO EXP.MAE</v>
      </c>
      <c r="U68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81" s="56">
        <f>IF(TAB_HISTORICO_MANUT[[#This Row],[EXPURGO Filhas]]="SIM",MAX(TAB_HISTORICO_MANUT[[#This Row],[Hora Final]]-TAB_HISTORICO_MANUT[[#This Row],[Hora Inicio]],0),0)</f>
        <v>0</v>
      </c>
      <c r="W68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8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81" s="46">
        <v>46235.521967592591</v>
      </c>
      <c r="Z681" s="47">
        <v>46235.696562500001</v>
      </c>
      <c r="AA681" s="48" t="s">
        <v>208</v>
      </c>
      <c r="AB681" s="48"/>
      <c r="AC681" s="43" t="s">
        <v>301</v>
      </c>
      <c r="AD681" s="46" t="s">
        <v>146</v>
      </c>
      <c r="AE681" s="46" t="s">
        <v>310</v>
      </c>
      <c r="AF681" s="88" t="s">
        <v>210</v>
      </c>
      <c r="AG681" s="105">
        <f>IF(TAB_HISTORICO_MANUT[[#This Row],[Hora Inicio]]="","",MONTH(TAB_HISTORICO_MANUT[[#This Row],[Hora Inicio]]))</f>
        <v>8</v>
      </c>
      <c r="AH681" s="58" t="s">
        <v>1411</v>
      </c>
      <c r="AI681" s="43" t="s">
        <v>340</v>
      </c>
      <c r="AJ681" s="43" t="s">
        <v>436</v>
      </c>
      <c r="AK681" s="43"/>
      <c r="AL681" s="43"/>
      <c r="AM681" s="114"/>
      <c r="AN681" s="43"/>
      <c r="AO681" s="43"/>
      <c r="AP681" s="43"/>
    </row>
    <row r="682" spans="1:42" ht="50.1" customHeight="1" x14ac:dyDescent="0.25">
      <c r="A682" s="115">
        <f>MONTH(TAB_HISTORICO_MANUT[[#This Row],[Hora Final]])-MONTH(TAB_HISTORICO_MANUT[[#This Row],[Hora Inicio]])</f>
        <v>0</v>
      </c>
      <c r="B682" s="116"/>
      <c r="C682" s="115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Inicio]]=Z681,TAB_HISTORICO_MANUT[[#This Row],[Equipamento]]=AA681,TAB_HISTORICO_MANUT[[#This Row],[Descricao Despacho]]=AD681),0,1)))</f>
        <v>1</v>
      </c>
      <c r="O68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COMBATE INCENDIO</v>
      </c>
      <c r="P68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8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682" s="107">
        <f>IF($Q682="","",(TAB_HISTORICO_MANUT[[#This Row],[Hora Final]]-TAB_HISTORICO_MANUT[[#This Row],[Hora Inicio]])*24)</f>
        <v>14.028333333379123</v>
      </c>
      <c r="S68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682" s="109" t="str">
        <f>IF(AND(TAB_HISTORICO_MANUT[[#This Row],[EXPURGO Mãe]]="SIM",TAB_HISTORICO_MANUT[[#This Row],[Tipo]]="MÃE"),"EXP.MAE",IF(TAB_HISTORICO_MANUT[[#This Row],[EXPURGO Mãe]]="NÃO","NÃO EXP.MAE",T681))</f>
        <v>EXP.MAE</v>
      </c>
      <c r="U68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82" s="110">
        <f>IF(TAB_HISTORICO_MANUT[[#This Row],[EXPURGO Filhas]]="SIM",MAX(TAB_HISTORICO_MANUT[[#This Row],[Hora Final]]-TAB_HISTORICO_MANUT[[#This Row],[Hora Inicio]],0),0)</f>
        <v>0</v>
      </c>
      <c r="W68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8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82" s="117">
        <v>46236.265393518515</v>
      </c>
      <c r="Z682" s="118">
        <v>46236.849907407406</v>
      </c>
      <c r="AA682" s="119" t="s">
        <v>208</v>
      </c>
      <c r="AB682" s="119"/>
      <c r="AC682" s="115" t="s">
        <v>212</v>
      </c>
      <c r="AD682" s="117" t="s">
        <v>144</v>
      </c>
      <c r="AE682" s="117" t="s">
        <v>214</v>
      </c>
      <c r="AF682" s="88" t="s">
        <v>210</v>
      </c>
      <c r="AG682" s="123">
        <f>IF(TAB_HISTORICO_MANUT[[#This Row],[Hora Inicio]]="","",MONTH(TAB_HISTORICO_MANUT[[#This Row],[Hora Inicio]]))</f>
        <v>8</v>
      </c>
      <c r="AH682" s="120" t="s">
        <v>1408</v>
      </c>
      <c r="AI682" s="115" t="s">
        <v>152</v>
      </c>
      <c r="AJ682" s="115" t="s">
        <v>80</v>
      </c>
      <c r="AK682" s="115" t="s">
        <v>880</v>
      </c>
      <c r="AL682" s="115" t="s">
        <v>540</v>
      </c>
      <c r="AM682" s="121" t="s">
        <v>541</v>
      </c>
      <c r="AN682" s="115" t="s">
        <v>217</v>
      </c>
      <c r="AO682" s="115" t="s">
        <v>842</v>
      </c>
      <c r="AP682" s="115" t="s">
        <v>1409</v>
      </c>
    </row>
    <row r="683" spans="1:42" ht="50.1" customHeight="1" x14ac:dyDescent="0.25">
      <c r="A683" s="115">
        <f>MONTH(TAB_HISTORICO_MANUT[[#This Row],[Hora Final]])-MONTH(TAB_HISTORICO_MANUT[[#This Row],[Hora Inicio]])</f>
        <v>0</v>
      </c>
      <c r="B683" s="116"/>
      <c r="C683" s="115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Inicio]]=Z682,TAB_HISTORICO_MANUT[[#This Row],[Equipamento]]=AA682,TAB_HISTORICO_MANUT[[#This Row],[Descricao Despacho]]=AD682),0,1)))</f>
        <v>1</v>
      </c>
      <c r="O68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68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68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683" s="107">
        <f>IF($Q683="","",(TAB_HISTORICO_MANUT[[#This Row],[Hora Final]]-TAB_HISTORICO_MANUT[[#This Row],[Hora Inicio]])*24)</f>
        <v>0.6222222222131677</v>
      </c>
      <c r="S68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83" s="109" t="str">
        <f>IF(AND(TAB_HISTORICO_MANUT[[#This Row],[EXPURGO Mãe]]="SIM",TAB_HISTORICO_MANUT[[#This Row],[Tipo]]="MÃE"),"EXP.MAE",IF(TAB_HISTORICO_MANUT[[#This Row],[EXPURGO Mãe]]="NÃO","NÃO EXP.MAE",T682))</f>
        <v>NÃO EXP.MAE</v>
      </c>
      <c r="U68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83" s="110">
        <f>IF(TAB_HISTORICO_MANUT[[#This Row],[EXPURGO Filhas]]="SIM",MAX(TAB_HISTORICO_MANUT[[#This Row],[Hora Final]]-TAB_HISTORICO_MANUT[[#This Row],[Hora Inicio]],0),0)</f>
        <v>0</v>
      </c>
      <c r="W68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8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83" s="117">
        <v>46237.414398148147</v>
      </c>
      <c r="Z683" s="118">
        <v>46237.440324074072</v>
      </c>
      <c r="AA683" s="119" t="s">
        <v>208</v>
      </c>
      <c r="AB683" s="119"/>
      <c r="AC683" s="115" t="s">
        <v>205</v>
      </c>
      <c r="AD683" s="117" t="s">
        <v>145</v>
      </c>
      <c r="AE683" s="117" t="s">
        <v>173</v>
      </c>
      <c r="AF683" s="88" t="s">
        <v>210</v>
      </c>
      <c r="AG683" s="123">
        <f>IF(TAB_HISTORICO_MANUT[[#This Row],[Hora Inicio]]="","",MONTH(TAB_HISTORICO_MANUT[[#This Row],[Hora Inicio]]))</f>
        <v>8</v>
      </c>
      <c r="AH683" s="120" t="s">
        <v>326</v>
      </c>
      <c r="AI683" s="115" t="s">
        <v>21</v>
      </c>
      <c r="AJ683" s="115" t="s">
        <v>21</v>
      </c>
      <c r="AK683" s="115" t="s">
        <v>21</v>
      </c>
      <c r="AL683" s="115" t="s">
        <v>21</v>
      </c>
      <c r="AM683" s="121" t="s">
        <v>21</v>
      </c>
      <c r="AN683" s="115"/>
      <c r="AO683" s="115"/>
      <c r="AP683" s="115"/>
    </row>
    <row r="684" spans="1:42" ht="50.1" customHeight="1" x14ac:dyDescent="0.25">
      <c r="A684" s="115">
        <f>MONTH(TAB_HISTORICO_MANUT[[#This Row],[Hora Final]])-MONTH(TAB_HISTORICO_MANUT[[#This Row],[Hora Inicio]])</f>
        <v>0</v>
      </c>
      <c r="B684" s="116"/>
      <c r="C684" s="115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Inicio]]=Z683,TAB_HISTORICO_MANUT[[#This Row],[Equipamento]]=AA683,TAB_HISTORICO_MANUT[[#This Row],[Descricao Despacho]]=AD683),0,1)))</f>
        <v>1</v>
      </c>
      <c r="O68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68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68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684" s="107">
        <f>IF($Q684="","",(TAB_HISTORICO_MANUT[[#This Row],[Hora Final]]-TAB_HISTORICO_MANUT[[#This Row],[Hora Inicio]])*24)</f>
        <v>1.933611111191567</v>
      </c>
      <c r="S68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84" s="109" t="str">
        <f>IF(AND(TAB_HISTORICO_MANUT[[#This Row],[EXPURGO Mãe]]="SIM",TAB_HISTORICO_MANUT[[#This Row],[Tipo]]="MÃE"),"EXP.MAE",IF(TAB_HISTORICO_MANUT[[#This Row],[EXPURGO Mãe]]="NÃO","NÃO EXP.MAE",T683))</f>
        <v>NÃO EXP.MAE</v>
      </c>
      <c r="U68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84" s="110">
        <f>IF(TAB_HISTORICO_MANUT[[#This Row],[EXPURGO Filhas]]="SIM",MAX(TAB_HISTORICO_MANUT[[#This Row],[Hora Final]]-TAB_HISTORICO_MANUT[[#This Row],[Hora Inicio]],0),0)</f>
        <v>0</v>
      </c>
      <c r="W68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8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84" s="117">
        <v>46239.468275462961</v>
      </c>
      <c r="Z684" s="118">
        <v>46239.548842592594</v>
      </c>
      <c r="AA684" s="119" t="s">
        <v>208</v>
      </c>
      <c r="AB684" s="119"/>
      <c r="AC684" s="115" t="s">
        <v>882</v>
      </c>
      <c r="AD684" s="117" t="s">
        <v>146</v>
      </c>
      <c r="AE684" s="117" t="s">
        <v>883</v>
      </c>
      <c r="AF684" s="88" t="s">
        <v>210</v>
      </c>
      <c r="AG684" s="123">
        <f>IF(TAB_HISTORICO_MANUT[[#This Row],[Hora Inicio]]="","",MONTH(TAB_HISTORICO_MANUT[[#This Row],[Hora Inicio]]))</f>
        <v>8</v>
      </c>
      <c r="AH684" s="120" t="s">
        <v>1423</v>
      </c>
      <c r="AI684" s="115" t="s">
        <v>25</v>
      </c>
      <c r="AJ684" s="115" t="s">
        <v>25</v>
      </c>
      <c r="AK684" s="115" t="s">
        <v>25</v>
      </c>
      <c r="AL684" s="115" t="s">
        <v>25</v>
      </c>
      <c r="AM684" s="121" t="s">
        <v>25</v>
      </c>
      <c r="AN684" s="115"/>
      <c r="AO684" s="115"/>
      <c r="AP684" s="115"/>
    </row>
    <row r="685" spans="1:42" ht="50.1" customHeight="1" x14ac:dyDescent="0.25">
      <c r="A685" s="115">
        <f>MONTH(TAB_HISTORICO_MANUT[[#This Row],[Hora Final]])-MONTH(TAB_HISTORICO_MANUT[[#This Row],[Hora Inicio]])</f>
        <v>0</v>
      </c>
      <c r="B685" s="116"/>
      <c r="C685" s="115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Inicio]]=Z684,TAB_HISTORICO_MANUT[[#This Row],[Equipamento]]=AA684,TAB_HISTORICO_MANUT[[#This Row],[Descricao Despacho]]=AD684),0,1)))</f>
        <v>1</v>
      </c>
      <c r="O68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68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8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85" s="107">
        <f>IF($Q685="","",(TAB_HISTORICO_MANUT[[#This Row],[Hora Final]]-TAB_HISTORICO_MANUT[[#This Row],[Hora Inicio]])*24)</f>
        <v>0.56388888886431232</v>
      </c>
      <c r="S68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85" s="109" t="str">
        <f>IF(AND(TAB_HISTORICO_MANUT[[#This Row],[EXPURGO Mãe]]="SIM",TAB_HISTORICO_MANUT[[#This Row],[Tipo]]="MÃE"),"EXP.MAE",IF(TAB_HISTORICO_MANUT[[#This Row],[EXPURGO Mãe]]="NÃO","NÃO EXP.MAE",T684))</f>
        <v>NÃO EXP.MAE</v>
      </c>
      <c r="U68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85" s="110">
        <f>IF(TAB_HISTORICO_MANUT[[#This Row],[EXPURGO Filhas]]="SIM",MAX(TAB_HISTORICO_MANUT[[#This Row],[Hora Final]]-TAB_HISTORICO_MANUT[[#This Row],[Hora Inicio]],0),0)</f>
        <v>0</v>
      </c>
      <c r="W68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8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85" s="117">
        <v>46240.411550925928</v>
      </c>
      <c r="Z685" s="118">
        <v>46240.435046296298</v>
      </c>
      <c r="AA685" s="119" t="s">
        <v>208</v>
      </c>
      <c r="AB685" s="119" t="s">
        <v>1425</v>
      </c>
      <c r="AC685" s="115" t="s">
        <v>204</v>
      </c>
      <c r="AD685" s="117" t="s">
        <v>144</v>
      </c>
      <c r="AE685" s="117" t="s">
        <v>172</v>
      </c>
      <c r="AF685" s="88" t="s">
        <v>210</v>
      </c>
      <c r="AG685" s="123">
        <f>IF(TAB_HISTORICO_MANUT[[#This Row],[Hora Inicio]]="","",MONTH(TAB_HISTORICO_MANUT[[#This Row],[Hora Inicio]]))</f>
        <v>8</v>
      </c>
      <c r="AH685" s="120" t="s">
        <v>1428</v>
      </c>
      <c r="AI685" s="115" t="s">
        <v>24</v>
      </c>
      <c r="AJ685" s="115" t="s">
        <v>223</v>
      </c>
      <c r="AK685" s="115" t="s">
        <v>422</v>
      </c>
      <c r="AL685" s="115" t="s">
        <v>279</v>
      </c>
      <c r="AM685" s="121" t="s">
        <v>280</v>
      </c>
      <c r="AN685" s="115" t="s">
        <v>217</v>
      </c>
      <c r="AO685" s="115" t="s">
        <v>405</v>
      </c>
      <c r="AP685" s="115" t="s">
        <v>218</v>
      </c>
    </row>
    <row r="686" spans="1:42" ht="50.1" customHeight="1" x14ac:dyDescent="0.25">
      <c r="A686" s="115">
        <f>MONTH(TAB_HISTORICO_MANUT[[#This Row],[Hora Final]])-MONTH(TAB_HISTORICO_MANUT[[#This Row],[Hora Inicio]])</f>
        <v>0</v>
      </c>
      <c r="B686" s="116"/>
      <c r="C686" s="115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Inicio]]=Z685,TAB_HISTORICO_MANUT[[#This Row],[Equipamento]]=AA685,TAB_HISTORICO_MANUT[[#This Row],[Descricao Despacho]]=AD685),0,1)))</f>
        <v>1</v>
      </c>
      <c r="O68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68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8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86" s="107">
        <f>IF($Q686="","",(TAB_HISTORICO_MANUT[[#This Row],[Hora Final]]-TAB_HISTORICO_MANUT[[#This Row],[Hora Inicio]])*24)</f>
        <v>7.0072222221060656</v>
      </c>
      <c r="S68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86" s="109" t="str">
        <f>IF(AND(TAB_HISTORICO_MANUT[[#This Row],[EXPURGO Mãe]]="SIM",TAB_HISTORICO_MANUT[[#This Row],[Tipo]]="MÃE"),"EXP.MAE",IF(TAB_HISTORICO_MANUT[[#This Row],[EXPURGO Mãe]]="NÃO","NÃO EXP.MAE",T685))</f>
        <v>NÃO EXP.MAE</v>
      </c>
      <c r="U68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86" s="110">
        <f>IF(TAB_HISTORICO_MANUT[[#This Row],[EXPURGO Filhas]]="SIM",MAX(TAB_HISTORICO_MANUT[[#This Row],[Hora Final]]-TAB_HISTORICO_MANUT[[#This Row],[Hora Inicio]],0),0)</f>
        <v>0</v>
      </c>
      <c r="W68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8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86" s="117">
        <v>46241.829131944447</v>
      </c>
      <c r="Z686" s="118">
        <v>46242.121099537035</v>
      </c>
      <c r="AA686" s="119" t="s">
        <v>208</v>
      </c>
      <c r="AB686" s="119" t="s">
        <v>1430</v>
      </c>
      <c r="AC686" s="115" t="s">
        <v>204</v>
      </c>
      <c r="AD686" s="117" t="s">
        <v>144</v>
      </c>
      <c r="AE686" s="117" t="s">
        <v>172</v>
      </c>
      <c r="AF686" s="88" t="s">
        <v>210</v>
      </c>
      <c r="AG686" s="123">
        <f>IF(TAB_HISTORICO_MANUT[[#This Row],[Hora Inicio]]="","",MONTH(TAB_HISTORICO_MANUT[[#This Row],[Hora Inicio]]))</f>
        <v>8</v>
      </c>
      <c r="AH686" s="120" t="s">
        <v>1433</v>
      </c>
      <c r="AI686" s="115" t="s">
        <v>24</v>
      </c>
      <c r="AJ686" s="115" t="s">
        <v>223</v>
      </c>
      <c r="AK686" s="115" t="s">
        <v>422</v>
      </c>
      <c r="AL686" s="115" t="s">
        <v>279</v>
      </c>
      <c r="AM686" s="121" t="s">
        <v>280</v>
      </c>
      <c r="AN686" s="115" t="s">
        <v>217</v>
      </c>
      <c r="AO686" s="115" t="s">
        <v>405</v>
      </c>
      <c r="AP686" s="115" t="s">
        <v>906</v>
      </c>
    </row>
    <row r="687" spans="1:42" ht="50.1" customHeight="1" x14ac:dyDescent="0.25">
      <c r="A687" s="115">
        <f>MONTH(TAB_HISTORICO_MANUT[[#This Row],[Hora Final]])-MONTH(TAB_HISTORICO_MANUT[[#This Row],[Hora Inicio]])</f>
        <v>0</v>
      </c>
      <c r="B687" s="116"/>
      <c r="C687" s="115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Inicio]]=Z686,TAB_HISTORICO_MANUT[[#This Row],[Equipamento]]=AA686,TAB_HISTORICO_MANUT[[#This Row],[Descricao Despacho]]=AD686),0,1)))</f>
        <v>1</v>
      </c>
      <c r="O68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68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8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87" s="107">
        <f>IF($Q687="","",(TAB_HISTORICO_MANUT[[#This Row],[Hora Final]]-TAB_HISTORICO_MANUT[[#This Row],[Hora Inicio]])*24)</f>
        <v>0.49083333316957578</v>
      </c>
      <c r="S68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87" s="109" t="str">
        <f>IF(AND(TAB_HISTORICO_MANUT[[#This Row],[EXPURGO Mãe]]="SIM",TAB_HISTORICO_MANUT[[#This Row],[Tipo]]="MÃE"),"EXP.MAE",IF(TAB_HISTORICO_MANUT[[#This Row],[EXPURGO Mãe]]="NÃO","NÃO EXP.MAE",T686))</f>
        <v>NÃO EXP.MAE</v>
      </c>
      <c r="U68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87" s="110">
        <f>IF(TAB_HISTORICO_MANUT[[#This Row],[EXPURGO Filhas]]="SIM",MAX(TAB_HISTORICO_MANUT[[#This Row],[Hora Final]]-TAB_HISTORICO_MANUT[[#This Row],[Hora Inicio]],0),0)</f>
        <v>0</v>
      </c>
      <c r="W68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8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87" s="117">
        <v>46244.694953703707</v>
      </c>
      <c r="Z687" s="118">
        <v>46244.715405092589</v>
      </c>
      <c r="AA687" s="119" t="s">
        <v>208</v>
      </c>
      <c r="AB687" s="119" t="s">
        <v>1443</v>
      </c>
      <c r="AC687" s="115" t="s">
        <v>204</v>
      </c>
      <c r="AD687" s="117" t="s">
        <v>144</v>
      </c>
      <c r="AE687" s="117" t="s">
        <v>172</v>
      </c>
      <c r="AF687" s="88" t="s">
        <v>210</v>
      </c>
      <c r="AG687" s="123">
        <f>IF(TAB_HISTORICO_MANUT[[#This Row],[Hora Inicio]]="","",MONTH(TAB_HISTORICO_MANUT[[#This Row],[Hora Inicio]]))</f>
        <v>8</v>
      </c>
      <c r="AH687" s="120" t="s">
        <v>1445</v>
      </c>
      <c r="AI687" s="115" t="s">
        <v>235</v>
      </c>
      <c r="AJ687" s="115" t="s">
        <v>717</v>
      </c>
      <c r="AK687" s="115" t="s">
        <v>422</v>
      </c>
      <c r="AL687" s="115" t="s">
        <v>279</v>
      </c>
      <c r="AM687" s="121" t="s">
        <v>280</v>
      </c>
      <c r="AN687" s="115" t="s">
        <v>217</v>
      </c>
      <c r="AO687" s="115" t="s">
        <v>729</v>
      </c>
      <c r="AP687" s="115" t="s">
        <v>403</v>
      </c>
    </row>
    <row r="688" spans="1:42" ht="50.1" customHeight="1" x14ac:dyDescent="0.25">
      <c r="A688" s="115">
        <f>MONTH(TAB_HISTORICO_MANUT[[#This Row],[Hora Final]])-MONTH(TAB_HISTORICO_MANUT[[#This Row],[Hora Inicio]])</f>
        <v>0</v>
      </c>
      <c r="B688" s="116"/>
      <c r="C688" s="115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Inicio]]=Z687,TAB_HISTORICO_MANUT[[#This Row],[Equipamento]]=AA687,TAB_HISTORICO_MANUT[[#This Row],[Descricao Despacho]]=AD687),0,1)))</f>
        <v>1</v>
      </c>
      <c r="O68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68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8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88" s="107">
        <f>IF($Q688="","",(TAB_HISTORICO_MANUT[[#This Row],[Hora Final]]-TAB_HISTORICO_MANUT[[#This Row],[Hora Inicio]])*24)</f>
        <v>1.4833333332790062</v>
      </c>
      <c r="S68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88" s="109" t="str">
        <f>IF(AND(TAB_HISTORICO_MANUT[[#This Row],[EXPURGO Mãe]]="SIM",TAB_HISTORICO_MANUT[[#This Row],[Tipo]]="MÃE"),"EXP.MAE",IF(TAB_HISTORICO_MANUT[[#This Row],[EXPURGO Mãe]]="NÃO","NÃO EXP.MAE",T687))</f>
        <v>NÃO EXP.MAE</v>
      </c>
      <c r="U68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88" s="110">
        <f>IF(TAB_HISTORICO_MANUT[[#This Row],[EXPURGO Filhas]]="SIM",MAX(TAB_HISTORICO_MANUT[[#This Row],[Hora Final]]-TAB_HISTORICO_MANUT[[#This Row],[Hora Inicio]],0),0)</f>
        <v>0</v>
      </c>
      <c r="W68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8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88" s="117">
        <v>46247.293368055558</v>
      </c>
      <c r="Z688" s="118">
        <v>46247.355173611111</v>
      </c>
      <c r="AA688" s="119" t="s">
        <v>208</v>
      </c>
      <c r="AB688" s="119" t="s">
        <v>1454</v>
      </c>
      <c r="AC688" s="115" t="s">
        <v>204</v>
      </c>
      <c r="AD688" s="117" t="s">
        <v>144</v>
      </c>
      <c r="AE688" s="117" t="s">
        <v>172</v>
      </c>
      <c r="AF688" s="88" t="s">
        <v>210</v>
      </c>
      <c r="AG688" s="123">
        <f>IF(TAB_HISTORICO_MANUT[[#This Row],[Hora Inicio]]="","",MONTH(TAB_HISTORICO_MANUT[[#This Row],[Hora Inicio]]))</f>
        <v>8</v>
      </c>
      <c r="AH688" s="120" t="s">
        <v>1456</v>
      </c>
      <c r="AI688" s="115" t="s">
        <v>22</v>
      </c>
      <c r="AJ688" s="115" t="s">
        <v>647</v>
      </c>
      <c r="AK688" s="115" t="s">
        <v>1458</v>
      </c>
      <c r="AL688" s="115" t="s">
        <v>282</v>
      </c>
      <c r="AM688" s="121" t="s">
        <v>276</v>
      </c>
      <c r="AN688" s="115" t="s">
        <v>215</v>
      </c>
      <c r="AO688" s="115" t="s">
        <v>634</v>
      </c>
      <c r="AP688" s="115" t="s">
        <v>1457</v>
      </c>
    </row>
    <row r="689" spans="1:42" ht="50.1" customHeight="1" x14ac:dyDescent="0.25">
      <c r="A689" s="115">
        <f>MONTH(TAB_HISTORICO_MANUT[[#This Row],[Hora Final]])-MONTH(TAB_HISTORICO_MANUT[[#This Row],[Hora Inicio]])</f>
        <v>0</v>
      </c>
      <c r="B689" s="116"/>
      <c r="C689" s="115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Inicio]]=Z688,TAB_HISTORICO_MANUT[[#This Row],[Equipamento]]=AA688,TAB_HISTORICO_MANUT[[#This Row],[Descricao Despacho]]=AD688),0,1)))</f>
        <v>1</v>
      </c>
      <c r="O68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68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8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89" s="107">
        <f>IF($Q689="","",(TAB_HISTORICO_MANUT[[#This Row],[Hora Final]]-TAB_HISTORICO_MANUT[[#This Row],[Hora Inicio]])*24)</f>
        <v>9.9147222221363336</v>
      </c>
      <c r="S68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89" s="109" t="str">
        <f>IF(AND(TAB_HISTORICO_MANUT[[#This Row],[EXPURGO Mãe]]="SIM",TAB_HISTORICO_MANUT[[#This Row],[Tipo]]="MÃE"),"EXP.MAE",IF(TAB_HISTORICO_MANUT[[#This Row],[EXPURGO Mãe]]="NÃO","NÃO EXP.MAE",T688))</f>
        <v>NÃO EXP.MAE</v>
      </c>
      <c r="U68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89" s="110">
        <f>IF(TAB_HISTORICO_MANUT[[#This Row],[EXPURGO Filhas]]="SIM",MAX(TAB_HISTORICO_MANUT[[#This Row],[Hora Final]]-TAB_HISTORICO_MANUT[[#This Row],[Hora Inicio]],0),0)</f>
        <v>0</v>
      </c>
      <c r="W68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8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89" s="117">
        <v>46249.280046296299</v>
      </c>
      <c r="Z689" s="118">
        <v>46249.693159722221</v>
      </c>
      <c r="AA689" s="119" t="s">
        <v>208</v>
      </c>
      <c r="AB689" s="119" t="s">
        <v>1460</v>
      </c>
      <c r="AC689" s="115" t="s">
        <v>204</v>
      </c>
      <c r="AD689" s="117" t="s">
        <v>144</v>
      </c>
      <c r="AE689" s="117" t="s">
        <v>172</v>
      </c>
      <c r="AF689" s="88" t="s">
        <v>210</v>
      </c>
      <c r="AG689" s="123">
        <f>IF(TAB_HISTORICO_MANUT[[#This Row],[Hora Inicio]]="","",MONTH(TAB_HISTORICO_MANUT[[#This Row],[Hora Inicio]]))</f>
        <v>8</v>
      </c>
      <c r="AH689" s="120" t="s">
        <v>1464</v>
      </c>
      <c r="AI689" s="115" t="s">
        <v>235</v>
      </c>
      <c r="AJ689" s="115" t="s">
        <v>717</v>
      </c>
      <c r="AK689" s="115" t="s">
        <v>422</v>
      </c>
      <c r="AL689" s="115" t="s">
        <v>279</v>
      </c>
      <c r="AM689" s="121" t="s">
        <v>280</v>
      </c>
      <c r="AN689" s="115" t="s">
        <v>217</v>
      </c>
      <c r="AO689" s="115" t="s">
        <v>705</v>
      </c>
      <c r="AP689" s="115" t="s">
        <v>218</v>
      </c>
    </row>
    <row r="690" spans="1:42" ht="50.1" customHeight="1" x14ac:dyDescent="0.25">
      <c r="A690" s="115">
        <f>MONTH(TAB_HISTORICO_MANUT[[#This Row],[Hora Final]])-MONTH(TAB_HISTORICO_MANUT[[#This Row],[Hora Inicio]])</f>
        <v>0</v>
      </c>
      <c r="B690" s="116"/>
      <c r="C690" s="115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Inicio]]=Z689,TAB_HISTORICO_MANUT[[#This Row],[Equipamento]]=AA689,TAB_HISTORICO_MANUT[[#This Row],[Descricao Despacho]]=AD689),0,1)))</f>
        <v>1</v>
      </c>
      <c r="O69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69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69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690" s="107">
        <f>IF($Q690="","",(TAB_HISTORICO_MANUT[[#This Row],[Hora Final]]-TAB_HISTORICO_MANUT[[#This Row],[Hora Inicio]])*24)</f>
        <v>55.899166666553356</v>
      </c>
      <c r="S69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90" s="109" t="str">
        <f>IF(AND(TAB_HISTORICO_MANUT[[#This Row],[EXPURGO Mãe]]="SIM",TAB_HISTORICO_MANUT[[#This Row],[Tipo]]="MÃE"),"EXP.MAE",IF(TAB_HISTORICO_MANUT[[#This Row],[EXPURGO Mãe]]="NÃO","NÃO EXP.MAE",T689))</f>
        <v>NÃO EXP.MAE</v>
      </c>
      <c r="U69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90" s="110">
        <f>IF(TAB_HISTORICO_MANUT[[#This Row],[EXPURGO Filhas]]="SIM",MAX(TAB_HISTORICO_MANUT[[#This Row],[Hora Final]]-TAB_HISTORICO_MANUT[[#This Row],[Hora Inicio]],0),0)</f>
        <v>0</v>
      </c>
      <c r="W69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9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90" s="117">
        <v>46252.37740740741</v>
      </c>
      <c r="Z690" s="118">
        <v>46254.70653935185</v>
      </c>
      <c r="AA690" s="119" t="s">
        <v>208</v>
      </c>
      <c r="AB690" s="119"/>
      <c r="AC690" s="115" t="s">
        <v>205</v>
      </c>
      <c r="AD690" s="117" t="s">
        <v>145</v>
      </c>
      <c r="AE690" s="117" t="s">
        <v>173</v>
      </c>
      <c r="AF690" s="88" t="s">
        <v>210</v>
      </c>
      <c r="AG690" s="123">
        <f>IF(TAB_HISTORICO_MANUT[[#This Row],[Hora Inicio]]="","",MONTH(TAB_HISTORICO_MANUT[[#This Row],[Hora Inicio]]))</f>
        <v>8</v>
      </c>
      <c r="AH690" s="120" t="s">
        <v>326</v>
      </c>
      <c r="AI690" s="115" t="s">
        <v>21</v>
      </c>
      <c r="AJ690" s="115" t="s">
        <v>21</v>
      </c>
      <c r="AK690" s="115" t="s">
        <v>21</v>
      </c>
      <c r="AL690" s="115" t="s">
        <v>21</v>
      </c>
      <c r="AM690" s="121" t="s">
        <v>21</v>
      </c>
      <c r="AN690" s="115"/>
      <c r="AO690" s="115"/>
      <c r="AP690" s="115"/>
    </row>
    <row r="691" spans="1:42" ht="50.1" customHeight="1" x14ac:dyDescent="0.25">
      <c r="A691" s="43">
        <f>MONTH(TAB_HISTORICO_MANUT[[#This Row],[Hora Final]])-MONTH(TAB_HISTORICO_MANUT[[#This Row],[Hora Inicio]])</f>
        <v>0</v>
      </c>
      <c r="B691" s="42"/>
      <c r="C691" s="43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Inicio]]=Z690,TAB_HISTORICO_MANUT[[#This Row],[Equipamento]]=AA690,TAB_HISTORICO_MANUT[[#This Row],[Descricao Despacho]]=AD690),0,1)))</f>
        <v>1</v>
      </c>
      <c r="O69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691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69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691" s="50">
        <f>IF($Q691="","",(TAB_HISTORICO_MANUT[[#This Row],[Hora Final]]-TAB_HISTORICO_MANUT[[#This Row],[Hora Inicio]])*24)</f>
        <v>1.5013888888643123</v>
      </c>
      <c r="S69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91" s="54" t="str">
        <f>IF(AND(TAB_HISTORICO_MANUT[[#This Row],[EXPURGO Mãe]]="SIM",TAB_HISTORICO_MANUT[[#This Row],[Tipo]]="MÃE"),"EXP.MAE",IF(TAB_HISTORICO_MANUT[[#This Row],[EXPURGO Mãe]]="NÃO","NÃO EXP.MAE",T690))</f>
        <v>NÃO EXP.MAE</v>
      </c>
      <c r="U69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91" s="56">
        <f>IF(TAB_HISTORICO_MANUT[[#This Row],[EXPURGO Filhas]]="SIM",MAX(TAB_HISTORICO_MANUT[[#This Row],[Hora Final]]-TAB_HISTORICO_MANUT[[#This Row],[Hora Inicio]],0),0)</f>
        <v>0</v>
      </c>
      <c r="W69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9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91" s="46">
        <v>46259.493194444447</v>
      </c>
      <c r="Z691" s="47">
        <v>46259.555752314816</v>
      </c>
      <c r="AA691" s="48" t="s">
        <v>208</v>
      </c>
      <c r="AB691" s="48"/>
      <c r="AC691" s="43" t="s">
        <v>882</v>
      </c>
      <c r="AD691" s="46" t="s">
        <v>146</v>
      </c>
      <c r="AE691" s="46" t="s">
        <v>883</v>
      </c>
      <c r="AF691" s="88" t="s">
        <v>210</v>
      </c>
      <c r="AG691" s="105">
        <f>IF(TAB_HISTORICO_MANUT[[#This Row],[Hora Inicio]]="","",MONTH(TAB_HISTORICO_MANUT[[#This Row],[Hora Inicio]]))</f>
        <v>8</v>
      </c>
      <c r="AH691" s="58" t="s">
        <v>751</v>
      </c>
      <c r="AI691" s="43" t="s">
        <v>25</v>
      </c>
      <c r="AJ691" s="43" t="s">
        <v>25</v>
      </c>
      <c r="AK691" s="43" t="s">
        <v>25</v>
      </c>
      <c r="AL691" s="43" t="s">
        <v>25</v>
      </c>
      <c r="AM691" s="114" t="s">
        <v>25</v>
      </c>
      <c r="AN691" s="43"/>
      <c r="AO691" s="43"/>
      <c r="AP691" s="43"/>
    </row>
    <row r="692" spans="1:42" ht="50.1" customHeight="1" x14ac:dyDescent="0.25">
      <c r="A692" s="115">
        <f>MONTH(TAB_HISTORICO_MANUT[[#This Row],[Hora Final]])-MONTH(TAB_HISTORICO_MANUT[[#This Row],[Hora Inicio]])</f>
        <v>0</v>
      </c>
      <c r="B692" s="116"/>
      <c r="C692" s="115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Inicio]]=Z691,TAB_HISTORICO_MANUT[[#This Row],[Equipamento]]=AA691,TAB_HISTORICO_MANUT[[#This Row],[Descricao Despacho]]=AD691),0,1)))</f>
        <v>1</v>
      </c>
      <c r="O69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69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9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92" s="107">
        <f>IF($Q692="","",(TAB_HISTORICO_MANUT[[#This Row],[Hora Final]]-TAB_HISTORICO_MANUT[[#This Row],[Hora Inicio]])*24)</f>
        <v>9.7225000000325963</v>
      </c>
      <c r="S69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92" s="109" t="str">
        <f>IF(AND(TAB_HISTORICO_MANUT[[#This Row],[EXPURGO Mãe]]="SIM",TAB_HISTORICO_MANUT[[#This Row],[Tipo]]="MÃE"),"EXP.MAE",IF(TAB_HISTORICO_MANUT[[#This Row],[EXPURGO Mãe]]="NÃO","NÃO EXP.MAE",T691))</f>
        <v>NÃO EXP.MAE</v>
      </c>
      <c r="U69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92" s="110">
        <f>IF(TAB_HISTORICO_MANUT[[#This Row],[EXPURGO Filhas]]="SIM",MAX(TAB_HISTORICO_MANUT[[#This Row],[Hora Final]]-TAB_HISTORICO_MANUT[[#This Row],[Hora Inicio]],0),0)</f>
        <v>0</v>
      </c>
      <c r="W69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9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92" s="117">
        <v>46261.245324074072</v>
      </c>
      <c r="Z692" s="118">
        <v>46261.65042824074</v>
      </c>
      <c r="AA692" s="119" t="s">
        <v>208</v>
      </c>
      <c r="AB692" s="119" t="s">
        <v>1487</v>
      </c>
      <c r="AC692" s="115" t="s">
        <v>204</v>
      </c>
      <c r="AD692" s="117" t="s">
        <v>144</v>
      </c>
      <c r="AE692" s="117" t="s">
        <v>172</v>
      </c>
      <c r="AF692" s="88" t="s">
        <v>210</v>
      </c>
      <c r="AG692" s="123">
        <f>IF(TAB_HISTORICO_MANUT[[#This Row],[Hora Inicio]]="","",MONTH(TAB_HISTORICO_MANUT[[#This Row],[Hora Inicio]]))</f>
        <v>8</v>
      </c>
      <c r="AH692" s="120" t="s">
        <v>1488</v>
      </c>
      <c r="AI692" s="115" t="s">
        <v>23</v>
      </c>
      <c r="AJ692" s="115" t="s">
        <v>43</v>
      </c>
      <c r="AK692" s="115" t="s">
        <v>1490</v>
      </c>
      <c r="AL692" s="115" t="s">
        <v>275</v>
      </c>
      <c r="AM692" s="121" t="s">
        <v>276</v>
      </c>
      <c r="AN692" s="115" t="s">
        <v>217</v>
      </c>
      <c r="AO692" s="115" t="s">
        <v>573</v>
      </c>
      <c r="AP692" s="115" t="s">
        <v>581</v>
      </c>
    </row>
    <row r="693" spans="1:42" ht="50.1" customHeight="1" x14ac:dyDescent="0.25">
      <c r="A693" s="115">
        <f>MONTH(TAB_HISTORICO_MANUT[[#This Row],[Hora Final]])-MONTH(TAB_HISTORICO_MANUT[[#This Row],[Hora Inicio]])</f>
        <v>0</v>
      </c>
      <c r="B693" s="116"/>
      <c r="C693" s="115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Inicio]]=Z692,TAB_HISTORICO_MANUT[[#This Row],[Equipamento]]=AA692,TAB_HISTORICO_MANUT[[#This Row],[Descricao Despacho]]=AD692),0,1)))</f>
        <v>1</v>
      </c>
      <c r="O69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69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HAC - Hora Acidente</v>
      </c>
      <c r="Q69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Acidente operacional</v>
      </c>
      <c r="R693" s="107">
        <f>IF($Q693="","",(TAB_HISTORICO_MANUT[[#This Row],[Hora Final]]-TAB_HISTORICO_MANUT[[#This Row],[Hora Inicio]])*24)</f>
        <v>2.3791666666511446</v>
      </c>
      <c r="S69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693" s="109" t="str">
        <f>IF(AND(TAB_HISTORICO_MANUT[[#This Row],[EXPURGO Mãe]]="SIM",TAB_HISTORICO_MANUT[[#This Row],[Tipo]]="MÃE"),"EXP.MAE",IF(TAB_HISTORICO_MANUT[[#This Row],[EXPURGO Mãe]]="NÃO","NÃO EXP.MAE",T692))</f>
        <v>EXP.MAE</v>
      </c>
      <c r="U69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93" s="110">
        <f>IF(TAB_HISTORICO_MANUT[[#This Row],[EXPURGO Filhas]]="SIM",MAX(TAB_HISTORICO_MANUT[[#This Row],[Hora Final]]-TAB_HISTORICO_MANUT[[#This Row],[Hora Inicio]],0),0)</f>
        <v>0</v>
      </c>
      <c r="W69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9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93" s="117">
        <v>46261.851979166669</v>
      </c>
      <c r="Z693" s="118">
        <v>46261.951111111113</v>
      </c>
      <c r="AA693" s="119" t="s">
        <v>208</v>
      </c>
      <c r="AB693" s="119"/>
      <c r="AC693" s="115" t="s">
        <v>243</v>
      </c>
      <c r="AD693" s="117" t="s">
        <v>147</v>
      </c>
      <c r="AE693" s="117" t="s">
        <v>244</v>
      </c>
      <c r="AF693" s="88" t="s">
        <v>210</v>
      </c>
      <c r="AG693" s="123">
        <f>IF(TAB_HISTORICO_MANUT[[#This Row],[Hora Inicio]]="","",MONTH(TAB_HISTORICO_MANUT[[#This Row],[Hora Inicio]]))</f>
        <v>8</v>
      </c>
      <c r="AH693" s="120" t="s">
        <v>1489</v>
      </c>
      <c r="AI693" s="115" t="s">
        <v>28</v>
      </c>
      <c r="AJ693" s="115" t="s">
        <v>30</v>
      </c>
      <c r="AK693" s="115" t="s">
        <v>462</v>
      </c>
      <c r="AL693" s="115" t="s">
        <v>275</v>
      </c>
      <c r="AM693" s="121" t="s">
        <v>276</v>
      </c>
      <c r="AN693" s="115"/>
      <c r="AO693" s="115"/>
      <c r="AP693" s="115"/>
    </row>
    <row r="694" spans="1:42" ht="50.1" customHeight="1" x14ac:dyDescent="0.25">
      <c r="A694" s="115">
        <f>MONTH(TAB_HISTORICO_MANUT[[#This Row],[Hora Final]])-MONTH(TAB_HISTORICO_MANUT[[#This Row],[Hora Inicio]])</f>
        <v>0</v>
      </c>
      <c r="B694" s="116"/>
      <c r="C694" s="115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Inicio]]=Z693,TAB_HISTORICO_MANUT[[#This Row],[Equipamento]]=AA693,TAB_HISTORICO_MANUT[[#This Row],[Descricao Despacho]]=AD693),0,1)))</f>
        <v>1</v>
      </c>
      <c r="O69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69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9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94" s="107">
        <f>IF($Q694="","",(TAB_HISTORICO_MANUT[[#This Row],[Hora Final]]-TAB_HISTORICO_MANUT[[#This Row],[Hora Inicio]])*24)</f>
        <v>1.7525000000023283</v>
      </c>
      <c r="S69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94" s="109" t="str">
        <f>IF(AND(TAB_HISTORICO_MANUT[[#This Row],[EXPURGO Mãe]]="SIM",TAB_HISTORICO_MANUT[[#This Row],[Tipo]]="MÃE"),"EXP.MAE",IF(TAB_HISTORICO_MANUT[[#This Row],[EXPURGO Mãe]]="NÃO","NÃO EXP.MAE",T693))</f>
        <v>NÃO EXP.MAE</v>
      </c>
      <c r="U69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94" s="110">
        <f>IF(TAB_HISTORICO_MANUT[[#This Row],[EXPURGO Filhas]]="SIM",MAX(TAB_HISTORICO_MANUT[[#This Row],[Hora Final]]-TAB_HISTORICO_MANUT[[#This Row],[Hora Inicio]],0),0)</f>
        <v>0</v>
      </c>
      <c r="W69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9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94" s="117">
        <v>46265.41547453704</v>
      </c>
      <c r="Z694" s="118">
        <v>46265.488495370373</v>
      </c>
      <c r="AA694" s="119" t="s">
        <v>208</v>
      </c>
      <c r="AB694" s="119"/>
      <c r="AC694" s="115" t="s">
        <v>204</v>
      </c>
      <c r="AD694" s="117" t="s">
        <v>144</v>
      </c>
      <c r="AE694" s="117" t="s">
        <v>172</v>
      </c>
      <c r="AF694" s="88" t="s">
        <v>210</v>
      </c>
      <c r="AG694" s="123">
        <f>IF(TAB_HISTORICO_MANUT[[#This Row],[Hora Inicio]]="","",MONTH(TAB_HISTORICO_MANUT[[#This Row],[Hora Inicio]]))</f>
        <v>8</v>
      </c>
      <c r="AH694" s="120" t="s">
        <v>1494</v>
      </c>
      <c r="AI694" s="115" t="s">
        <v>22</v>
      </c>
      <c r="AJ694" s="115" t="s">
        <v>23</v>
      </c>
      <c r="AK694" s="115" t="s">
        <v>1497</v>
      </c>
      <c r="AL694" s="115" t="s">
        <v>460</v>
      </c>
      <c r="AM694" s="121" t="s">
        <v>283</v>
      </c>
      <c r="AN694" s="115"/>
      <c r="AO694" s="115"/>
      <c r="AP694" s="115"/>
    </row>
    <row r="695" spans="1:42" ht="50.1" customHeight="1" x14ac:dyDescent="0.25">
      <c r="A695" s="43">
        <f>MONTH(TAB_HISTORICO_MANUT[[#This Row],[Hora Final]])-MONTH(TAB_HISTORICO_MANUT[[#This Row],[Hora Inicio]])</f>
        <v>0</v>
      </c>
      <c r="B695" s="42"/>
      <c r="C695" s="43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Inicio]]=Z694,TAB_HISTORICO_MANUT[[#This Row],[Equipamento]]=AA694,TAB_HISTORICO_MANUT[[#This Row],[Descricao Despacho]]=AD694),0,1)))</f>
        <v>1</v>
      </c>
      <c r="O69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695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9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95" s="50">
        <f>IF($Q695="","",(TAB_HISTORICO_MANUT[[#This Row],[Hora Final]]-TAB_HISTORICO_MANUT[[#This Row],[Hora Inicio]])*24)</f>
        <v>5.0422222221968696</v>
      </c>
      <c r="S69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95" s="54" t="str">
        <f>IF(AND(TAB_HISTORICO_MANUT[[#This Row],[EXPURGO Mãe]]="SIM",TAB_HISTORICO_MANUT[[#This Row],[Tipo]]="MÃE"),"EXP.MAE",IF(TAB_HISTORICO_MANUT[[#This Row],[EXPURGO Mãe]]="NÃO","NÃO EXP.MAE",T694))</f>
        <v>NÃO EXP.MAE</v>
      </c>
      <c r="U69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95" s="56">
        <f>IF(TAB_HISTORICO_MANUT[[#This Row],[EXPURGO Filhas]]="SIM",MAX(TAB_HISTORICO_MANUT[[#This Row],[Hora Final]]-TAB_HISTORICO_MANUT[[#This Row],[Hora Inicio]],0),0)</f>
        <v>0</v>
      </c>
      <c r="W69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9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95" s="46">
        <v>46265.789895833332</v>
      </c>
      <c r="Z695" s="136">
        <v>46265.999988425923</v>
      </c>
      <c r="AA695" s="48" t="s">
        <v>208</v>
      </c>
      <c r="AB695" s="48" t="s">
        <v>1499</v>
      </c>
      <c r="AC695" s="43" t="s">
        <v>204</v>
      </c>
      <c r="AD695" s="46" t="s">
        <v>144</v>
      </c>
      <c r="AE695" s="46" t="s">
        <v>172</v>
      </c>
      <c r="AF695" s="88" t="s">
        <v>210</v>
      </c>
      <c r="AG695" s="105">
        <f>IF(TAB_HISTORICO_MANUT[[#This Row],[Hora Inicio]]="","",MONTH(TAB_HISTORICO_MANUT[[#This Row],[Hora Inicio]]))</f>
        <v>8</v>
      </c>
      <c r="AH695" s="58" t="s">
        <v>1501</v>
      </c>
      <c r="AI695" s="43" t="s">
        <v>22</v>
      </c>
      <c r="AJ695" s="43" t="s">
        <v>30</v>
      </c>
      <c r="AK695" s="43" t="s">
        <v>844</v>
      </c>
      <c r="AL695" s="43" t="s">
        <v>282</v>
      </c>
      <c r="AM695" s="114" t="s">
        <v>276</v>
      </c>
      <c r="AN695" s="43"/>
      <c r="AO695" s="43"/>
      <c r="AP695" s="43"/>
    </row>
    <row r="696" spans="1:42" ht="50.1" customHeight="1" x14ac:dyDescent="0.25">
      <c r="A696" s="115">
        <f>MONTH(TAB_HISTORICO_MANUT[[#This Row],[Hora Final]])-MONTH(TAB_HISTORICO_MANUT[[#This Row],[Hora Inicio]])</f>
        <v>0</v>
      </c>
      <c r="B696" s="116"/>
      <c r="C696" s="115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Inicio]]=Z695,TAB_HISTORICO_MANUT[[#This Row],[Equipamento]]=AA695,TAB_HISTORICO_MANUT[[#This Row],[Descricao Despacho]]=AD695),0,1)))</f>
        <v>1</v>
      </c>
      <c r="O69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69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9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696" s="107">
        <f>IF($Q696="","",(TAB_HISTORICO_MANUT[[#This Row],[Hora Final]]-TAB_HISTORICO_MANUT[[#This Row],[Hora Inicio]])*24)</f>
        <v>11.648055555531755</v>
      </c>
      <c r="S69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96" s="109" t="str">
        <f>IF(AND(TAB_HISTORICO_MANUT[[#This Row],[EXPURGO Mãe]]="SIM",TAB_HISTORICO_MANUT[[#This Row],[Tipo]]="MÃE"),"EXP.MAE",IF(TAB_HISTORICO_MANUT[[#This Row],[EXPURGO Mãe]]="NÃO","NÃO EXP.MAE",T695))</f>
        <v>NÃO EXP.MAE</v>
      </c>
      <c r="U69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96" s="110">
        <f>IF(TAB_HISTORICO_MANUT[[#This Row],[EXPURGO Filhas]]="SIM",MAX(TAB_HISTORICO_MANUT[[#This Row],[Hora Final]]-TAB_HISTORICO_MANUT[[#This Row],[Hora Inicio]],0),0)</f>
        <v>0</v>
      </c>
      <c r="W69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9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96" s="118">
        <v>46266</v>
      </c>
      <c r="Z696" s="118">
        <v>46266.485335648147</v>
      </c>
      <c r="AA696" s="119" t="s">
        <v>208</v>
      </c>
      <c r="AB696" s="119" t="s">
        <v>1499</v>
      </c>
      <c r="AC696" s="115" t="s">
        <v>204</v>
      </c>
      <c r="AD696" s="117" t="s">
        <v>144</v>
      </c>
      <c r="AE696" s="117" t="s">
        <v>172</v>
      </c>
      <c r="AF696" s="88" t="s">
        <v>210</v>
      </c>
      <c r="AG696" s="123">
        <f>IF(TAB_HISTORICO_MANUT[[#This Row],[Hora Inicio]]="","",MONTH(TAB_HISTORICO_MANUT[[#This Row],[Hora Inicio]]))</f>
        <v>9</v>
      </c>
      <c r="AH696" s="120" t="s">
        <v>1501</v>
      </c>
      <c r="AI696" s="115" t="s">
        <v>22</v>
      </c>
      <c r="AJ696" s="115" t="s">
        <v>30</v>
      </c>
      <c r="AK696" s="115" t="s">
        <v>844</v>
      </c>
      <c r="AL696" s="115" t="s">
        <v>282</v>
      </c>
      <c r="AM696" s="121" t="s">
        <v>276</v>
      </c>
      <c r="AN696" s="115" t="s">
        <v>215</v>
      </c>
      <c r="AO696" s="115" t="s">
        <v>222</v>
      </c>
      <c r="AP696" s="115" t="s">
        <v>1502</v>
      </c>
    </row>
    <row r="697" spans="1:42" ht="50.1" customHeight="1" x14ac:dyDescent="0.25">
      <c r="A697" s="43">
        <f>MONTH(TAB_HISTORICO_MANUT[[#This Row],[Hora Final]])-MONTH(TAB_HISTORICO_MANUT[[#This Row],[Hora Inicio]])</f>
        <v>0</v>
      </c>
      <c r="B697" s="42"/>
      <c r="C697" s="43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Inicio]]=Z696,TAB_HISTORICO_MANUT[[#This Row],[Equipamento]]=AA696,TAB_HISTORICO_MANUT[[#This Row],[Descricao Despacho]]=AD696),0,1)))</f>
        <v>1</v>
      </c>
      <c r="O69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697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69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697" s="50">
        <f>IF($Q697="","",(TAB_HISTORICO_MANUT[[#This Row],[Hora Final]]-TAB_HISTORICO_MANUT[[#This Row],[Hora Inicio]])*24)</f>
        <v>2.7625000000116415</v>
      </c>
      <c r="S69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97" s="54" t="str">
        <f>IF(AND(TAB_HISTORICO_MANUT[[#This Row],[EXPURGO Mãe]]="SIM",TAB_HISTORICO_MANUT[[#This Row],[Tipo]]="MÃE"),"EXP.MAE",IF(TAB_HISTORICO_MANUT[[#This Row],[EXPURGO Mãe]]="NÃO","NÃO EXP.MAE",T696))</f>
        <v>NÃO EXP.MAE</v>
      </c>
      <c r="U69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97" s="56">
        <f>IF(TAB_HISTORICO_MANUT[[#This Row],[EXPURGO Filhas]]="SIM",MAX(TAB_HISTORICO_MANUT[[#This Row],[Hora Final]]-TAB_HISTORICO_MANUT[[#This Row],[Hora Inicio]],0),0)</f>
        <v>0</v>
      </c>
      <c r="W69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9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97" s="46">
        <v>46267.823680555557</v>
      </c>
      <c r="Z697" s="47">
        <v>46267.938784722224</v>
      </c>
      <c r="AA697" s="48" t="s">
        <v>208</v>
      </c>
      <c r="AB697" s="48"/>
      <c r="AC697" s="43" t="s">
        <v>302</v>
      </c>
      <c r="AD697" s="46" t="s">
        <v>146</v>
      </c>
      <c r="AE697" s="46" t="s">
        <v>311</v>
      </c>
      <c r="AF697" s="88" t="s">
        <v>210</v>
      </c>
      <c r="AG697" s="105">
        <f>IF(TAB_HISTORICO_MANUT[[#This Row],[Hora Inicio]]="","",MONTH(TAB_HISTORICO_MANUT[[#This Row],[Hora Inicio]]))</f>
        <v>9</v>
      </c>
      <c r="AH697" s="58" t="s">
        <v>1539</v>
      </c>
      <c r="AI697" s="43" t="s">
        <v>340</v>
      </c>
      <c r="AJ697" s="43" t="s">
        <v>1281</v>
      </c>
      <c r="AK697" s="43"/>
      <c r="AL697" s="43"/>
      <c r="AM697" s="114"/>
      <c r="AN697" s="43"/>
      <c r="AO697" s="43"/>
      <c r="AP697" s="43"/>
    </row>
    <row r="698" spans="1:42" ht="50.1" customHeight="1" x14ac:dyDescent="0.25">
      <c r="A698" s="115">
        <f>MONTH(TAB_HISTORICO_MANUT[[#This Row],[Hora Final]])-MONTH(TAB_HISTORICO_MANUT[[#This Row],[Hora Inicio]])</f>
        <v>0</v>
      </c>
      <c r="B698" s="116"/>
      <c r="C698" s="115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Inicio]]=Z697,TAB_HISTORICO_MANUT[[#This Row],[Equipamento]]=AA697,TAB_HISTORICO_MANUT[[#This Row],[Descricao Despacho]]=AD697),0,1)))</f>
        <v>1</v>
      </c>
      <c r="O69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69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69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698" s="107">
        <f>IF($Q698="","",(TAB_HISTORICO_MANUT[[#This Row],[Hora Final]]-TAB_HISTORICO_MANUT[[#This Row],[Hora Inicio]])*24)</f>
        <v>2.5474999998696148</v>
      </c>
      <c r="S69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98" s="109" t="str">
        <f>IF(AND(TAB_HISTORICO_MANUT[[#This Row],[EXPURGO Mãe]]="SIM",TAB_HISTORICO_MANUT[[#This Row],[Tipo]]="MÃE"),"EXP.MAE",IF(TAB_HISTORICO_MANUT[[#This Row],[EXPURGO Mãe]]="NÃO","NÃO EXP.MAE",T697))</f>
        <v>NÃO EXP.MAE</v>
      </c>
      <c r="U69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98" s="110">
        <f>IF(TAB_HISTORICO_MANUT[[#This Row],[EXPURGO Filhas]]="SIM",MAX(TAB_HISTORICO_MANUT[[#This Row],[Hora Final]]-TAB_HISTORICO_MANUT[[#This Row],[Hora Inicio]],0),0)</f>
        <v>0</v>
      </c>
      <c r="W69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9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98" s="117">
        <v>46267.938784722224</v>
      </c>
      <c r="Z698" s="118">
        <v>46268.044930555552</v>
      </c>
      <c r="AA698" s="119" t="s">
        <v>208</v>
      </c>
      <c r="AB698" s="119"/>
      <c r="AC698" s="115" t="s">
        <v>204</v>
      </c>
      <c r="AD698" s="117" t="s">
        <v>144</v>
      </c>
      <c r="AE698" s="117" t="s">
        <v>172</v>
      </c>
      <c r="AF698" s="88" t="s">
        <v>210</v>
      </c>
      <c r="AG698" s="123">
        <f>IF(TAB_HISTORICO_MANUT[[#This Row],[Hora Inicio]]="","",MONTH(TAB_HISTORICO_MANUT[[#This Row],[Hora Inicio]]))</f>
        <v>9</v>
      </c>
      <c r="AH698" s="120" t="s">
        <v>1539</v>
      </c>
      <c r="AI698" s="115" t="s">
        <v>340</v>
      </c>
      <c r="AJ698" s="115" t="s">
        <v>1281</v>
      </c>
      <c r="AK698" s="115"/>
      <c r="AL698" s="115"/>
      <c r="AM698" s="121"/>
      <c r="AN698" s="115"/>
      <c r="AO698" s="115"/>
      <c r="AP698" s="115"/>
    </row>
    <row r="699" spans="1:42" ht="50.1" customHeight="1" x14ac:dyDescent="0.25">
      <c r="A699" s="115">
        <f>MONTH(TAB_HISTORICO_MANUT[[#This Row],[Hora Final]])-MONTH(TAB_HISTORICO_MANUT[[#This Row],[Hora Inicio]])</f>
        <v>0</v>
      </c>
      <c r="B699" s="116"/>
      <c r="C699" s="115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Inicio]]=Z698,TAB_HISTORICO_MANUT[[#This Row],[Equipamento]]=AA698,TAB_HISTORICO_MANUT[[#This Row],[Descricao Despacho]]=AD698),0,1)))</f>
        <v>1</v>
      </c>
      <c r="O69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69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69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699" s="107">
        <f>IF($Q699="","",(TAB_HISTORICO_MANUT[[#This Row],[Hora Final]]-TAB_HISTORICO_MANUT[[#This Row],[Hora Inicio]])*24)</f>
        <v>58.658055555657484</v>
      </c>
      <c r="S69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699" s="109" t="str">
        <f>IF(AND(TAB_HISTORICO_MANUT[[#This Row],[EXPURGO Mãe]]="SIM",TAB_HISTORICO_MANUT[[#This Row],[Tipo]]="MÃE"),"EXP.MAE",IF(TAB_HISTORICO_MANUT[[#This Row],[EXPURGO Mãe]]="NÃO","NÃO EXP.MAE",T698))</f>
        <v>NÃO EXP.MAE</v>
      </c>
      <c r="U69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699" s="110">
        <f>IF(TAB_HISTORICO_MANUT[[#This Row],[EXPURGO Filhas]]="SIM",MAX(TAB_HISTORICO_MANUT[[#This Row],[Hora Final]]-TAB_HISTORICO_MANUT[[#This Row],[Hora Inicio]],0),0)</f>
        <v>0</v>
      </c>
      <c r="W69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69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699" s="117">
        <v>46268.044930555552</v>
      </c>
      <c r="Z699" s="118">
        <v>46270.489016203705</v>
      </c>
      <c r="AA699" s="119" t="s">
        <v>208</v>
      </c>
      <c r="AB699" s="119"/>
      <c r="AC699" s="115" t="s">
        <v>301</v>
      </c>
      <c r="AD699" s="117" t="s">
        <v>146</v>
      </c>
      <c r="AE699" s="117" t="s">
        <v>310</v>
      </c>
      <c r="AF699" s="88" t="s">
        <v>210</v>
      </c>
      <c r="AG699" s="123">
        <f>IF(TAB_HISTORICO_MANUT[[#This Row],[Hora Inicio]]="","",MONTH(TAB_HISTORICO_MANUT[[#This Row],[Hora Inicio]]))</f>
        <v>9</v>
      </c>
      <c r="AH699" s="120" t="s">
        <v>1539</v>
      </c>
      <c r="AI699" s="115" t="s">
        <v>340</v>
      </c>
      <c r="AJ699" s="115" t="s">
        <v>1281</v>
      </c>
      <c r="AK699" s="115" t="s">
        <v>1272</v>
      </c>
      <c r="AL699" s="115" t="s">
        <v>1272</v>
      </c>
      <c r="AM699" s="121" t="s">
        <v>1272</v>
      </c>
      <c r="AN699" s="115"/>
      <c r="AO699" s="115"/>
      <c r="AP699" s="115"/>
    </row>
    <row r="700" spans="1:42" ht="50.1" customHeight="1" x14ac:dyDescent="0.25">
      <c r="A700" s="115">
        <f>MONTH(TAB_HISTORICO_MANUT[[#This Row],[Hora Final]])-MONTH(TAB_HISTORICO_MANUT[[#This Row],[Hora Inicio]])</f>
        <v>0</v>
      </c>
      <c r="B700" s="116"/>
      <c r="C700" s="115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Inicio]]=Z699,TAB_HISTORICO_MANUT[[#This Row],[Equipamento]]=AA699,TAB_HISTORICO_MANUT[[#This Row],[Descricao Despacho]]=AD699),0,1)))</f>
        <v>1</v>
      </c>
      <c r="O70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70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0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700" s="107">
        <f>IF($Q700="","",(TAB_HISTORICO_MANUT[[#This Row],[Hora Final]]-TAB_HISTORICO_MANUT[[#This Row],[Hora Inicio]])*24)</f>
        <v>3.6733333333977498</v>
      </c>
      <c r="S70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700" s="109" t="str">
        <f>IF(AND(TAB_HISTORICO_MANUT[[#This Row],[EXPURGO Mãe]]="SIM",TAB_HISTORICO_MANUT[[#This Row],[Tipo]]="MÃE"),"EXP.MAE",IF(TAB_HISTORICO_MANUT[[#This Row],[EXPURGO Mãe]]="NÃO","NÃO EXP.MAE",T699))</f>
        <v>EXP.MAE</v>
      </c>
      <c r="U70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00" s="110">
        <f>IF(TAB_HISTORICO_MANUT[[#This Row],[EXPURGO Filhas]]="SIM",MAX(TAB_HISTORICO_MANUT[[#This Row],[Hora Final]]-TAB_HISTORICO_MANUT[[#This Row],[Hora Inicio]],0),0)</f>
        <v>0</v>
      </c>
      <c r="W70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0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00" s="117">
        <v>46270.90997685185</v>
      </c>
      <c r="Z700" s="118">
        <v>46271.063032407408</v>
      </c>
      <c r="AA700" s="119" t="s">
        <v>208</v>
      </c>
      <c r="AB700" s="119" t="s">
        <v>1511</v>
      </c>
      <c r="AC700" s="115" t="s">
        <v>1217</v>
      </c>
      <c r="AD700" s="117" t="s">
        <v>144</v>
      </c>
      <c r="AE700" s="117" t="s">
        <v>1218</v>
      </c>
      <c r="AF700" s="88" t="s">
        <v>210</v>
      </c>
      <c r="AG700" s="123">
        <f>IF(TAB_HISTORICO_MANUT[[#This Row],[Hora Inicio]]="","",MONTH(TAB_HISTORICO_MANUT[[#This Row],[Hora Inicio]]))</f>
        <v>9</v>
      </c>
      <c r="AH700" s="120" t="s">
        <v>1522</v>
      </c>
      <c r="AI700" s="115" t="s">
        <v>82</v>
      </c>
      <c r="AJ700" s="115" t="s">
        <v>299</v>
      </c>
      <c r="AK700" s="115" t="s">
        <v>1546</v>
      </c>
      <c r="AL700" s="115" t="s">
        <v>282</v>
      </c>
      <c r="AM700" s="121" t="s">
        <v>276</v>
      </c>
      <c r="AN700" s="115" t="s">
        <v>241</v>
      </c>
      <c r="AO700" s="115" t="s">
        <v>312</v>
      </c>
      <c r="AP700" s="115" t="s">
        <v>313</v>
      </c>
    </row>
    <row r="701" spans="1:42" ht="50.1" customHeight="1" x14ac:dyDescent="0.25">
      <c r="A701" s="115">
        <f>MONTH(TAB_HISTORICO_MANUT[[#This Row],[Hora Final]])-MONTH(TAB_HISTORICO_MANUT[[#This Row],[Hora Inicio]])</f>
        <v>0</v>
      </c>
      <c r="B701" s="116"/>
      <c r="C701" s="115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Inicio]]=Z700,TAB_HISTORICO_MANUT[[#This Row],[Equipamento]]=AA700,TAB_HISTORICO_MANUT[[#This Row],[Descricao Despacho]]=AD700),0,1)))</f>
        <v>1</v>
      </c>
      <c r="O70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70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70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701" s="107">
        <f>IF($Q701="","",(TAB_HISTORICO_MANUT[[#This Row],[Hora Final]]-TAB_HISTORICO_MANUT[[#This Row],[Hora Inicio]])*24)</f>
        <v>0.21388888877118006</v>
      </c>
      <c r="S70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01" s="109" t="str">
        <f>IF(AND(TAB_HISTORICO_MANUT[[#This Row],[EXPURGO Mãe]]="SIM",TAB_HISTORICO_MANUT[[#This Row],[Tipo]]="MÃE"),"EXP.MAE",IF(TAB_HISTORICO_MANUT[[#This Row],[EXPURGO Mãe]]="NÃO","NÃO EXP.MAE",T700))</f>
        <v>NÃO EXP.MAE</v>
      </c>
      <c r="U70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01" s="110">
        <f>IF(TAB_HISTORICO_MANUT[[#This Row],[EXPURGO Filhas]]="SIM",MAX(TAB_HISTORICO_MANUT[[#This Row],[Hora Final]]-TAB_HISTORICO_MANUT[[#This Row],[Hora Inicio]],0),0)</f>
        <v>0</v>
      </c>
      <c r="W70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0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01" s="117">
        <v>46271.152245370373</v>
      </c>
      <c r="Z701" s="118">
        <v>46271.161157407405</v>
      </c>
      <c r="AA701" s="119" t="s">
        <v>208</v>
      </c>
      <c r="AB701" s="119"/>
      <c r="AC701" s="115" t="s">
        <v>205</v>
      </c>
      <c r="AD701" s="117" t="s">
        <v>145</v>
      </c>
      <c r="AE701" s="117" t="s">
        <v>173</v>
      </c>
      <c r="AF701" s="88" t="s">
        <v>210</v>
      </c>
      <c r="AG701" s="123">
        <f>IF(TAB_HISTORICO_MANUT[[#This Row],[Hora Inicio]]="","",MONTH(TAB_HISTORICO_MANUT[[#This Row],[Hora Inicio]]))</f>
        <v>9</v>
      </c>
      <c r="AH701" s="120" t="s">
        <v>326</v>
      </c>
      <c r="AI701" s="115" t="s">
        <v>21</v>
      </c>
      <c r="AJ701" s="115" t="s">
        <v>21</v>
      </c>
      <c r="AK701" s="115" t="s">
        <v>21</v>
      </c>
      <c r="AL701" s="115" t="s">
        <v>21</v>
      </c>
      <c r="AM701" s="121" t="s">
        <v>21</v>
      </c>
      <c r="AN701" s="115"/>
      <c r="AO701" s="115"/>
      <c r="AP701" s="115"/>
    </row>
    <row r="702" spans="1:42" ht="50.1" customHeight="1" x14ac:dyDescent="0.25">
      <c r="A702" s="115">
        <f>MONTH(TAB_HISTORICO_MANUT[[#This Row],[Hora Final]])-MONTH(TAB_HISTORICO_MANUT[[#This Row],[Hora Inicio]])</f>
        <v>0</v>
      </c>
      <c r="B702" s="116"/>
      <c r="C702" s="115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Inicio]]=Z701,TAB_HISTORICO_MANUT[[#This Row],[Equipamento]]=AA701,TAB_HISTORICO_MANUT[[#This Row],[Descricao Despacho]]=AD701),0,1)))</f>
        <v>1</v>
      </c>
      <c r="O70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70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0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702" s="107">
        <f>IF($Q702="","",(TAB_HISTORICO_MANUT[[#This Row],[Hora Final]]-TAB_HISTORICO_MANUT[[#This Row],[Hora Inicio]])*24)</f>
        <v>5.2725000000209548</v>
      </c>
      <c r="S70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702" s="109" t="str">
        <f>IF(AND(TAB_HISTORICO_MANUT[[#This Row],[EXPURGO Mãe]]="SIM",TAB_HISTORICO_MANUT[[#This Row],[Tipo]]="MÃE"),"EXP.MAE",IF(TAB_HISTORICO_MANUT[[#This Row],[EXPURGO Mãe]]="NÃO","NÃO EXP.MAE",T701))</f>
        <v>EXP.MAE</v>
      </c>
      <c r="U70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02" s="110">
        <f>IF(TAB_HISTORICO_MANUT[[#This Row],[EXPURGO Filhas]]="SIM",MAX(TAB_HISTORICO_MANUT[[#This Row],[Hora Final]]-TAB_HISTORICO_MANUT[[#This Row],[Hora Inicio]],0),0)</f>
        <v>0</v>
      </c>
      <c r="W70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0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02" s="117">
        <v>46272.99082175926</v>
      </c>
      <c r="Z702" s="118">
        <v>46273.210509259261</v>
      </c>
      <c r="AA702" s="119" t="s">
        <v>208</v>
      </c>
      <c r="AB702" s="119" t="s">
        <v>1516</v>
      </c>
      <c r="AC702" s="115" t="s">
        <v>1217</v>
      </c>
      <c r="AD702" s="117" t="s">
        <v>144</v>
      </c>
      <c r="AE702" s="117" t="s">
        <v>1218</v>
      </c>
      <c r="AF702" s="88" t="s">
        <v>210</v>
      </c>
      <c r="AG702" s="123">
        <f>IF(TAB_HISTORICO_MANUT[[#This Row],[Hora Inicio]]="","",MONTH(TAB_HISTORICO_MANUT[[#This Row],[Hora Inicio]]))</f>
        <v>9</v>
      </c>
      <c r="AH702" s="120" t="s">
        <v>1531</v>
      </c>
      <c r="AI702" s="115" t="s">
        <v>82</v>
      </c>
      <c r="AJ702" s="115" t="s">
        <v>82</v>
      </c>
      <c r="AK702" s="115" t="s">
        <v>82</v>
      </c>
      <c r="AL702" s="115" t="s">
        <v>82</v>
      </c>
      <c r="AM702" s="121" t="s">
        <v>82</v>
      </c>
      <c r="AN702" s="115" t="s">
        <v>241</v>
      </c>
      <c r="AO702" s="115" t="s">
        <v>1532</v>
      </c>
      <c r="AP702" s="115" t="s">
        <v>1348</v>
      </c>
    </row>
    <row r="703" spans="1:42" ht="50.1" customHeight="1" x14ac:dyDescent="0.25">
      <c r="A703" s="115">
        <f>MONTH(TAB_HISTORICO_MANUT[[#This Row],[Hora Final]])-MONTH(TAB_HISTORICO_MANUT[[#This Row],[Hora Inicio]])</f>
        <v>0</v>
      </c>
      <c r="B703" s="116"/>
      <c r="C703" s="115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Inicio]]=Z702,TAB_HISTORICO_MANUT[[#This Row],[Equipamento]]=AA702,TAB_HISTORICO_MANUT[[#This Row],[Descricao Despacho]]=AD702),0,1)))</f>
        <v>1</v>
      </c>
      <c r="O70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70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70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703" s="107">
        <f>IF($Q703="","",(TAB_HISTORICO_MANUT[[#This Row],[Hora Final]]-TAB_HISTORICO_MANUT[[#This Row],[Hora Inicio]])*24)</f>
        <v>1.5163888888782822</v>
      </c>
      <c r="S70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03" s="109" t="str">
        <f>IF(AND(TAB_HISTORICO_MANUT[[#This Row],[EXPURGO Mãe]]="SIM",TAB_HISTORICO_MANUT[[#This Row],[Tipo]]="MÃE"),"EXP.MAE",IF(TAB_HISTORICO_MANUT[[#This Row],[EXPURGO Mãe]]="NÃO","NÃO EXP.MAE",T702))</f>
        <v>NÃO EXP.MAE</v>
      </c>
      <c r="U70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03" s="110">
        <f>IF(TAB_HISTORICO_MANUT[[#This Row],[EXPURGO Filhas]]="SIM",MAX(TAB_HISTORICO_MANUT[[#This Row],[Hora Final]]-TAB_HISTORICO_MANUT[[#This Row],[Hora Inicio]],0),0)</f>
        <v>0</v>
      </c>
      <c r="W70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0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03" s="117">
        <v>46274.429537037038</v>
      </c>
      <c r="Z703" s="118">
        <v>46274.492719907408</v>
      </c>
      <c r="AA703" s="119" t="s">
        <v>208</v>
      </c>
      <c r="AB703" s="119"/>
      <c r="AC703" s="115" t="s">
        <v>882</v>
      </c>
      <c r="AD703" s="117" t="s">
        <v>146</v>
      </c>
      <c r="AE703" s="117" t="s">
        <v>883</v>
      </c>
      <c r="AF703" s="88" t="s">
        <v>210</v>
      </c>
      <c r="AG703" s="123">
        <f>IF(TAB_HISTORICO_MANUT[[#This Row],[Hora Inicio]]="","",MONTH(TAB_HISTORICO_MANUT[[#This Row],[Hora Inicio]]))</f>
        <v>9</v>
      </c>
      <c r="AH703" s="120"/>
      <c r="AI703" s="115" t="s">
        <v>25</v>
      </c>
      <c r="AJ703" s="115" t="s">
        <v>25</v>
      </c>
      <c r="AK703" s="115" t="s">
        <v>25</v>
      </c>
      <c r="AL703" s="115" t="s">
        <v>25</v>
      </c>
      <c r="AM703" s="121" t="s">
        <v>25</v>
      </c>
      <c r="AN703" s="115"/>
      <c r="AO703" s="115"/>
      <c r="AP703" s="115"/>
    </row>
    <row r="704" spans="1:42" ht="50.1" customHeight="1" x14ac:dyDescent="0.25">
      <c r="A704" s="115">
        <f>MONTH(TAB_HISTORICO_MANUT[[#This Row],[Hora Final]])-MONTH(TAB_HISTORICO_MANUT[[#This Row],[Hora Inicio]])</f>
        <v>0</v>
      </c>
      <c r="B704" s="116"/>
      <c r="C704" s="115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Inicio]]=Z703,TAB_HISTORICO_MANUT[[#This Row],[Equipamento]]=AA703,TAB_HISTORICO_MANUT[[#This Row],[Descricao Despacho]]=AD703),0,1)))</f>
        <v>1</v>
      </c>
      <c r="O70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70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0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04" s="107">
        <f>IF($Q704="","",(TAB_HISTORICO_MANUT[[#This Row],[Hora Final]]-TAB_HISTORICO_MANUT[[#This Row],[Hora Inicio]])*24)</f>
        <v>15.982222222199198</v>
      </c>
      <c r="S70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04" s="109" t="str">
        <f>IF(AND(TAB_HISTORICO_MANUT[[#This Row],[EXPURGO Mãe]]="SIM",TAB_HISTORICO_MANUT[[#This Row],[Tipo]]="MÃE"),"EXP.MAE",IF(TAB_HISTORICO_MANUT[[#This Row],[EXPURGO Mãe]]="NÃO","NÃO EXP.MAE",T703))</f>
        <v>NÃO EXP.MAE</v>
      </c>
      <c r="U70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04" s="110">
        <f>IF(TAB_HISTORICO_MANUT[[#This Row],[EXPURGO Filhas]]="SIM",MAX(TAB_HISTORICO_MANUT[[#This Row],[Hora Final]]-TAB_HISTORICO_MANUT[[#This Row],[Hora Inicio]],0),0)</f>
        <v>0</v>
      </c>
      <c r="W70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0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04" s="117">
        <v>46274.956493055557</v>
      </c>
      <c r="Z704" s="118">
        <v>46275.622418981482</v>
      </c>
      <c r="AA704" s="119" t="s">
        <v>208</v>
      </c>
      <c r="AB704" s="119"/>
      <c r="AC704" s="115" t="s">
        <v>204</v>
      </c>
      <c r="AD704" s="117" t="s">
        <v>144</v>
      </c>
      <c r="AE704" s="117" t="s">
        <v>172</v>
      </c>
      <c r="AF704" s="88" t="s">
        <v>210</v>
      </c>
      <c r="AG704" s="123">
        <f>IF(TAB_HISTORICO_MANUT[[#This Row],[Hora Inicio]]="","",MONTH(TAB_HISTORICO_MANUT[[#This Row],[Hora Inicio]]))</f>
        <v>9</v>
      </c>
      <c r="AH704" s="120" t="s">
        <v>1537</v>
      </c>
      <c r="AI704" s="115" t="s">
        <v>24</v>
      </c>
      <c r="AJ704" s="115" t="s">
        <v>223</v>
      </c>
      <c r="AK704" s="115" t="s">
        <v>422</v>
      </c>
      <c r="AL704" s="115" t="s">
        <v>279</v>
      </c>
      <c r="AM704" s="121" t="s">
        <v>280</v>
      </c>
      <c r="AN704" s="115"/>
      <c r="AO704" s="115"/>
      <c r="AP704" s="115"/>
    </row>
    <row r="705" spans="1:42" ht="50.1" customHeight="1" x14ac:dyDescent="0.25">
      <c r="A705" s="43">
        <f>MONTH(TAB_HISTORICO_MANUT[[#This Row],[Hora Final]])-MONTH(TAB_HISTORICO_MANUT[[#This Row],[Hora Inicio]])</f>
        <v>0</v>
      </c>
      <c r="B705" s="42"/>
      <c r="C705" s="43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Inicio]]=Z704,TAB_HISTORICO_MANUT[[#This Row],[Equipamento]]=AA704,TAB_HISTORICO_MANUT[[#This Row],[Descricao Despacho]]=AD704),0,1)))</f>
        <v>1</v>
      </c>
      <c r="O70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DE FREIO</v>
      </c>
      <c r="P705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0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05" s="50">
        <f>IF($Q705="","",(TAB_HISTORICO_MANUT[[#This Row],[Hora Final]]-TAB_HISTORICO_MANUT[[#This Row],[Hora Inicio]])*24)</f>
        <v>6.9316666667000391</v>
      </c>
      <c r="S70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05" s="54" t="str">
        <f>IF(AND(TAB_HISTORICO_MANUT[[#This Row],[EXPURGO Mãe]]="SIM",TAB_HISTORICO_MANUT[[#This Row],[Tipo]]="MÃE"),"EXP.MAE",IF(TAB_HISTORICO_MANUT[[#This Row],[EXPURGO Mãe]]="NÃO","NÃO EXP.MAE",T704))</f>
        <v>NÃO EXP.MAE</v>
      </c>
      <c r="U70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05" s="56">
        <f>IF(TAB_HISTORICO_MANUT[[#This Row],[EXPURGO Filhas]]="SIM",MAX(TAB_HISTORICO_MANUT[[#This Row],[Hora Final]]-TAB_HISTORICO_MANUT[[#This Row],[Hora Inicio]],0),0)</f>
        <v>0</v>
      </c>
      <c r="W70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0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05" s="46">
        <v>46275.929351851853</v>
      </c>
      <c r="Z705" s="47">
        <v>46276.218171296299</v>
      </c>
      <c r="AA705" s="48" t="s">
        <v>208</v>
      </c>
      <c r="AB705" s="48" t="s">
        <v>1560</v>
      </c>
      <c r="AC705" s="43" t="s">
        <v>204</v>
      </c>
      <c r="AD705" s="46" t="s">
        <v>144</v>
      </c>
      <c r="AE705" s="46" t="s">
        <v>172</v>
      </c>
      <c r="AF705" s="88" t="s">
        <v>210</v>
      </c>
      <c r="AG705" s="105">
        <f>IF(TAB_HISTORICO_MANUT[[#This Row],[Hora Inicio]]="","",MONTH(TAB_HISTORICO_MANUT[[#This Row],[Hora Inicio]]))</f>
        <v>9</v>
      </c>
      <c r="AH705" s="58" t="s">
        <v>1566</v>
      </c>
      <c r="AI705" s="43" t="s">
        <v>46</v>
      </c>
      <c r="AJ705" s="43" t="s">
        <v>295</v>
      </c>
      <c r="AK705" s="43" t="s">
        <v>667</v>
      </c>
      <c r="AL705" s="43" t="s">
        <v>282</v>
      </c>
      <c r="AM705" s="114" t="s">
        <v>283</v>
      </c>
      <c r="AN705" s="43" t="s">
        <v>215</v>
      </c>
      <c r="AO705" s="43" t="s">
        <v>477</v>
      </c>
      <c r="AP705" s="43" t="s">
        <v>1567</v>
      </c>
    </row>
    <row r="706" spans="1:42" ht="50.1" customHeight="1" x14ac:dyDescent="0.25">
      <c r="A706" s="115">
        <f>MONTH(TAB_HISTORICO_MANUT[[#This Row],[Hora Final]])-MONTH(TAB_HISTORICO_MANUT[[#This Row],[Hora Inicio]])</f>
        <v>0</v>
      </c>
      <c r="B706" s="116"/>
      <c r="C706" s="115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Inicio]]=Z705,TAB_HISTORICO_MANUT[[#This Row],[Equipamento]]=AA705,TAB_HISTORICO_MANUT[[#This Row],[Descricao Despacho]]=AD705),0,1)))</f>
        <v>1</v>
      </c>
      <c r="O70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70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0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06" s="107">
        <f>IF($Q706="","",(TAB_HISTORICO_MANUT[[#This Row],[Hora Final]]-TAB_HISTORICO_MANUT[[#This Row],[Hora Inicio]])*24)</f>
        <v>1.0425000000977889</v>
      </c>
      <c r="S70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06" s="109" t="str">
        <f>IF(AND(TAB_HISTORICO_MANUT[[#This Row],[EXPURGO Mãe]]="SIM",TAB_HISTORICO_MANUT[[#This Row],[Tipo]]="MÃE"),"EXP.MAE",IF(TAB_HISTORICO_MANUT[[#This Row],[EXPURGO Mãe]]="NÃO","NÃO EXP.MAE",T705))</f>
        <v>NÃO EXP.MAE</v>
      </c>
      <c r="U70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06" s="110">
        <f>IF(TAB_HISTORICO_MANUT[[#This Row],[EXPURGO Filhas]]="SIM",MAX(TAB_HISTORICO_MANUT[[#This Row],[Hora Final]]-TAB_HISTORICO_MANUT[[#This Row],[Hora Inicio]],0),0)</f>
        <v>0</v>
      </c>
      <c r="W70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0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06" s="117">
        <v>46277.00105324074</v>
      </c>
      <c r="Z706" s="118">
        <v>46277.044490740744</v>
      </c>
      <c r="AA706" s="119" t="s">
        <v>208</v>
      </c>
      <c r="AB706" s="119" t="s">
        <v>1561</v>
      </c>
      <c r="AC706" s="115" t="s">
        <v>204</v>
      </c>
      <c r="AD706" s="117" t="s">
        <v>144</v>
      </c>
      <c r="AE706" s="117" t="s">
        <v>172</v>
      </c>
      <c r="AF706" s="88" t="s">
        <v>210</v>
      </c>
      <c r="AG706" s="123">
        <f>IF(TAB_HISTORICO_MANUT[[#This Row],[Hora Inicio]]="","",MONTH(TAB_HISTORICO_MANUT[[#This Row],[Hora Inicio]]))</f>
        <v>9</v>
      </c>
      <c r="AH706" s="120" t="s">
        <v>1568</v>
      </c>
      <c r="AI706" s="115" t="s">
        <v>24</v>
      </c>
      <c r="AJ706" s="115" t="s">
        <v>149</v>
      </c>
      <c r="AK706" s="115" t="s">
        <v>422</v>
      </c>
      <c r="AL706" s="115" t="s">
        <v>279</v>
      </c>
      <c r="AM706" s="121" t="s">
        <v>280</v>
      </c>
      <c r="AN706" s="115" t="s">
        <v>217</v>
      </c>
      <c r="AO706" s="115" t="s">
        <v>405</v>
      </c>
      <c r="AP706" s="115" t="s">
        <v>403</v>
      </c>
    </row>
    <row r="707" spans="1:42" ht="50.1" customHeight="1" x14ac:dyDescent="0.25">
      <c r="A707" s="43">
        <f>MONTH(TAB_HISTORICO_MANUT[[#This Row],[Hora Final]])-MONTH(TAB_HISTORICO_MANUT[[#This Row],[Hora Inicio]])</f>
        <v>0</v>
      </c>
      <c r="B707" s="42"/>
      <c r="C707" s="43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Inicio]]=Z706,TAB_HISTORICO_MANUT[[#This Row],[Equipamento]]=AA706,TAB_HISTORICO_MANUT[[#This Row],[Descricao Despacho]]=AD706),0,1)))</f>
        <v>1</v>
      </c>
      <c r="O70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707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0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07" s="50">
        <f>IF($Q707="","",(TAB_HISTORICO_MANUT[[#This Row],[Hora Final]]-TAB_HISTORICO_MANUT[[#This Row],[Hora Inicio]])*24)</f>
        <v>1.4505555555224419</v>
      </c>
      <c r="S70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07" s="54" t="str">
        <f>IF(AND(TAB_HISTORICO_MANUT[[#This Row],[EXPURGO Mãe]]="SIM",TAB_HISTORICO_MANUT[[#This Row],[Tipo]]="MÃE"),"EXP.MAE",IF(TAB_HISTORICO_MANUT[[#This Row],[EXPURGO Mãe]]="NÃO","NÃO EXP.MAE",T706))</f>
        <v>NÃO EXP.MAE</v>
      </c>
      <c r="U70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07" s="56">
        <f>IF(TAB_HISTORICO_MANUT[[#This Row],[EXPURGO Filhas]]="SIM",MAX(TAB_HISTORICO_MANUT[[#This Row],[Hora Final]]-TAB_HISTORICO_MANUT[[#This Row],[Hora Inicio]],0),0)</f>
        <v>0</v>
      </c>
      <c r="W70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0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07" s="46">
        <v>46277.113402777781</v>
      </c>
      <c r="Z707" s="47">
        <v>46277.173842592594</v>
      </c>
      <c r="AA707" s="48" t="s">
        <v>208</v>
      </c>
      <c r="AB707" s="48" t="s">
        <v>1562</v>
      </c>
      <c r="AC707" s="43" t="s">
        <v>204</v>
      </c>
      <c r="AD707" s="46" t="s">
        <v>144</v>
      </c>
      <c r="AE707" s="46" t="s">
        <v>172</v>
      </c>
      <c r="AF707" s="88" t="s">
        <v>210</v>
      </c>
      <c r="AG707" s="105">
        <f>IF(TAB_HISTORICO_MANUT[[#This Row],[Hora Inicio]]="","",MONTH(TAB_HISTORICO_MANUT[[#This Row],[Hora Inicio]]))</f>
        <v>9</v>
      </c>
      <c r="AH707" s="58" t="s">
        <v>1570</v>
      </c>
      <c r="AI707" s="43" t="s">
        <v>28</v>
      </c>
      <c r="AJ707" s="43" t="s">
        <v>30</v>
      </c>
      <c r="AK707" s="43" t="s">
        <v>644</v>
      </c>
      <c r="AL707" s="43" t="s">
        <v>1631</v>
      </c>
      <c r="AM707" s="114" t="s">
        <v>1602</v>
      </c>
      <c r="AN707" s="43" t="s">
        <v>217</v>
      </c>
      <c r="AO707" s="43" t="s">
        <v>316</v>
      </c>
      <c r="AP707" s="43" t="s">
        <v>1063</v>
      </c>
    </row>
    <row r="708" spans="1:42" ht="50.1" customHeight="1" x14ac:dyDescent="0.25">
      <c r="A708" s="115">
        <f>MONTH(TAB_HISTORICO_MANUT[[#This Row],[Hora Final]])-MONTH(TAB_HISTORICO_MANUT[[#This Row],[Hora Inicio]])</f>
        <v>0</v>
      </c>
      <c r="B708" s="116"/>
      <c r="C708" s="115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Inicio]]=Z707,TAB_HISTORICO_MANUT[[#This Row],[Equipamento]]=AA707,TAB_HISTORICO_MANUT[[#This Row],[Descricao Despacho]]=AD707),0,1)))</f>
        <v>1</v>
      </c>
      <c r="O70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70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0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08" s="107">
        <f>IF($Q708="","",(TAB_HISTORICO_MANUT[[#This Row],[Hora Final]]-TAB_HISTORICO_MANUT[[#This Row],[Hora Inicio]])*24)</f>
        <v>0.68333333329064772</v>
      </c>
      <c r="S70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08" s="109" t="str">
        <f>IF(AND(TAB_HISTORICO_MANUT[[#This Row],[EXPURGO Mãe]]="SIM",TAB_HISTORICO_MANUT[[#This Row],[Tipo]]="MÃE"),"EXP.MAE",IF(TAB_HISTORICO_MANUT[[#This Row],[EXPURGO Mãe]]="NÃO","NÃO EXP.MAE",T707))</f>
        <v>NÃO EXP.MAE</v>
      </c>
      <c r="U70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08" s="110">
        <f>IF(TAB_HISTORICO_MANUT[[#This Row],[EXPURGO Filhas]]="SIM",MAX(TAB_HISTORICO_MANUT[[#This Row],[Hora Final]]-TAB_HISTORICO_MANUT[[#This Row],[Hora Inicio]],0),0)</f>
        <v>0</v>
      </c>
      <c r="W70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0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08" s="117">
        <v>46278.688125000001</v>
      </c>
      <c r="Z708" s="118">
        <v>46278.716597222221</v>
      </c>
      <c r="AA708" s="119" t="s">
        <v>208</v>
      </c>
      <c r="AB708" s="119" t="s">
        <v>1563</v>
      </c>
      <c r="AC708" s="115" t="s">
        <v>204</v>
      </c>
      <c r="AD708" s="117" t="s">
        <v>144</v>
      </c>
      <c r="AE708" s="117" t="s">
        <v>172</v>
      </c>
      <c r="AF708" s="88" t="s">
        <v>210</v>
      </c>
      <c r="AG708" s="123">
        <f>IF(TAB_HISTORICO_MANUT[[#This Row],[Hora Inicio]]="","",MONTH(TAB_HISTORICO_MANUT[[#This Row],[Hora Inicio]]))</f>
        <v>9</v>
      </c>
      <c r="AH708" s="120" t="s">
        <v>1573</v>
      </c>
      <c r="AI708" s="115" t="s">
        <v>24</v>
      </c>
      <c r="AJ708" s="115" t="s">
        <v>149</v>
      </c>
      <c r="AK708" s="115" t="s">
        <v>422</v>
      </c>
      <c r="AL708" s="115" t="s">
        <v>279</v>
      </c>
      <c r="AM708" s="121" t="s">
        <v>280</v>
      </c>
      <c r="AN708" s="115" t="s">
        <v>217</v>
      </c>
      <c r="AO708" s="115" t="s">
        <v>405</v>
      </c>
      <c r="AP708" s="115" t="s">
        <v>906</v>
      </c>
    </row>
    <row r="709" spans="1:42" ht="50.1" customHeight="1" x14ac:dyDescent="0.25">
      <c r="A709" s="115">
        <f>MONTH(TAB_HISTORICO_MANUT[[#This Row],[Hora Final]])-MONTH(TAB_HISTORICO_MANUT[[#This Row],[Hora Inicio]])</f>
        <v>0</v>
      </c>
      <c r="B709" s="116"/>
      <c r="C709" s="115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Inicio]]=Z708,TAB_HISTORICO_MANUT[[#This Row],[Equipamento]]=AA708,TAB_HISTORICO_MANUT[[#This Row],[Descricao Despacho]]=AD708),0,1)))</f>
        <v>1</v>
      </c>
      <c r="O70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70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0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09" s="107">
        <f>IF($Q709="","",(TAB_HISTORICO_MANUT[[#This Row],[Hora Final]]-TAB_HISTORICO_MANUT[[#This Row],[Hora Inicio]])*24)</f>
        <v>1.3236111110891216</v>
      </c>
      <c r="S70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09" s="109" t="str">
        <f>IF(AND(TAB_HISTORICO_MANUT[[#This Row],[EXPURGO Mãe]]="SIM",TAB_HISTORICO_MANUT[[#This Row],[Tipo]]="MÃE"),"EXP.MAE",IF(TAB_HISTORICO_MANUT[[#This Row],[EXPURGO Mãe]]="NÃO","NÃO EXP.MAE",T708))</f>
        <v>NÃO EXP.MAE</v>
      </c>
      <c r="U70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09" s="110">
        <f>IF(TAB_HISTORICO_MANUT[[#This Row],[EXPURGO Filhas]]="SIM",MAX(TAB_HISTORICO_MANUT[[#This Row],[Hora Final]]-TAB_HISTORICO_MANUT[[#This Row],[Hora Inicio]],0),0)</f>
        <v>0</v>
      </c>
      <c r="W70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0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09" s="117">
        <v>46279.338159722225</v>
      </c>
      <c r="Z709" s="118">
        <v>46279.393310185187</v>
      </c>
      <c r="AA709" s="119" t="s">
        <v>208</v>
      </c>
      <c r="AB709" s="119"/>
      <c r="AC709" s="115" t="s">
        <v>204</v>
      </c>
      <c r="AD709" s="117" t="s">
        <v>144</v>
      </c>
      <c r="AE709" s="117" t="s">
        <v>172</v>
      </c>
      <c r="AF709" s="88" t="s">
        <v>210</v>
      </c>
      <c r="AG709" s="123">
        <f>IF(TAB_HISTORICO_MANUT[[#This Row],[Hora Inicio]]="","",MONTH(TAB_HISTORICO_MANUT[[#This Row],[Hora Inicio]]))</f>
        <v>9</v>
      </c>
      <c r="AH709" s="120" t="s">
        <v>1574</v>
      </c>
      <c r="AI709" s="115" t="s">
        <v>23</v>
      </c>
      <c r="AJ709" s="115" t="s">
        <v>43</v>
      </c>
      <c r="AK709" s="115" t="s">
        <v>474</v>
      </c>
      <c r="AL709" s="115" t="s">
        <v>275</v>
      </c>
      <c r="AM709" s="121" t="s">
        <v>276</v>
      </c>
      <c r="AN709" s="115" t="s">
        <v>217</v>
      </c>
      <c r="AO709" s="115" t="s">
        <v>1094</v>
      </c>
      <c r="AP709" s="115" t="s">
        <v>218</v>
      </c>
    </row>
    <row r="710" spans="1:42" ht="50.1" customHeight="1" x14ac:dyDescent="0.25">
      <c r="A710" s="115">
        <f>MONTH(TAB_HISTORICO_MANUT[[#This Row],[Hora Final]])-MONTH(TAB_HISTORICO_MANUT[[#This Row],[Hora Inicio]])</f>
        <v>0</v>
      </c>
      <c r="B710" s="116"/>
      <c r="C710" s="115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Inicio]]=Z709,TAB_HISTORICO_MANUT[[#This Row],[Equipamento]]=AA709,TAB_HISTORICO_MANUT[[#This Row],[Descricao Despacho]]=AD709),0,1)))</f>
        <v>1</v>
      </c>
      <c r="O71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71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1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10" s="107">
        <f>IF($Q710="","",(TAB_HISTORICO_MANUT[[#This Row],[Hora Final]]-TAB_HISTORICO_MANUT[[#This Row],[Hora Inicio]])*24)</f>
        <v>0.68305555562255904</v>
      </c>
      <c r="S71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10" s="109" t="str">
        <f>IF(AND(TAB_HISTORICO_MANUT[[#This Row],[EXPURGO Mãe]]="SIM",TAB_HISTORICO_MANUT[[#This Row],[Tipo]]="MÃE"),"EXP.MAE",IF(TAB_HISTORICO_MANUT[[#This Row],[EXPURGO Mãe]]="NÃO","NÃO EXP.MAE",T709))</f>
        <v>NÃO EXP.MAE</v>
      </c>
      <c r="U71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10" s="110">
        <f>IF(TAB_HISTORICO_MANUT[[#This Row],[EXPURGO Filhas]]="SIM",MAX(TAB_HISTORICO_MANUT[[#This Row],[Hora Final]]-TAB_HISTORICO_MANUT[[#This Row],[Hora Inicio]],0),0)</f>
        <v>0</v>
      </c>
      <c r="W71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1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10" s="117">
        <v>46280.120069444441</v>
      </c>
      <c r="Z710" s="118">
        <v>46280.148530092592</v>
      </c>
      <c r="AA710" s="119" t="s">
        <v>208</v>
      </c>
      <c r="AB710" s="119" t="s">
        <v>1575</v>
      </c>
      <c r="AC710" s="115" t="s">
        <v>204</v>
      </c>
      <c r="AD710" s="117" t="s">
        <v>144</v>
      </c>
      <c r="AE710" s="117" t="s">
        <v>172</v>
      </c>
      <c r="AF710" s="88" t="s">
        <v>210</v>
      </c>
      <c r="AG710" s="123">
        <f>IF(TAB_HISTORICO_MANUT[[#This Row],[Hora Inicio]]="","",MONTH(TAB_HISTORICO_MANUT[[#This Row],[Hora Inicio]]))</f>
        <v>9</v>
      </c>
      <c r="AH710" s="120" t="s">
        <v>1586</v>
      </c>
      <c r="AI710" s="115" t="s">
        <v>24</v>
      </c>
      <c r="AJ710" s="115" t="s">
        <v>149</v>
      </c>
      <c r="AK710" s="115" t="s">
        <v>422</v>
      </c>
      <c r="AL710" s="115" t="s">
        <v>279</v>
      </c>
      <c r="AM710" s="121" t="s">
        <v>280</v>
      </c>
      <c r="AN710" s="115" t="s">
        <v>217</v>
      </c>
      <c r="AO710" s="115" t="s">
        <v>405</v>
      </c>
      <c r="AP710" s="115" t="s">
        <v>403</v>
      </c>
    </row>
    <row r="711" spans="1:42" ht="50.1" customHeight="1" x14ac:dyDescent="0.25">
      <c r="A711" s="115">
        <f>MONTH(TAB_HISTORICO_MANUT[[#This Row],[Hora Final]])-MONTH(TAB_HISTORICO_MANUT[[#This Row],[Hora Inicio]])</f>
        <v>0</v>
      </c>
      <c r="B711" s="116"/>
      <c r="C711" s="115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Inicio]]=Z710,TAB_HISTORICO_MANUT[[#This Row],[Equipamento]]=AA710,TAB_HISTORICO_MANUT[[#This Row],[Descricao Despacho]]=AD710),0,1)))</f>
        <v>1</v>
      </c>
      <c r="O71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71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1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11" s="107">
        <f>IF($Q711="","",(TAB_HISTORICO_MANUT[[#This Row],[Hora Final]]-TAB_HISTORICO_MANUT[[#This Row],[Hora Inicio]])*24)</f>
        <v>111.23916666669538</v>
      </c>
      <c r="S71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11" s="109" t="str">
        <f>IF(AND(TAB_HISTORICO_MANUT[[#This Row],[EXPURGO Mãe]]="SIM",TAB_HISTORICO_MANUT[[#This Row],[Tipo]]="MÃE"),"EXP.MAE",IF(TAB_HISTORICO_MANUT[[#This Row],[EXPURGO Mãe]]="NÃO","NÃO EXP.MAE",T710))</f>
        <v>NÃO EXP.MAE</v>
      </c>
      <c r="U71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11" s="110">
        <f>IF(TAB_HISTORICO_MANUT[[#This Row],[EXPURGO Filhas]]="SIM",MAX(TAB_HISTORICO_MANUT[[#This Row],[Hora Final]]-TAB_HISTORICO_MANUT[[#This Row],[Hora Inicio]],0),0)</f>
        <v>0</v>
      </c>
      <c r="W71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1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11" s="117">
        <v>46280.289988425924</v>
      </c>
      <c r="Z711" s="118">
        <v>46284.924953703703</v>
      </c>
      <c r="AA711" s="119" t="s">
        <v>208</v>
      </c>
      <c r="AB711" s="119" t="s">
        <v>1577</v>
      </c>
      <c r="AC711" s="115" t="s">
        <v>204</v>
      </c>
      <c r="AD711" s="117" t="s">
        <v>144</v>
      </c>
      <c r="AE711" s="117" t="s">
        <v>172</v>
      </c>
      <c r="AF711" s="88" t="s">
        <v>210</v>
      </c>
      <c r="AG711" s="123">
        <f>IF(TAB_HISTORICO_MANUT[[#This Row],[Hora Inicio]]="","",MONTH(TAB_HISTORICO_MANUT[[#This Row],[Hora Inicio]]))</f>
        <v>9</v>
      </c>
      <c r="AH711" s="120" t="s">
        <v>1589</v>
      </c>
      <c r="AI711" s="115" t="s">
        <v>22</v>
      </c>
      <c r="AJ711" s="115" t="s">
        <v>43</v>
      </c>
      <c r="AK711" s="115" t="s">
        <v>1632</v>
      </c>
      <c r="AL711" s="115" t="s">
        <v>282</v>
      </c>
      <c r="AM711" s="121" t="s">
        <v>276</v>
      </c>
      <c r="AN711" s="115" t="s">
        <v>217</v>
      </c>
      <c r="AO711" s="115" t="s">
        <v>1436</v>
      </c>
      <c r="AP711" s="115" t="s">
        <v>1590</v>
      </c>
    </row>
    <row r="712" spans="1:42" ht="50.1" customHeight="1" x14ac:dyDescent="0.25">
      <c r="A712" s="115">
        <f>MONTH(TAB_HISTORICO_MANUT[[#This Row],[Hora Final]])-MONTH(TAB_HISTORICO_MANUT[[#This Row],[Hora Inicio]])</f>
        <v>0</v>
      </c>
      <c r="B712" s="116"/>
      <c r="C712" s="115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Inicio]]=Z711,TAB_HISTORICO_MANUT[[#This Row],[Equipamento]]=AA711,TAB_HISTORICO_MANUT[[#This Row],[Descricao Despacho]]=AD711),0,1)))</f>
        <v>1</v>
      </c>
      <c r="O71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71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71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712" s="107">
        <f>IF($Q712="","",(TAB_HISTORICO_MANUT[[#This Row],[Hora Final]]-TAB_HISTORICO_MANUT[[#This Row],[Hora Inicio]])*24)</f>
        <v>1.2041666666627862</v>
      </c>
      <c r="S71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12" s="109" t="str">
        <f>IF(AND(TAB_HISTORICO_MANUT[[#This Row],[EXPURGO Mãe]]="SIM",TAB_HISTORICO_MANUT[[#This Row],[Tipo]]="MÃE"),"EXP.MAE",IF(TAB_HISTORICO_MANUT[[#This Row],[EXPURGO Mãe]]="NÃO","NÃO EXP.MAE",T711))</f>
        <v>NÃO EXP.MAE</v>
      </c>
      <c r="U71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12" s="110">
        <f>IF(TAB_HISTORICO_MANUT[[#This Row],[EXPURGO Filhas]]="SIM",MAX(TAB_HISTORICO_MANUT[[#This Row],[Hora Final]]-TAB_HISTORICO_MANUT[[#This Row],[Hora Inicio]],0),0)</f>
        <v>0</v>
      </c>
      <c r="W71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1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12" s="117">
        <v>46285.021620370368</v>
      </c>
      <c r="Z712" s="118">
        <v>46285.071793981479</v>
      </c>
      <c r="AA712" s="119" t="s">
        <v>208</v>
      </c>
      <c r="AB712" s="119"/>
      <c r="AC712" s="115" t="s">
        <v>205</v>
      </c>
      <c r="AD712" s="117" t="s">
        <v>145</v>
      </c>
      <c r="AE712" s="117" t="s">
        <v>173</v>
      </c>
      <c r="AF712" s="88" t="s">
        <v>210</v>
      </c>
      <c r="AG712" s="123">
        <f>IF(TAB_HISTORICO_MANUT[[#This Row],[Hora Inicio]]="","",MONTH(TAB_HISTORICO_MANUT[[#This Row],[Hora Inicio]]))</f>
        <v>9</v>
      </c>
      <c r="AH712" s="120" t="s">
        <v>1598</v>
      </c>
      <c r="AI712" s="115" t="s">
        <v>21</v>
      </c>
      <c r="AJ712" s="115" t="s">
        <v>356</v>
      </c>
      <c r="AK712" s="115" t="s">
        <v>291</v>
      </c>
      <c r="AL712" s="115" t="s">
        <v>292</v>
      </c>
      <c r="AM712" s="121" t="s">
        <v>294</v>
      </c>
      <c r="AN712" s="115" t="s">
        <v>229</v>
      </c>
      <c r="AO712" s="115" t="s">
        <v>404</v>
      </c>
      <c r="AP712" s="115" t="s">
        <v>242</v>
      </c>
    </row>
    <row r="713" spans="1:42" ht="50.1" customHeight="1" x14ac:dyDescent="0.25">
      <c r="A713" s="43">
        <f>MONTH(TAB_HISTORICO_MANUT[[#This Row],[Hora Final]])-MONTH(TAB_HISTORICO_MANUT[[#This Row],[Hora Inicio]])</f>
        <v>0</v>
      </c>
      <c r="B713" s="42"/>
      <c r="C713" s="43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Inicio]]=Z712,TAB_HISTORICO_MANUT[[#This Row],[Equipamento]]=AA712,TAB_HISTORICO_MANUT[[#This Row],[Descricao Despacho]]=AD712),0,1)))</f>
        <v>1</v>
      </c>
      <c r="O71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713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1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13" s="50">
        <f>IF($Q713="","",(TAB_HISTORICO_MANUT[[#This Row],[Hora Final]]-TAB_HISTORICO_MANUT[[#This Row],[Hora Inicio]])*24)</f>
        <v>0.93972222221782431</v>
      </c>
      <c r="S71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13" s="54" t="str">
        <f>IF(AND(TAB_HISTORICO_MANUT[[#This Row],[EXPURGO Mãe]]="SIM",TAB_HISTORICO_MANUT[[#This Row],[Tipo]]="MÃE"),"EXP.MAE",IF(TAB_HISTORICO_MANUT[[#This Row],[EXPURGO Mãe]]="NÃO","NÃO EXP.MAE",T712))</f>
        <v>NÃO EXP.MAE</v>
      </c>
      <c r="U71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13" s="56">
        <f>IF(TAB_HISTORICO_MANUT[[#This Row],[EXPURGO Filhas]]="SIM",MAX(TAB_HISTORICO_MANUT[[#This Row],[Hora Final]]-TAB_HISTORICO_MANUT[[#This Row],[Hora Inicio]],0),0)</f>
        <v>0</v>
      </c>
      <c r="W71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1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13" s="46">
        <v>46286.653958333336</v>
      </c>
      <c r="Z713" s="47">
        <v>46286.693113425928</v>
      </c>
      <c r="AA713" s="48" t="s">
        <v>208</v>
      </c>
      <c r="AB713" s="48" t="s">
        <v>1604</v>
      </c>
      <c r="AC713" s="43" t="s">
        <v>204</v>
      </c>
      <c r="AD713" s="46" t="s">
        <v>144</v>
      </c>
      <c r="AE713" s="46" t="s">
        <v>172</v>
      </c>
      <c r="AF713" s="88" t="s">
        <v>210</v>
      </c>
      <c r="AG713" s="105">
        <f>IF(TAB_HISTORICO_MANUT[[#This Row],[Hora Inicio]]="","",MONTH(TAB_HISTORICO_MANUT[[#This Row],[Hora Inicio]]))</f>
        <v>9</v>
      </c>
      <c r="AH713" s="58" t="s">
        <v>1606</v>
      </c>
      <c r="AI713" s="43" t="s">
        <v>28</v>
      </c>
      <c r="AJ713" s="43" t="s">
        <v>423</v>
      </c>
      <c r="AK713" s="43" t="s">
        <v>644</v>
      </c>
      <c r="AL713" s="43" t="s">
        <v>1628</v>
      </c>
      <c r="AM713" s="114" t="s">
        <v>1633</v>
      </c>
      <c r="AN713" s="43"/>
      <c r="AO713" s="43"/>
      <c r="AP713" s="43"/>
    </row>
    <row r="714" spans="1:42" ht="50.1" customHeight="1" x14ac:dyDescent="0.25">
      <c r="A714" s="43">
        <f>MONTH(TAB_HISTORICO_MANUT[[#This Row],[Hora Final]])-MONTH(TAB_HISTORICO_MANUT[[#This Row],[Hora Inicio]])</f>
        <v>0</v>
      </c>
      <c r="B714" s="42"/>
      <c r="C714" s="43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Inicio]]=Z713,TAB_HISTORICO_MANUT[[#This Row],[Equipamento]]=AA713,TAB_HISTORICO_MANUT[[#This Row],[Descricao Despacho]]=AD713),0,1)))</f>
        <v>1</v>
      </c>
      <c r="O71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714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71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714" s="50">
        <f>IF($Q714="","",(TAB_HISTORICO_MANUT[[#This Row],[Hora Final]]-TAB_HISTORICO_MANUT[[#This Row],[Hora Inicio]])*24)</f>
        <v>1.4538888889364898</v>
      </c>
      <c r="S71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14" s="54" t="str">
        <f>IF(AND(TAB_HISTORICO_MANUT[[#This Row],[EXPURGO Mãe]]="SIM",TAB_HISTORICO_MANUT[[#This Row],[Tipo]]="MÃE"),"EXP.MAE",IF(TAB_HISTORICO_MANUT[[#This Row],[EXPURGO Mãe]]="NÃO","NÃO EXP.MAE",T713))</f>
        <v>NÃO EXP.MAE</v>
      </c>
      <c r="U71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14" s="56">
        <f>IF(TAB_HISTORICO_MANUT[[#This Row],[EXPURGO Filhas]]="SIM",MAX(TAB_HISTORICO_MANUT[[#This Row],[Hora Final]]-TAB_HISTORICO_MANUT[[#This Row],[Hora Inicio]],0),0)</f>
        <v>0</v>
      </c>
      <c r="W71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1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14" s="46">
        <v>46287.434166666666</v>
      </c>
      <c r="Z714" s="47">
        <v>46287.494745370372</v>
      </c>
      <c r="AA714" s="48" t="s">
        <v>208</v>
      </c>
      <c r="AB714" s="48"/>
      <c r="AC714" s="43" t="s">
        <v>882</v>
      </c>
      <c r="AD714" s="46" t="s">
        <v>146</v>
      </c>
      <c r="AE714" s="46" t="s">
        <v>883</v>
      </c>
      <c r="AF714" s="88" t="s">
        <v>210</v>
      </c>
      <c r="AG714" s="105">
        <f>IF(TAB_HISTORICO_MANUT[[#This Row],[Hora Inicio]]="","",MONTH(TAB_HISTORICO_MANUT[[#This Row],[Hora Inicio]]))</f>
        <v>9</v>
      </c>
      <c r="AH714" s="58"/>
      <c r="AI714" s="43" t="s">
        <v>25</v>
      </c>
      <c r="AJ714" s="43" t="s">
        <v>25</v>
      </c>
      <c r="AK714" s="43" t="s">
        <v>25</v>
      </c>
      <c r="AL714" s="43" t="s">
        <v>25</v>
      </c>
      <c r="AM714" s="114" t="s">
        <v>25</v>
      </c>
      <c r="AN714" s="43"/>
      <c r="AO714" s="43"/>
      <c r="AP714" s="43"/>
    </row>
    <row r="715" spans="1:42" ht="50.1" customHeight="1" x14ac:dyDescent="0.25">
      <c r="A715" s="43">
        <f>MONTH(TAB_HISTORICO_MANUT[[#This Row],[Hora Final]])-MONTH(TAB_HISTORICO_MANUT[[#This Row],[Hora Inicio]])</f>
        <v>0</v>
      </c>
      <c r="B715" s="42"/>
      <c r="C715" s="43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Inicio]]=Z714,TAB_HISTORICO_MANUT[[#This Row],[Equipamento]]=AA714,TAB_HISTORICO_MANUT[[#This Row],[Descricao Despacho]]=AD714),0,1)))</f>
        <v>1</v>
      </c>
      <c r="O71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715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1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715" s="50">
        <f>IF($Q715="","",(TAB_HISTORICO_MANUT[[#This Row],[Hora Final]]-TAB_HISTORICO_MANUT[[#This Row],[Hora Inicio]])*24)</f>
        <v>0.64027777779847383</v>
      </c>
      <c r="S71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715" s="54" t="str">
        <f>IF(AND(TAB_HISTORICO_MANUT[[#This Row],[EXPURGO Mãe]]="SIM",TAB_HISTORICO_MANUT[[#This Row],[Tipo]]="MÃE"),"EXP.MAE",IF(TAB_HISTORICO_MANUT[[#This Row],[EXPURGO Mãe]]="NÃO","NÃO EXP.MAE",T714))</f>
        <v>EXP.MAE</v>
      </c>
      <c r="U71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15" s="56">
        <f>IF(TAB_HISTORICO_MANUT[[#This Row],[EXPURGO Filhas]]="SIM",MAX(TAB_HISTORICO_MANUT[[#This Row],[Hora Final]]-TAB_HISTORICO_MANUT[[#This Row],[Hora Inicio]],0),0)</f>
        <v>0</v>
      </c>
      <c r="W71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1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15" s="46">
        <v>46289.085520833331</v>
      </c>
      <c r="Z715" s="47">
        <v>46289.112199074072</v>
      </c>
      <c r="AA715" s="48" t="s">
        <v>208</v>
      </c>
      <c r="AB715" s="48"/>
      <c r="AC715" s="43" t="s">
        <v>1217</v>
      </c>
      <c r="AD715" s="46" t="s">
        <v>144</v>
      </c>
      <c r="AE715" s="46" t="s">
        <v>1218</v>
      </c>
      <c r="AF715" s="88" t="s">
        <v>210</v>
      </c>
      <c r="AG715" s="105">
        <f>IF(TAB_HISTORICO_MANUT[[#This Row],[Hora Inicio]]="","",MONTH(TAB_HISTORICO_MANUT[[#This Row],[Hora Inicio]]))</f>
        <v>9</v>
      </c>
      <c r="AH715" s="58" t="s">
        <v>1614</v>
      </c>
      <c r="AI715" s="43" t="s">
        <v>82</v>
      </c>
      <c r="AJ715" s="43" t="s">
        <v>299</v>
      </c>
      <c r="AK715" s="43" t="s">
        <v>693</v>
      </c>
      <c r="AL715" s="43" t="s">
        <v>282</v>
      </c>
      <c r="AM715" s="114" t="s">
        <v>276</v>
      </c>
      <c r="AN715" s="43" t="s">
        <v>241</v>
      </c>
      <c r="AO715" s="43" t="s">
        <v>312</v>
      </c>
      <c r="AP715" s="43" t="s">
        <v>313</v>
      </c>
    </row>
    <row r="716" spans="1:42" ht="50.1" customHeight="1" x14ac:dyDescent="0.25">
      <c r="A716" s="115">
        <f>MONTH(TAB_HISTORICO_MANUT[[#This Row],[Hora Final]])-MONTH(TAB_HISTORICO_MANUT[[#This Row],[Hora Inicio]])</f>
        <v>0</v>
      </c>
      <c r="B716" s="116"/>
      <c r="C716" s="115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Inicio]]=Z715,TAB_HISTORICO_MANUT[[#This Row],[Equipamento]]=AA715,TAB_HISTORICO_MANUT[[#This Row],[Descricao Despacho]]=AD715),0,1)))</f>
        <v>1</v>
      </c>
      <c r="O71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71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71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716" s="107">
        <f>IF($Q716="","",(TAB_HISTORICO_MANUT[[#This Row],[Hora Final]]-TAB_HISTORICO_MANUT[[#This Row],[Hora Inicio]])*24)</f>
        <v>0.48861111112637445</v>
      </c>
      <c r="S71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16" s="109" t="str">
        <f>IF(AND(TAB_HISTORICO_MANUT[[#This Row],[EXPURGO Mãe]]="SIM",TAB_HISTORICO_MANUT[[#This Row],[Tipo]]="MÃE"),"EXP.MAE",IF(TAB_HISTORICO_MANUT[[#This Row],[EXPURGO Mãe]]="NÃO","NÃO EXP.MAE",T715))</f>
        <v>NÃO EXP.MAE</v>
      </c>
      <c r="U71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16" s="110">
        <f>IF(TAB_HISTORICO_MANUT[[#This Row],[EXPURGO Filhas]]="SIM",MAX(TAB_HISTORICO_MANUT[[#This Row],[Hora Final]]-TAB_HISTORICO_MANUT[[#This Row],[Hora Inicio]],0),0)</f>
        <v>0</v>
      </c>
      <c r="W71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1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16" s="117">
        <v>46290.586215277777</v>
      </c>
      <c r="Z716" s="118">
        <v>46290.606574074074</v>
      </c>
      <c r="AA716" s="119" t="s">
        <v>208</v>
      </c>
      <c r="AB716" s="119"/>
      <c r="AC716" s="115" t="s">
        <v>205</v>
      </c>
      <c r="AD716" s="117" t="s">
        <v>145</v>
      </c>
      <c r="AE716" s="117" t="s">
        <v>173</v>
      </c>
      <c r="AF716" s="88" t="s">
        <v>210</v>
      </c>
      <c r="AG716" s="123">
        <f>IF(TAB_HISTORICO_MANUT[[#This Row],[Hora Inicio]]="","",MONTH(TAB_HISTORICO_MANUT[[#This Row],[Hora Inicio]]))</f>
        <v>9</v>
      </c>
      <c r="AH716" s="120" t="s">
        <v>326</v>
      </c>
      <c r="AI716" s="115" t="s">
        <v>21</v>
      </c>
      <c r="AJ716" s="115" t="s">
        <v>21</v>
      </c>
      <c r="AK716" s="115" t="s">
        <v>21</v>
      </c>
      <c r="AL716" s="115" t="s">
        <v>21</v>
      </c>
      <c r="AM716" s="121" t="s">
        <v>21</v>
      </c>
      <c r="AN716" s="115"/>
      <c r="AO716" s="115"/>
      <c r="AP716" s="115"/>
    </row>
    <row r="717" spans="1:42" ht="50.1" customHeight="1" x14ac:dyDescent="0.25">
      <c r="A717" s="115">
        <f>MONTH(TAB_HISTORICO_MANUT[[#This Row],[Hora Final]])-MONTH(TAB_HISTORICO_MANUT[[#This Row],[Hora Inicio]])</f>
        <v>0</v>
      </c>
      <c r="B717" s="116"/>
      <c r="C717" s="115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Inicio]]=Z716,TAB_HISTORICO_MANUT[[#This Row],[Equipamento]]=AA716,TAB_HISTORICO_MANUT[[#This Row],[Descricao Despacho]]=AD716),0,1)))</f>
        <v>1</v>
      </c>
      <c r="O71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71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1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17" s="107">
        <f>IF($Q717="","",(TAB_HISTORICO_MANUT[[#This Row],[Hora Final]]-TAB_HISTORICO_MANUT[[#This Row],[Hora Inicio]])*24)</f>
        <v>3.526111111161299</v>
      </c>
      <c r="S71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17" s="109" t="str">
        <f>IF(AND(TAB_HISTORICO_MANUT[[#This Row],[EXPURGO Mãe]]="SIM",TAB_HISTORICO_MANUT[[#This Row],[Tipo]]="MÃE"),"EXP.MAE",IF(TAB_HISTORICO_MANUT[[#This Row],[EXPURGO Mãe]]="NÃO","NÃO EXP.MAE",T716))</f>
        <v>NÃO EXP.MAE</v>
      </c>
      <c r="U71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17" s="110">
        <f>IF(TAB_HISTORICO_MANUT[[#This Row],[EXPURGO Filhas]]="SIM",MAX(TAB_HISTORICO_MANUT[[#This Row],[Hora Final]]-TAB_HISTORICO_MANUT[[#This Row],[Hora Inicio]],0),0)</f>
        <v>0</v>
      </c>
      <c r="W71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1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17" s="117">
        <v>46291.368703703702</v>
      </c>
      <c r="Z717" s="118">
        <v>46291.515625</v>
      </c>
      <c r="AA717" s="119" t="s">
        <v>208</v>
      </c>
      <c r="AB717" s="119" t="s">
        <v>1611</v>
      </c>
      <c r="AC717" s="115" t="s">
        <v>204</v>
      </c>
      <c r="AD717" s="117" t="s">
        <v>144</v>
      </c>
      <c r="AE717" s="117" t="s">
        <v>172</v>
      </c>
      <c r="AF717" s="88" t="s">
        <v>210</v>
      </c>
      <c r="AG717" s="123">
        <f>IF(TAB_HISTORICO_MANUT[[#This Row],[Hora Inicio]]="","",MONTH(TAB_HISTORICO_MANUT[[#This Row],[Hora Inicio]]))</f>
        <v>9</v>
      </c>
      <c r="AH717" s="120" t="s">
        <v>1619</v>
      </c>
      <c r="AI717" s="115" t="s">
        <v>23</v>
      </c>
      <c r="AJ717" s="115" t="s">
        <v>23</v>
      </c>
      <c r="AK717" s="115" t="s">
        <v>23</v>
      </c>
      <c r="AL717" s="115" t="s">
        <v>1272</v>
      </c>
      <c r="AM717" s="121" t="s">
        <v>1272</v>
      </c>
      <c r="AN717" s="115" t="s">
        <v>217</v>
      </c>
      <c r="AO717" s="115" t="s">
        <v>406</v>
      </c>
      <c r="AP717" s="115" t="s">
        <v>1620</v>
      </c>
    </row>
    <row r="718" spans="1:42" ht="50.1" customHeight="1" x14ac:dyDescent="0.25">
      <c r="A718" s="115">
        <f>MONTH(TAB_HISTORICO_MANUT[[#This Row],[Hora Final]])-MONTH(TAB_HISTORICO_MANUT[[#This Row],[Hora Inicio]])</f>
        <v>0</v>
      </c>
      <c r="B718" s="116"/>
      <c r="C718" s="115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Inicio]]=Z717,TAB_HISTORICO_MANUT[[#This Row],[Equipamento]]=AA717,TAB_HISTORICO_MANUT[[#This Row],[Descricao Despacho]]=AD717),0,1)))</f>
        <v>1</v>
      </c>
      <c r="O71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AR CONDICIONADO</v>
      </c>
      <c r="P71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1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18" s="107">
        <f>IF($Q718="","",(TAB_HISTORICO_MANUT[[#This Row],[Hora Final]]-TAB_HISTORICO_MANUT[[#This Row],[Hora Inicio]])*24)</f>
        <v>0.61222222232026979</v>
      </c>
      <c r="S71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18" s="109" t="str">
        <f>IF(AND(TAB_HISTORICO_MANUT[[#This Row],[EXPURGO Mãe]]="SIM",TAB_HISTORICO_MANUT[[#This Row],[Tipo]]="MÃE"),"EXP.MAE",IF(TAB_HISTORICO_MANUT[[#This Row],[EXPURGO Mãe]]="NÃO","NÃO EXP.MAE",T717))</f>
        <v>NÃO EXP.MAE</v>
      </c>
      <c r="U71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18" s="110">
        <f>IF(TAB_HISTORICO_MANUT[[#This Row],[EXPURGO Filhas]]="SIM",MAX(TAB_HISTORICO_MANUT[[#This Row],[Hora Final]]-TAB_HISTORICO_MANUT[[#This Row],[Hora Inicio]],0),0)</f>
        <v>0</v>
      </c>
      <c r="W71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1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18" s="117">
        <v>46294.844270833331</v>
      </c>
      <c r="Z718" s="118">
        <v>46294.869780092595</v>
      </c>
      <c r="AA718" s="119" t="s">
        <v>208</v>
      </c>
      <c r="AB718" s="119" t="s">
        <v>1636</v>
      </c>
      <c r="AC718" s="115" t="s">
        <v>204</v>
      </c>
      <c r="AD718" s="117" t="s">
        <v>144</v>
      </c>
      <c r="AE718" s="117" t="s">
        <v>172</v>
      </c>
      <c r="AF718" s="88" t="s">
        <v>210</v>
      </c>
      <c r="AG718" s="123">
        <f>IF(TAB_HISTORICO_MANUT[[#This Row],[Hora Inicio]]="","",MONTH(TAB_HISTORICO_MANUT[[#This Row],[Hora Inicio]]))</f>
        <v>9</v>
      </c>
      <c r="AH718" s="120" t="s">
        <v>1637</v>
      </c>
      <c r="AI718" s="115" t="s">
        <v>37</v>
      </c>
      <c r="AJ718" s="115" t="s">
        <v>273</v>
      </c>
      <c r="AK718" s="115" t="s">
        <v>1629</v>
      </c>
      <c r="AL718" s="115" t="s">
        <v>1631</v>
      </c>
      <c r="AM718" s="121" t="s">
        <v>1602</v>
      </c>
      <c r="AN718" s="115" t="s">
        <v>215</v>
      </c>
      <c r="AO718" s="115" t="s">
        <v>680</v>
      </c>
      <c r="AP718" s="115" t="s">
        <v>1530</v>
      </c>
    </row>
    <row r="719" spans="1:42" ht="50.1" customHeight="1" x14ac:dyDescent="0.25">
      <c r="A719" s="115">
        <f>MONTH(TAB_HISTORICO_MANUT[[#This Row],[Hora Final]])-MONTH(TAB_HISTORICO_MANUT[[#This Row],[Hora Inicio]])</f>
        <v>0</v>
      </c>
      <c r="B719" s="116"/>
      <c r="C719" s="115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Inicio]]=Z718,TAB_HISTORICO_MANUT[[#This Row],[Equipamento]]=AA718,TAB_HISTORICO_MANUT[[#This Row],[Descricao Despacho]]=AD718),0,1)))</f>
        <v>1</v>
      </c>
      <c r="O71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71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1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719" s="107">
        <f>IF($Q719="","",(TAB_HISTORICO_MANUT[[#This Row],[Hora Final]]-TAB_HISTORICO_MANUT[[#This Row],[Hora Inicio]])*24)</f>
        <v>5.2511111110216007</v>
      </c>
      <c r="S71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19" s="109" t="str">
        <f>IF(AND(TAB_HISTORICO_MANUT[[#This Row],[EXPURGO Mãe]]="SIM",TAB_HISTORICO_MANUT[[#This Row],[Tipo]]="MÃE"),"EXP.MAE",IF(TAB_HISTORICO_MANUT[[#This Row],[EXPURGO Mãe]]="NÃO","NÃO EXP.MAE",T718))</f>
        <v>NÃO EXP.MAE</v>
      </c>
      <c r="U71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19" s="110">
        <f>IF(TAB_HISTORICO_MANUT[[#This Row],[EXPURGO Filhas]]="SIM",MAX(TAB_HISTORICO_MANUT[[#This Row],[Hora Final]]-TAB_HISTORICO_MANUT[[#This Row],[Hora Inicio]],0),0)</f>
        <v>0</v>
      </c>
      <c r="W71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1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19" s="117">
        <v>46294.930405092593</v>
      </c>
      <c r="Z719" s="118">
        <v>46295.149201388886</v>
      </c>
      <c r="AA719" s="119" t="s">
        <v>208</v>
      </c>
      <c r="AB719" s="119"/>
      <c r="AC719" s="115" t="s">
        <v>211</v>
      </c>
      <c r="AD719" s="117" t="s">
        <v>144</v>
      </c>
      <c r="AE719" s="117" t="s">
        <v>213</v>
      </c>
      <c r="AF719" s="88" t="s">
        <v>210</v>
      </c>
      <c r="AG719" s="123">
        <f>IF(TAB_HISTORICO_MANUT[[#This Row],[Hora Inicio]]="","",MONTH(TAB_HISTORICO_MANUT[[#This Row],[Hora Inicio]]))</f>
        <v>9</v>
      </c>
      <c r="AH719" s="120" t="s">
        <v>1638</v>
      </c>
      <c r="AI719" s="115" t="s">
        <v>21</v>
      </c>
      <c r="AJ719" s="115" t="s">
        <v>356</v>
      </c>
      <c r="AK719" s="115" t="s">
        <v>291</v>
      </c>
      <c r="AL719" s="115" t="s">
        <v>292</v>
      </c>
      <c r="AM719" s="121" t="s">
        <v>294</v>
      </c>
      <c r="AN719" s="115"/>
      <c r="AO719" s="115"/>
      <c r="AP719" s="115"/>
    </row>
    <row r="720" spans="1:42" ht="50.1" customHeight="1" x14ac:dyDescent="0.25">
      <c r="A720" s="115">
        <f>MONTH(TAB_HISTORICO_MANUT[[#This Row],[Hora Final]])-MONTH(TAB_HISTORICO_MANUT[[#This Row],[Hora Inicio]])</f>
        <v>0</v>
      </c>
      <c r="B720" s="116"/>
      <c r="C720" s="115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Inicio]]=Z719,TAB_HISTORICO_MANUT[[#This Row],[Equipamento]]=AA719,TAB_HISTORICO_MANUT[[#This Row],[Descricao Despacho]]=AD719),0,1)))</f>
        <v>1</v>
      </c>
      <c r="O72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72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72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720" s="107">
        <f>IF($Q720="","",(TAB_HISTORICO_MANUT[[#This Row],[Hora Final]]-TAB_HISTORICO_MANUT[[#This Row],[Hora Inicio]])*24)</f>
        <v>0.55722222221083939</v>
      </c>
      <c r="S72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20" s="109" t="str">
        <f>IF(AND(TAB_HISTORICO_MANUT[[#This Row],[EXPURGO Mãe]]="SIM",TAB_HISTORICO_MANUT[[#This Row],[Tipo]]="MÃE"),"EXP.MAE",IF(TAB_HISTORICO_MANUT[[#This Row],[EXPURGO Mãe]]="NÃO","NÃO EXP.MAE",T719))</f>
        <v>NÃO EXP.MAE</v>
      </c>
      <c r="U72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20" s="110">
        <f>IF(TAB_HISTORICO_MANUT[[#This Row],[EXPURGO Filhas]]="SIM",MAX(TAB_HISTORICO_MANUT[[#This Row],[Hora Final]]-TAB_HISTORICO_MANUT[[#This Row],[Hora Inicio]],0),0)</f>
        <v>0</v>
      </c>
      <c r="W72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2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20" s="117">
        <v>46298.995821759258</v>
      </c>
      <c r="Z720" s="118">
        <v>46299.01903935185</v>
      </c>
      <c r="AA720" s="119" t="s">
        <v>208</v>
      </c>
      <c r="AB720" s="119"/>
      <c r="AC720" s="115" t="s">
        <v>205</v>
      </c>
      <c r="AD720" s="117" t="s">
        <v>145</v>
      </c>
      <c r="AE720" s="117" t="s">
        <v>173</v>
      </c>
      <c r="AF720" s="88" t="s">
        <v>210</v>
      </c>
      <c r="AG720" s="123">
        <f>IF(TAB_HISTORICO_MANUT[[#This Row],[Hora Inicio]]="","",MONTH(TAB_HISTORICO_MANUT[[#This Row],[Hora Inicio]]))</f>
        <v>10</v>
      </c>
      <c r="AH720" s="120" t="s">
        <v>346</v>
      </c>
      <c r="AI720" s="115" t="s">
        <v>21</v>
      </c>
      <c r="AJ720" s="115" t="s">
        <v>356</v>
      </c>
      <c r="AK720" s="115" t="s">
        <v>291</v>
      </c>
      <c r="AL720" s="115" t="s">
        <v>292</v>
      </c>
      <c r="AM720" s="121" t="s">
        <v>294</v>
      </c>
      <c r="AN720" s="115"/>
      <c r="AO720" s="115"/>
      <c r="AP720" s="115"/>
    </row>
    <row r="721" spans="1:42" ht="50.1" customHeight="1" x14ac:dyDescent="0.25">
      <c r="A721" s="115">
        <f>MONTH(TAB_HISTORICO_MANUT[[#This Row],[Hora Final]])-MONTH(TAB_HISTORICO_MANUT[[#This Row],[Hora Inicio]])</f>
        <v>0</v>
      </c>
      <c r="B721" s="116"/>
      <c r="C721" s="115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Inicio]]=Z720,TAB_HISTORICO_MANUT[[#This Row],[Equipamento]]=AA720,TAB_HISTORICO_MANUT[[#This Row],[Descricao Despacho]]=AD720),0,1)))</f>
        <v>1</v>
      </c>
      <c r="O72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72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2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21" s="107">
        <f>IF($Q721="","",(TAB_HISTORICO_MANUT[[#This Row],[Hora Final]]-TAB_HISTORICO_MANUT[[#This Row],[Hora Inicio]])*24)</f>
        <v>15.913888888782822</v>
      </c>
      <c r="S72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21" s="109" t="str">
        <f>IF(AND(TAB_HISTORICO_MANUT[[#This Row],[EXPURGO Mãe]]="SIM",TAB_HISTORICO_MANUT[[#This Row],[Tipo]]="MÃE"),"EXP.MAE",IF(TAB_HISTORICO_MANUT[[#This Row],[EXPURGO Mãe]]="NÃO","NÃO EXP.MAE",T720))</f>
        <v>NÃO EXP.MAE</v>
      </c>
      <c r="U72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21" s="110">
        <f>IF(TAB_HISTORICO_MANUT[[#This Row],[EXPURGO Filhas]]="SIM",MAX(TAB_HISTORICO_MANUT[[#This Row],[Hora Final]]-TAB_HISTORICO_MANUT[[#This Row],[Hora Inicio]],0),0)</f>
        <v>0</v>
      </c>
      <c r="W72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2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21" s="117">
        <v>46300.78670138889</v>
      </c>
      <c r="Z721" s="118">
        <v>46301.449780092589</v>
      </c>
      <c r="AA721" s="119" t="s">
        <v>208</v>
      </c>
      <c r="AB721" s="119"/>
      <c r="AC721" s="115" t="s">
        <v>204</v>
      </c>
      <c r="AD721" s="117" t="s">
        <v>144</v>
      </c>
      <c r="AE721" s="117" t="s">
        <v>172</v>
      </c>
      <c r="AF721" s="88" t="s">
        <v>210</v>
      </c>
      <c r="AG721" s="123">
        <f>IF(TAB_HISTORICO_MANUT[[#This Row],[Hora Inicio]]="","",MONTH(TAB_HISTORICO_MANUT[[#This Row],[Hora Inicio]]))</f>
        <v>10</v>
      </c>
      <c r="AH721" s="120" t="s">
        <v>1666</v>
      </c>
      <c r="AI721" s="115" t="s">
        <v>22</v>
      </c>
      <c r="AJ721" s="115" t="s">
        <v>1272</v>
      </c>
      <c r="AK721" s="115" t="s">
        <v>1272</v>
      </c>
      <c r="AL721" s="115" t="s">
        <v>1272</v>
      </c>
      <c r="AM721" s="121" t="s">
        <v>1272</v>
      </c>
      <c r="AN721" s="115"/>
      <c r="AO721" s="115"/>
      <c r="AP721" s="115"/>
    </row>
    <row r="722" spans="1:42" ht="50.1" customHeight="1" x14ac:dyDescent="0.25">
      <c r="A722" s="115">
        <f>MONTH(TAB_HISTORICO_MANUT[[#This Row],[Hora Final]])-MONTH(TAB_HISTORICO_MANUT[[#This Row],[Hora Inicio]])</f>
        <v>0</v>
      </c>
      <c r="B722" s="116"/>
      <c r="C722" s="115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Inicio]]=Z721,TAB_HISTORICO_MANUT[[#This Row],[Equipamento]]=AA721,TAB_HISTORICO_MANUT[[#This Row],[Descricao Despacho]]=AD721),0,1)))</f>
        <v>1</v>
      </c>
      <c r="O72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72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72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722" s="107">
        <f>IF($Q722="","",(TAB_HISTORICO_MANUT[[#This Row],[Hora Final]]-TAB_HISTORICO_MANUT[[#This Row],[Hora Inicio]])*24)</f>
        <v>0.82472222222713754</v>
      </c>
      <c r="S72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22" s="109" t="str">
        <f>IF(AND(TAB_HISTORICO_MANUT[[#This Row],[EXPURGO Mãe]]="SIM",TAB_HISTORICO_MANUT[[#This Row],[Tipo]]="MÃE"),"EXP.MAE",IF(TAB_HISTORICO_MANUT[[#This Row],[EXPURGO Mãe]]="NÃO","NÃO EXP.MAE",T721))</f>
        <v>NÃO EXP.MAE</v>
      </c>
      <c r="U72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22" s="110">
        <f>IF(TAB_HISTORICO_MANUT[[#This Row],[EXPURGO Filhas]]="SIM",MAX(TAB_HISTORICO_MANUT[[#This Row],[Hora Final]]-TAB_HISTORICO_MANUT[[#This Row],[Hora Inicio]],0),0)</f>
        <v>0</v>
      </c>
      <c r="W72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2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22" s="117">
        <v>46301.965624999997</v>
      </c>
      <c r="Z722" s="145">
        <v>46301.999988425923</v>
      </c>
      <c r="AA722" s="119" t="s">
        <v>208</v>
      </c>
      <c r="AB722" s="119"/>
      <c r="AC722" s="115" t="s">
        <v>301</v>
      </c>
      <c r="AD722" s="117" t="s">
        <v>146</v>
      </c>
      <c r="AE722" s="117" t="s">
        <v>310</v>
      </c>
      <c r="AF722" s="88" t="s">
        <v>210</v>
      </c>
      <c r="AG722" s="123">
        <f>IF(TAB_HISTORICO_MANUT[[#This Row],[Hora Inicio]]="","",MONTH(TAB_HISTORICO_MANUT[[#This Row],[Hora Inicio]]))</f>
        <v>10</v>
      </c>
      <c r="AH722" s="120" t="s">
        <v>1669</v>
      </c>
      <c r="AI722" s="115" t="s">
        <v>340</v>
      </c>
      <c r="AJ722" s="115" t="s">
        <v>341</v>
      </c>
      <c r="AK722" s="115" t="s">
        <v>1272</v>
      </c>
      <c r="AL722" s="115" t="s">
        <v>1272</v>
      </c>
      <c r="AM722" s="121" t="s">
        <v>1272</v>
      </c>
      <c r="AN722" s="115"/>
      <c r="AO722" s="115"/>
      <c r="AP722" s="115"/>
    </row>
    <row r="723" spans="1:42" ht="50.1" customHeight="1" x14ac:dyDescent="0.25">
      <c r="A723" s="43">
        <f>MONTH(TAB_HISTORICO_MANUT[[#This Row],[Hora Final]])-MONTH(TAB_HISTORICO_MANUT[[#This Row],[Hora Inicio]])</f>
        <v>0</v>
      </c>
      <c r="B723" s="42"/>
      <c r="C723" s="43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Inicio]]=Z722,TAB_HISTORICO_MANUT[[#This Row],[Equipamento]]=AA722,TAB_HISTORICO_MANUT[[#This Row],[Descricao Despacho]]=AD722),0,1)))</f>
        <v>1</v>
      </c>
      <c r="O72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AR CONDICIONADO</v>
      </c>
      <c r="P723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2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23" s="50">
        <f>IF($Q723="","",(TAB_HISTORICO_MANUT[[#This Row],[Hora Final]]-TAB_HISTORICO_MANUT[[#This Row],[Hora Inicio]])*24)</f>
        <v>2.4022222221828997</v>
      </c>
      <c r="S72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23" s="54" t="str">
        <f>IF(AND(TAB_HISTORICO_MANUT[[#This Row],[EXPURGO Mãe]]="SIM",TAB_HISTORICO_MANUT[[#This Row],[Tipo]]="MÃE"),"EXP.MAE",IF(TAB_HISTORICO_MANUT[[#This Row],[EXPURGO Mãe]]="NÃO","NÃO EXP.MAE",T722))</f>
        <v>NÃO EXP.MAE</v>
      </c>
      <c r="U72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23" s="56">
        <f>IF(TAB_HISTORICO_MANUT[[#This Row],[EXPURGO Filhas]]="SIM",MAX(TAB_HISTORICO_MANUT[[#This Row],[Hora Final]]-TAB_HISTORICO_MANUT[[#This Row],[Hora Inicio]],0),0)</f>
        <v>0</v>
      </c>
      <c r="W72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2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23" s="111">
        <v>46023</v>
      </c>
      <c r="Z723" s="47">
        <v>46023.100092592591</v>
      </c>
      <c r="AA723" s="48" t="s">
        <v>228</v>
      </c>
      <c r="AB723" s="48">
        <v>202601729918</v>
      </c>
      <c r="AC723" s="43" t="s">
        <v>204</v>
      </c>
      <c r="AD723" s="46" t="s">
        <v>144</v>
      </c>
      <c r="AE723" s="46" t="s">
        <v>172</v>
      </c>
      <c r="AF723" s="88" t="s">
        <v>210</v>
      </c>
      <c r="AG723" s="105">
        <f>IF(TAB_HISTORICO_MANUT[[#This Row],[Hora Inicio]]="","",MONTH(TAB_HISTORICO_MANUT[[#This Row],[Hora Inicio]]))</f>
        <v>1</v>
      </c>
      <c r="AH723" s="58" t="s">
        <v>261</v>
      </c>
      <c r="AI723" s="43" t="s">
        <v>37</v>
      </c>
      <c r="AJ723" s="43" t="s">
        <v>273</v>
      </c>
      <c r="AK723" s="43" t="s">
        <v>274</v>
      </c>
      <c r="AL723" s="43" t="s">
        <v>275</v>
      </c>
      <c r="AM723" s="114" t="s">
        <v>276</v>
      </c>
      <c r="AN723" s="43" t="s">
        <v>217</v>
      </c>
      <c r="AO723" s="43" t="s">
        <v>216</v>
      </c>
      <c r="AP723" s="43" t="s">
        <v>251</v>
      </c>
    </row>
    <row r="724" spans="1:42" ht="50.1" customHeight="1" x14ac:dyDescent="0.25">
      <c r="A724" s="115">
        <f>MONTH(TAB_HISTORICO_MANUT[[#This Row],[Hora Final]])-MONTH(TAB_HISTORICO_MANUT[[#This Row],[Hora Inicio]])</f>
        <v>0</v>
      </c>
      <c r="B724" s="116"/>
      <c r="C724" s="115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Inicio]]=Z723,TAB_HISTORICO_MANUT[[#This Row],[Equipamento]]=AA723,TAB_HISTORICO_MANUT[[#This Row],[Descricao Despacho]]=AD723),0,1)))</f>
        <v>1</v>
      </c>
      <c r="O72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72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2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24" s="107">
        <f>IF($Q724="","",(TAB_HISTORICO_MANUT[[#This Row],[Hora Final]]-TAB_HISTORICO_MANUT[[#This Row],[Hora Inicio]])*24)</f>
        <v>10.990833333344199</v>
      </c>
      <c r="S72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24" s="109" t="str">
        <f>IF(AND(TAB_HISTORICO_MANUT[[#This Row],[EXPURGO Mãe]]="SIM",TAB_HISTORICO_MANUT[[#This Row],[Tipo]]="MÃE"),"EXP.MAE",IF(TAB_HISTORICO_MANUT[[#This Row],[EXPURGO Mãe]]="NÃO","NÃO EXP.MAE",T723))</f>
        <v>NÃO EXP.MAE</v>
      </c>
      <c r="U72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24" s="110">
        <f>IF(TAB_HISTORICO_MANUT[[#This Row],[EXPURGO Filhas]]="SIM",MAX(TAB_HISTORICO_MANUT[[#This Row],[Hora Final]]-TAB_HISTORICO_MANUT[[#This Row],[Hora Inicio]],0),0)</f>
        <v>0</v>
      </c>
      <c r="W72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2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24" s="117">
        <v>46023.769594907404</v>
      </c>
      <c r="Z724" s="118">
        <v>46024.227546296293</v>
      </c>
      <c r="AA724" s="119" t="s">
        <v>228</v>
      </c>
      <c r="AB724" s="119">
        <v>202601729918</v>
      </c>
      <c r="AC724" s="115" t="s">
        <v>204</v>
      </c>
      <c r="AD724" s="117" t="s">
        <v>144</v>
      </c>
      <c r="AE724" s="117" t="s">
        <v>172</v>
      </c>
      <c r="AF724" s="88" t="s">
        <v>210</v>
      </c>
      <c r="AG724" s="123">
        <f>IF(TAB_HISTORICO_MANUT[[#This Row],[Hora Inicio]]="","",MONTH(TAB_HISTORICO_MANUT[[#This Row],[Hora Inicio]]))</f>
        <v>1</v>
      </c>
      <c r="AH724" s="120" t="s">
        <v>262</v>
      </c>
      <c r="AI724" s="115" t="s">
        <v>23</v>
      </c>
      <c r="AJ724" s="115" t="s">
        <v>277</v>
      </c>
      <c r="AK724" s="115" t="s">
        <v>278</v>
      </c>
      <c r="AL724" s="115" t="s">
        <v>279</v>
      </c>
      <c r="AM724" s="121" t="s">
        <v>280</v>
      </c>
      <c r="AN724" s="115" t="s">
        <v>217</v>
      </c>
      <c r="AO724" s="115" t="s">
        <v>230</v>
      </c>
      <c r="AP724" s="115" t="s">
        <v>218</v>
      </c>
    </row>
    <row r="725" spans="1:42" ht="50.1" customHeight="1" x14ac:dyDescent="0.25">
      <c r="A725" s="115">
        <f>MONTH(TAB_HISTORICO_MANUT[[#This Row],[Hora Final]])-MONTH(TAB_HISTORICO_MANUT[[#This Row],[Hora Inicio]])</f>
        <v>0</v>
      </c>
      <c r="B725" s="116"/>
      <c r="C725" s="115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Inicio]]=Z724,TAB_HISTORICO_MANUT[[#This Row],[Equipamento]]=AA724,TAB_HISTORICO_MANUT[[#This Row],[Descricao Despacho]]=AD724),0,1)))</f>
        <v>1</v>
      </c>
      <c r="O72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72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2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25" s="107">
        <f>IF($Q725="","",(TAB_HISTORICO_MANUT[[#This Row],[Hora Final]]-TAB_HISTORICO_MANUT[[#This Row],[Hora Inicio]])*24)</f>
        <v>1.7813888890086673</v>
      </c>
      <c r="S72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25" s="109" t="str">
        <f>IF(AND(TAB_HISTORICO_MANUT[[#This Row],[EXPURGO Mãe]]="SIM",TAB_HISTORICO_MANUT[[#This Row],[Tipo]]="MÃE"),"EXP.MAE",IF(TAB_HISTORICO_MANUT[[#This Row],[EXPURGO Mãe]]="NÃO","NÃO EXP.MAE",T724))</f>
        <v>NÃO EXP.MAE</v>
      </c>
      <c r="U72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25" s="110">
        <f>IF(TAB_HISTORICO_MANUT[[#This Row],[EXPURGO Filhas]]="SIM",MAX(TAB_HISTORICO_MANUT[[#This Row],[Hora Final]]-TAB_HISTORICO_MANUT[[#This Row],[Hora Inicio]],0),0)</f>
        <v>0</v>
      </c>
      <c r="W72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2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25" s="117">
        <v>46024.260324074072</v>
      </c>
      <c r="Z725" s="118">
        <v>46024.334548611114</v>
      </c>
      <c r="AA725" s="119" t="s">
        <v>228</v>
      </c>
      <c r="AB725" s="119">
        <v>202601729918</v>
      </c>
      <c r="AC725" s="115" t="s">
        <v>204</v>
      </c>
      <c r="AD725" s="117" t="s">
        <v>144</v>
      </c>
      <c r="AE725" s="117" t="s">
        <v>172</v>
      </c>
      <c r="AF725" s="88" t="s">
        <v>210</v>
      </c>
      <c r="AG725" s="123">
        <f>IF(TAB_HISTORICO_MANUT[[#This Row],[Hora Inicio]]="","",MONTH(TAB_HISTORICO_MANUT[[#This Row],[Hora Inicio]]))</f>
        <v>1</v>
      </c>
      <c r="AH725" s="120" t="s">
        <v>263</v>
      </c>
      <c r="AI725" s="115" t="s">
        <v>22</v>
      </c>
      <c r="AJ725" s="115" t="s">
        <v>30</v>
      </c>
      <c r="AK725" s="115" t="s">
        <v>281</v>
      </c>
      <c r="AL725" s="115" t="s">
        <v>282</v>
      </c>
      <c r="AM725" s="121" t="s">
        <v>283</v>
      </c>
      <c r="AN725" s="115" t="s">
        <v>215</v>
      </c>
      <c r="AO725" s="115" t="s">
        <v>222</v>
      </c>
      <c r="AP725" s="115" t="s">
        <v>252</v>
      </c>
    </row>
    <row r="726" spans="1:42" ht="50.1" customHeight="1" x14ac:dyDescent="0.25">
      <c r="A726" s="115">
        <f>MONTH(TAB_HISTORICO_MANUT[[#This Row],[Hora Final]])-MONTH(TAB_HISTORICO_MANUT[[#This Row],[Hora Inicio]])</f>
        <v>0</v>
      </c>
      <c r="B726" s="116"/>
      <c r="C726" s="115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Inicio]]=Z725,TAB_HISTORICO_MANUT[[#This Row],[Equipamento]]=AA725,TAB_HISTORICO_MANUT[[#This Row],[Descricao Despacho]]=AD725),0,1)))</f>
        <v>1</v>
      </c>
      <c r="O72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72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2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26" s="107">
        <f>IF($Q726="","",(TAB_HISTORICO_MANUT[[#This Row],[Hora Final]]-TAB_HISTORICO_MANUT[[#This Row],[Hora Inicio]])*24)</f>
        <v>1.8713888889178634</v>
      </c>
      <c r="S72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26" s="109" t="str">
        <f>IF(AND(TAB_HISTORICO_MANUT[[#This Row],[EXPURGO Mãe]]="SIM",TAB_HISTORICO_MANUT[[#This Row],[Tipo]]="MÃE"),"EXP.MAE",IF(TAB_HISTORICO_MANUT[[#This Row],[EXPURGO Mãe]]="NÃO","NÃO EXP.MAE",T725))</f>
        <v>NÃO EXP.MAE</v>
      </c>
      <c r="U72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26" s="110">
        <f>IF(TAB_HISTORICO_MANUT[[#This Row],[EXPURGO Filhas]]="SIM",MAX(TAB_HISTORICO_MANUT[[#This Row],[Hora Final]]-TAB_HISTORICO_MANUT[[#This Row],[Hora Inicio]],0),0)</f>
        <v>0</v>
      </c>
      <c r="W72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2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26" s="117">
        <v>46025.396226851852</v>
      </c>
      <c r="Z726" s="118">
        <v>46025.47420138889</v>
      </c>
      <c r="AA726" s="119" t="s">
        <v>228</v>
      </c>
      <c r="AB726" s="119">
        <v>202601729918</v>
      </c>
      <c r="AC726" s="115" t="s">
        <v>204</v>
      </c>
      <c r="AD726" s="117" t="s">
        <v>144</v>
      </c>
      <c r="AE726" s="117" t="s">
        <v>172</v>
      </c>
      <c r="AF726" s="88" t="s">
        <v>210</v>
      </c>
      <c r="AG726" s="123">
        <f>IF(TAB_HISTORICO_MANUT[[#This Row],[Hora Inicio]]="","",MONTH(TAB_HISTORICO_MANUT[[#This Row],[Hora Inicio]]))</f>
        <v>1</v>
      </c>
      <c r="AH726" s="120" t="s">
        <v>264</v>
      </c>
      <c r="AI726" s="115" t="s">
        <v>22</v>
      </c>
      <c r="AJ726" s="115" t="s">
        <v>284</v>
      </c>
      <c r="AK726" s="115" t="s">
        <v>285</v>
      </c>
      <c r="AL726" s="115" t="s">
        <v>286</v>
      </c>
      <c r="AM726" s="121" t="s">
        <v>283</v>
      </c>
      <c r="AN726" s="115" t="s">
        <v>215</v>
      </c>
      <c r="AO726" s="115" t="s">
        <v>224</v>
      </c>
      <c r="AP726" s="115" t="s">
        <v>253</v>
      </c>
    </row>
    <row r="727" spans="1:42" ht="50.1" customHeight="1" x14ac:dyDescent="0.25">
      <c r="A727" s="115">
        <f>MONTH(TAB_HISTORICO_MANUT[[#This Row],[Hora Final]])-MONTH(TAB_HISTORICO_MANUT[[#This Row],[Hora Inicio]])</f>
        <v>0</v>
      </c>
      <c r="B727" s="116"/>
      <c r="C727" s="115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Inicio]]=Z726,TAB_HISTORICO_MANUT[[#This Row],[Equipamento]]=AA726,TAB_HISTORICO_MANUT[[#This Row],[Descricao Despacho]]=AD726),0,1)))</f>
        <v>1</v>
      </c>
      <c r="O72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72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2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27" s="107">
        <f>IF($Q727="","",(TAB_HISTORICO_MANUT[[#This Row],[Hora Final]]-TAB_HISTORICO_MANUT[[#This Row],[Hora Inicio]])*24)</f>
        <v>9.3247222223435529</v>
      </c>
      <c r="S72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27" s="109" t="str">
        <f>IF(AND(TAB_HISTORICO_MANUT[[#This Row],[EXPURGO Mãe]]="SIM",TAB_HISTORICO_MANUT[[#This Row],[Tipo]]="MÃE"),"EXP.MAE",IF(TAB_HISTORICO_MANUT[[#This Row],[EXPURGO Mãe]]="NÃO","NÃO EXP.MAE",T726))</f>
        <v>NÃO EXP.MAE</v>
      </c>
      <c r="U72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27" s="110">
        <f>IF(TAB_HISTORICO_MANUT[[#This Row],[EXPURGO Filhas]]="SIM",MAX(TAB_HISTORICO_MANUT[[#This Row],[Hora Final]]-TAB_HISTORICO_MANUT[[#This Row],[Hora Inicio]],0),0)</f>
        <v>0</v>
      </c>
      <c r="W72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2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27" s="117">
        <v>46025.794062499997</v>
      </c>
      <c r="Z727" s="118">
        <v>46026.182592592595</v>
      </c>
      <c r="AA727" s="119" t="s">
        <v>228</v>
      </c>
      <c r="AB727" s="119">
        <v>202601729918</v>
      </c>
      <c r="AC727" s="115" t="s">
        <v>204</v>
      </c>
      <c r="AD727" s="117" t="s">
        <v>144</v>
      </c>
      <c r="AE727" s="117" t="s">
        <v>172</v>
      </c>
      <c r="AF727" s="88" t="s">
        <v>210</v>
      </c>
      <c r="AG727" s="123">
        <f>IF(TAB_HISTORICO_MANUT[[#This Row],[Hora Inicio]]="","",MONTH(TAB_HISTORICO_MANUT[[#This Row],[Hora Inicio]]))</f>
        <v>1</v>
      </c>
      <c r="AH727" s="120" t="s">
        <v>266</v>
      </c>
      <c r="AI727" s="115" t="s">
        <v>22</v>
      </c>
      <c r="AJ727" s="115" t="s">
        <v>23</v>
      </c>
      <c r="AK727" s="115" t="s">
        <v>288</v>
      </c>
      <c r="AL727" s="115" t="s">
        <v>275</v>
      </c>
      <c r="AM727" s="121" t="s">
        <v>276</v>
      </c>
      <c r="AN727" s="115" t="s">
        <v>215</v>
      </c>
      <c r="AO727" s="115" t="s">
        <v>224</v>
      </c>
      <c r="AP727" s="115" t="s">
        <v>225</v>
      </c>
    </row>
    <row r="728" spans="1:42" ht="50.1" customHeight="1" x14ac:dyDescent="0.25">
      <c r="A728" s="115">
        <f>MONTH(TAB_HISTORICO_MANUT[[#This Row],[Hora Final]])-MONTH(TAB_HISTORICO_MANUT[[#This Row],[Hora Inicio]])</f>
        <v>0</v>
      </c>
      <c r="B728" s="116"/>
      <c r="C728" s="115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Inicio]]=Z727,TAB_HISTORICO_MANUT[[#This Row],[Equipamento]]=AA727,TAB_HISTORICO_MANUT[[#This Row],[Descricao Despacho]]=AD727),0,1)))</f>
        <v>1</v>
      </c>
      <c r="O72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72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2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728" s="107">
        <f>IF($Q728="","",(TAB_HISTORICO_MANUT[[#This Row],[Hora Final]]-TAB_HISTORICO_MANUT[[#This Row],[Hora Inicio]])*24)</f>
        <v>2.2511111111962236</v>
      </c>
      <c r="S72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728" s="109" t="str">
        <f>IF(AND(TAB_HISTORICO_MANUT[[#This Row],[EXPURGO Mãe]]="SIM",TAB_HISTORICO_MANUT[[#This Row],[Tipo]]="MÃE"),"EXP.MAE",IF(TAB_HISTORICO_MANUT[[#This Row],[EXPURGO Mãe]]="NÃO","NÃO EXP.MAE",T727))</f>
        <v>EXP.MAE</v>
      </c>
      <c r="U72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28" s="110">
        <f>IF(TAB_HISTORICO_MANUT[[#This Row],[EXPURGO Filhas]]="SIM",MAX(TAB_HISTORICO_MANUT[[#This Row],[Hora Final]]-TAB_HISTORICO_MANUT[[#This Row],[Hora Inicio]],0),0)</f>
        <v>0</v>
      </c>
      <c r="W72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2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28" s="117">
        <v>46026.388969907406</v>
      </c>
      <c r="Z728" s="118">
        <v>46026.482766203706</v>
      </c>
      <c r="AA728" s="119" t="s">
        <v>228</v>
      </c>
      <c r="AB728" s="119">
        <v>202601729918</v>
      </c>
      <c r="AC728" s="115" t="s">
        <v>212</v>
      </c>
      <c r="AD728" s="117" t="s">
        <v>144</v>
      </c>
      <c r="AE728" s="117" t="s">
        <v>214</v>
      </c>
      <c r="AF728" s="88" t="s">
        <v>210</v>
      </c>
      <c r="AG728" s="123">
        <f>IF(TAB_HISTORICO_MANUT[[#This Row],[Hora Inicio]]="","",MONTH(TAB_HISTORICO_MANUT[[#This Row],[Hora Inicio]]))</f>
        <v>1</v>
      </c>
      <c r="AH728" s="120" t="s">
        <v>267</v>
      </c>
      <c r="AI728" s="115" t="s">
        <v>82</v>
      </c>
      <c r="AJ728" s="115" t="s">
        <v>289</v>
      </c>
      <c r="AK728" s="115" t="s">
        <v>290</v>
      </c>
      <c r="AL728" s="115" t="s">
        <v>275</v>
      </c>
      <c r="AM728" s="121" t="s">
        <v>276</v>
      </c>
      <c r="AN728" s="115" t="s">
        <v>226</v>
      </c>
      <c r="AO728" s="115" t="s">
        <v>227</v>
      </c>
      <c r="AP728" s="115" t="s">
        <v>236</v>
      </c>
    </row>
    <row r="729" spans="1:42" ht="50.1" customHeight="1" x14ac:dyDescent="0.25">
      <c r="A729" s="115">
        <f>MONTH(TAB_HISTORICO_MANUT[[#This Row],[Hora Final]])-MONTH(TAB_HISTORICO_MANUT[[#This Row],[Hora Inicio]])</f>
        <v>0</v>
      </c>
      <c r="B729" s="116"/>
      <c r="C729" s="115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Inicio]]=Z728,TAB_HISTORICO_MANUT[[#This Row],[Equipamento]]=AA728,TAB_HISTORICO_MANUT[[#This Row],[Descricao Despacho]]=AD728),0,1)))</f>
        <v>1</v>
      </c>
      <c r="O72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72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72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729" s="107">
        <f>IF($Q729="","",(TAB_HISTORICO_MANUT[[#This Row],[Hora Final]]-TAB_HISTORICO_MANUT[[#This Row],[Hora Inicio]])*24)</f>
        <v>1.2597222222830169</v>
      </c>
      <c r="S72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29" s="109" t="str">
        <f>IF(AND(TAB_HISTORICO_MANUT[[#This Row],[EXPURGO Mãe]]="SIM",TAB_HISTORICO_MANUT[[#This Row],[Tipo]]="MÃE"),"EXP.MAE",IF(TAB_HISTORICO_MANUT[[#This Row],[EXPURGO Mãe]]="NÃO","NÃO EXP.MAE",T728))</f>
        <v>NÃO EXP.MAE</v>
      </c>
      <c r="U72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29" s="110">
        <f>IF(TAB_HISTORICO_MANUT[[#This Row],[EXPURGO Filhas]]="SIM",MAX(TAB_HISTORICO_MANUT[[#This Row],[Hora Final]]-TAB_HISTORICO_MANUT[[#This Row],[Hora Inicio]],0),0)</f>
        <v>0</v>
      </c>
      <c r="W72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2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29" s="117">
        <v>46027.427407407406</v>
      </c>
      <c r="Z729" s="118">
        <v>46027.479895833334</v>
      </c>
      <c r="AA729" s="119" t="s">
        <v>228</v>
      </c>
      <c r="AB729" s="119">
        <v>202601729918</v>
      </c>
      <c r="AC729" s="115" t="s">
        <v>363</v>
      </c>
      <c r="AD729" s="117" t="s">
        <v>145</v>
      </c>
      <c r="AE729" s="117" t="s">
        <v>359</v>
      </c>
      <c r="AF729" s="88" t="s">
        <v>210</v>
      </c>
      <c r="AG729" s="123">
        <f>IF(TAB_HISTORICO_MANUT[[#This Row],[Hora Inicio]]="","",MONTH(TAB_HISTORICO_MANUT[[#This Row],[Hora Inicio]]))</f>
        <v>1</v>
      </c>
      <c r="AH729" s="120"/>
      <c r="AI729" s="115" t="s">
        <v>25</v>
      </c>
      <c r="AJ729" s="115"/>
      <c r="AK729" s="115"/>
      <c r="AL729" s="115"/>
      <c r="AM729" s="121"/>
      <c r="AN729" s="115"/>
      <c r="AO729" s="115"/>
      <c r="AP729" s="115"/>
    </row>
    <row r="730" spans="1:42" ht="50.1" customHeight="1" x14ac:dyDescent="0.25">
      <c r="A730" s="115">
        <f>MONTH(TAB_HISTORICO_MANUT[[#This Row],[Hora Final]])-MONTH(TAB_HISTORICO_MANUT[[#This Row],[Hora Inicio]])</f>
        <v>0</v>
      </c>
      <c r="B730" s="116"/>
      <c r="C730" s="115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Inicio]]=Z729,TAB_HISTORICO_MANUT[[#This Row],[Equipamento]]=AA729,TAB_HISTORICO_MANUT[[#This Row],[Descricao Despacho]]=AD729),0,1)))</f>
        <v>1</v>
      </c>
      <c r="O73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73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3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730" s="107">
        <f>IF($Q730="","",(TAB_HISTORICO_MANUT[[#This Row],[Hora Final]]-TAB_HISTORICO_MANUT[[#This Row],[Hora Inicio]])*24)</f>
        <v>2.5733333333046176</v>
      </c>
      <c r="S73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30" s="109" t="str">
        <f>IF(AND(TAB_HISTORICO_MANUT[[#This Row],[EXPURGO Mãe]]="SIM",TAB_HISTORICO_MANUT[[#This Row],[Tipo]]="MÃE"),"EXP.MAE",IF(TAB_HISTORICO_MANUT[[#This Row],[EXPURGO Mãe]]="NÃO","NÃO EXP.MAE",T729))</f>
        <v>NÃO EXP.MAE</v>
      </c>
      <c r="U73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30" s="110">
        <f>IF(TAB_HISTORICO_MANUT[[#This Row],[EXPURGO Filhas]]="SIM",MAX(TAB_HISTORICO_MANUT[[#This Row],[Hora Final]]-TAB_HISTORICO_MANUT[[#This Row],[Hora Inicio]],0),0)</f>
        <v>0</v>
      </c>
      <c r="W73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3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30" s="117">
        <v>46027.772962962961</v>
      </c>
      <c r="Z730" s="118">
        <v>46027.880185185182</v>
      </c>
      <c r="AA730" s="119" t="s">
        <v>228</v>
      </c>
      <c r="AB730" s="119">
        <v>202601729918</v>
      </c>
      <c r="AC730" s="115" t="s">
        <v>211</v>
      </c>
      <c r="AD730" s="117" t="s">
        <v>144</v>
      </c>
      <c r="AE730" s="117" t="s">
        <v>213</v>
      </c>
      <c r="AF730" s="88" t="s">
        <v>210</v>
      </c>
      <c r="AG730" s="123">
        <f>IF(TAB_HISTORICO_MANUT[[#This Row],[Hora Inicio]]="","",MONTH(TAB_HISTORICO_MANUT[[#This Row],[Hora Inicio]]))</f>
        <v>1</v>
      </c>
      <c r="AH730" s="120" t="s">
        <v>270</v>
      </c>
      <c r="AI730" s="115" t="s">
        <v>21</v>
      </c>
      <c r="AJ730" s="115" t="s">
        <v>298</v>
      </c>
      <c r="AK730" s="115" t="s">
        <v>291</v>
      </c>
      <c r="AL730" s="115" t="s">
        <v>292</v>
      </c>
      <c r="AM730" s="121" t="s">
        <v>294</v>
      </c>
      <c r="AN730" s="115" t="s">
        <v>229</v>
      </c>
      <c r="AO730" s="115" t="s">
        <v>239</v>
      </c>
      <c r="AP730" s="115" t="s">
        <v>242</v>
      </c>
    </row>
    <row r="731" spans="1:42" ht="50.1" customHeight="1" x14ac:dyDescent="0.25">
      <c r="A731" s="115">
        <f>MONTH(TAB_HISTORICO_MANUT[[#This Row],[Hora Final]])-MONTH(TAB_HISTORICO_MANUT[[#This Row],[Hora Inicio]])</f>
        <v>0</v>
      </c>
      <c r="B731" s="116"/>
      <c r="C731" s="115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 t="s">
        <v>98</v>
      </c>
      <c r="N731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Inicio]]=Z730,TAB_HISTORICO_MANUT[[#This Row],[Equipamento]]=AA730,TAB_HISTORICO_MANUT[[#This Row],[Descricao Despacho]]=AD730),0,1)))</f>
        <v/>
      </c>
      <c r="O73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731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73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731" s="107" t="str">
        <f>IF($Q731="","",(TAB_HISTORICO_MANUT[[#This Row],[Hora Final]]-TAB_HISTORICO_MANUT[[#This Row],[Hora Inicio]])*24)</f>
        <v/>
      </c>
      <c r="S73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731" s="109" t="str">
        <f>IF(AND(TAB_HISTORICO_MANUT[[#This Row],[EXPURGO Mãe]]="SIM",TAB_HISTORICO_MANUT[[#This Row],[Tipo]]="MÃE"),"EXP.MAE",IF(TAB_HISTORICO_MANUT[[#This Row],[EXPURGO Mãe]]="NÃO","NÃO EXP.MAE",T730))</f>
        <v>NÃO EXP.MAE</v>
      </c>
      <c r="U73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731" s="110">
        <f>IF(TAB_HISTORICO_MANUT[[#This Row],[EXPURGO Filhas]]="SIM",MAX(TAB_HISTORICO_MANUT[[#This Row],[Hora Final]]-TAB_HISTORICO_MANUT[[#This Row],[Hora Inicio]],0),0)</f>
        <v>8.4920000001147855E-2</v>
      </c>
      <c r="W73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3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31" s="117">
        <v>46027.795265185181</v>
      </c>
      <c r="Z731" s="118">
        <v>46027.880185185182</v>
      </c>
      <c r="AA731" s="119" t="s">
        <v>228</v>
      </c>
      <c r="AB731" s="119">
        <v>202601729918</v>
      </c>
      <c r="AC731" s="115" t="s">
        <v>211</v>
      </c>
      <c r="AD731" s="117" t="s">
        <v>144</v>
      </c>
      <c r="AE731" s="117" t="s">
        <v>213</v>
      </c>
      <c r="AF731" s="88" t="s">
        <v>767</v>
      </c>
      <c r="AG731" s="123">
        <f>IF(TAB_HISTORICO_MANUT[[#This Row],[Hora Inicio]]="","",MONTH(TAB_HISTORICO_MANUT[[#This Row],[Hora Inicio]]))</f>
        <v>1</v>
      </c>
      <c r="AH731" s="120" t="s">
        <v>270</v>
      </c>
      <c r="AI731" s="115" t="s">
        <v>21</v>
      </c>
      <c r="AJ731" s="115" t="s">
        <v>298</v>
      </c>
      <c r="AK731" s="115" t="s">
        <v>291</v>
      </c>
      <c r="AL731" s="115" t="s">
        <v>292</v>
      </c>
      <c r="AM731" s="121" t="s">
        <v>294</v>
      </c>
      <c r="AN731" s="115" t="s">
        <v>229</v>
      </c>
      <c r="AO731" s="115" t="s">
        <v>239</v>
      </c>
      <c r="AP731" s="115" t="s">
        <v>242</v>
      </c>
    </row>
    <row r="732" spans="1:42" ht="50.1" customHeight="1" x14ac:dyDescent="0.25">
      <c r="A732" s="43">
        <f>MONTH(TAB_HISTORICO_MANUT[[#This Row],[Hora Final]])-MONTH(TAB_HISTORICO_MANUT[[#This Row],[Hora Inicio]])</f>
        <v>0</v>
      </c>
      <c r="B732" s="42"/>
      <c r="C732" s="43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Inicio]]=Z731,TAB_HISTORICO_MANUT[[#This Row],[Equipamento]]=AA731,TAB_HISTORICO_MANUT[[#This Row],[Descricao Despacho]]=AD731),0,1)))</f>
        <v>1</v>
      </c>
      <c r="O73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732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73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732" s="50">
        <f>IF($Q732="","",(TAB_HISTORICO_MANUT[[#This Row],[Hora Final]]-TAB_HISTORICO_MANUT[[#This Row],[Hora Inicio]])*24)</f>
        <v>1.0419444444123656</v>
      </c>
      <c r="S73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32" s="54" t="str">
        <f>IF(AND(TAB_HISTORICO_MANUT[[#This Row],[EXPURGO Mãe]]="SIM",TAB_HISTORICO_MANUT[[#This Row],[Tipo]]="MÃE"),"EXP.MAE",IF(TAB_HISTORICO_MANUT[[#This Row],[EXPURGO Mãe]]="NÃO","NÃO EXP.MAE",T731))</f>
        <v>NÃO EXP.MAE</v>
      </c>
      <c r="U73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32" s="56">
        <f>IF(TAB_HISTORICO_MANUT[[#This Row],[EXPURGO Filhas]]="SIM",MAX(TAB_HISTORICO_MANUT[[#This Row],[Hora Final]]-TAB_HISTORICO_MANUT[[#This Row],[Hora Inicio]],0),0)</f>
        <v>0</v>
      </c>
      <c r="W73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3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32" s="46">
        <v>46031.959537037037</v>
      </c>
      <c r="Z732" s="47">
        <v>46032.002951388888</v>
      </c>
      <c r="AA732" s="48" t="s">
        <v>228</v>
      </c>
      <c r="AB732" s="48">
        <v>202601729918</v>
      </c>
      <c r="AC732" s="43" t="s">
        <v>205</v>
      </c>
      <c r="AD732" s="46" t="s">
        <v>145</v>
      </c>
      <c r="AE732" s="46" t="s">
        <v>173</v>
      </c>
      <c r="AF732" s="88" t="s">
        <v>210</v>
      </c>
      <c r="AG732" s="105">
        <f>IF(TAB_HISTORICO_MANUT[[#This Row],[Hora Inicio]]="","",MONTH(TAB_HISTORICO_MANUT[[#This Row],[Hora Inicio]]))</f>
        <v>1</v>
      </c>
      <c r="AH732" s="58" t="s">
        <v>326</v>
      </c>
      <c r="AI732" s="43" t="s">
        <v>21</v>
      </c>
      <c r="AJ732" s="43"/>
      <c r="AK732" s="43"/>
      <c r="AL732" s="43"/>
      <c r="AM732" s="114"/>
      <c r="AN732" s="43"/>
      <c r="AO732" s="43"/>
      <c r="AP732" s="43"/>
    </row>
    <row r="733" spans="1:42" ht="50.1" customHeight="1" x14ac:dyDescent="0.25">
      <c r="A733" s="115">
        <f>MONTH(TAB_HISTORICO_MANUT[[#This Row],[Hora Final]])-MONTH(TAB_HISTORICO_MANUT[[#This Row],[Hora Inicio]])</f>
        <v>0</v>
      </c>
      <c r="B733" s="116"/>
      <c r="C733" s="115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 t="s">
        <v>98</v>
      </c>
      <c r="N733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Inicio]]=Z732,TAB_HISTORICO_MANUT[[#This Row],[Equipamento]]=AA732,TAB_HISTORICO_MANUT[[#This Row],[Descricao Despacho]]=AD732),0,1)))</f>
        <v/>
      </c>
      <c r="O73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733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73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733" s="107" t="str">
        <f>IF($Q733="","",(TAB_HISTORICO_MANUT[[#This Row],[Hora Final]]-TAB_HISTORICO_MANUT[[#This Row],[Hora Inicio]])*24)</f>
        <v/>
      </c>
      <c r="S73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733" s="109" t="str">
        <f>IF(AND(TAB_HISTORICO_MANUT[[#This Row],[EXPURGO Mãe]]="SIM",TAB_HISTORICO_MANUT[[#This Row],[Tipo]]="MÃE"),"EXP.MAE",IF(TAB_HISTORICO_MANUT[[#This Row],[EXPURGO Mãe]]="NÃO","NÃO EXP.MAE",T732))</f>
        <v>NÃO EXP.MAE</v>
      </c>
      <c r="U73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733" s="110">
        <f>IF(TAB_HISTORICO_MANUT[[#This Row],[EXPURGO Filhas]]="SIM",MAX(TAB_HISTORICO_MANUT[[#This Row],[Hora Final]]-TAB_HISTORICO_MANUT[[#This Row],[Hora Inicio]],0),0)</f>
        <v>3.4384166669042315E-2</v>
      </c>
      <c r="W73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3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33" s="117">
        <v>46031.968567222219</v>
      </c>
      <c r="Z733" s="118">
        <v>46032.002951388888</v>
      </c>
      <c r="AA733" s="119" t="s">
        <v>228</v>
      </c>
      <c r="AB733" s="119">
        <v>202601729918</v>
      </c>
      <c r="AC733" s="115" t="s">
        <v>205</v>
      </c>
      <c r="AD733" s="117" t="s">
        <v>145</v>
      </c>
      <c r="AE733" s="117" t="s">
        <v>173</v>
      </c>
      <c r="AF733" s="88" t="s">
        <v>767</v>
      </c>
      <c r="AG733" s="123">
        <f>IF(TAB_HISTORICO_MANUT[[#This Row],[Hora Inicio]]="","",MONTH(TAB_HISTORICO_MANUT[[#This Row],[Hora Inicio]]))</f>
        <v>1</v>
      </c>
      <c r="AH733" s="120" t="s">
        <v>326</v>
      </c>
      <c r="AI733" s="115" t="s">
        <v>21</v>
      </c>
      <c r="AJ733" s="115"/>
      <c r="AK733" s="115"/>
      <c r="AL733" s="115"/>
      <c r="AM733" s="121"/>
      <c r="AN733" s="115"/>
      <c r="AO733" s="115"/>
      <c r="AP733" s="115"/>
    </row>
    <row r="734" spans="1:42" ht="50.1" customHeight="1" x14ac:dyDescent="0.25">
      <c r="A734" s="115">
        <f>MONTH(TAB_HISTORICO_MANUT[[#This Row],[Hora Final]])-MONTH(TAB_HISTORICO_MANUT[[#This Row],[Hora Inicio]])</f>
        <v>0</v>
      </c>
      <c r="B734" s="116"/>
      <c r="C734" s="115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Inicio]]=Z733,TAB_HISTORICO_MANUT[[#This Row],[Equipamento]]=AA733,TAB_HISTORICO_MANUT[[#This Row],[Descricao Despacho]]=AD733),0,1)))</f>
        <v>1</v>
      </c>
      <c r="O73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73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3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34" s="107">
        <f>IF($Q734="","",(TAB_HISTORICO_MANUT[[#This Row],[Hora Final]]-TAB_HISTORICO_MANUT[[#This Row],[Hora Inicio]])*24)</f>
        <v>0.63555555569473654</v>
      </c>
      <c r="S73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34" s="109" t="str">
        <f>IF(AND(TAB_HISTORICO_MANUT[[#This Row],[EXPURGO Mãe]]="SIM",TAB_HISTORICO_MANUT[[#This Row],[Tipo]]="MÃE"),"EXP.MAE",IF(TAB_HISTORICO_MANUT[[#This Row],[EXPURGO Mãe]]="NÃO","NÃO EXP.MAE",T733))</f>
        <v>NÃO EXP.MAE</v>
      </c>
      <c r="U73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34" s="110">
        <f>IF(TAB_HISTORICO_MANUT[[#This Row],[EXPURGO Filhas]]="SIM",MAX(TAB_HISTORICO_MANUT[[#This Row],[Hora Final]]-TAB_HISTORICO_MANUT[[#This Row],[Hora Inicio]],0),0)</f>
        <v>0</v>
      </c>
      <c r="W73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3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34" s="117">
        <v>46033.348344907405</v>
      </c>
      <c r="Z734" s="118">
        <v>46033.374826388892</v>
      </c>
      <c r="AA734" s="119" t="s">
        <v>228</v>
      </c>
      <c r="AB734" s="119">
        <v>202601729918</v>
      </c>
      <c r="AC734" s="115" t="s">
        <v>204</v>
      </c>
      <c r="AD734" s="117" t="s">
        <v>144</v>
      </c>
      <c r="AE734" s="117" t="s">
        <v>172</v>
      </c>
      <c r="AF734" s="88" t="s">
        <v>210</v>
      </c>
      <c r="AG734" s="123">
        <f>IF(TAB_HISTORICO_MANUT[[#This Row],[Hora Inicio]]="","",MONTH(TAB_HISTORICO_MANUT[[#This Row],[Hora Inicio]]))</f>
        <v>1</v>
      </c>
      <c r="AH734" s="120" t="s">
        <v>328</v>
      </c>
      <c r="AI734" s="115" t="s">
        <v>28</v>
      </c>
      <c r="AJ734" s="115" t="s">
        <v>338</v>
      </c>
      <c r="AK734" s="115" t="s">
        <v>339</v>
      </c>
      <c r="AL734" s="115" t="s">
        <v>275</v>
      </c>
      <c r="AM734" s="121" t="s">
        <v>276</v>
      </c>
      <c r="AN734" s="115" t="s">
        <v>217</v>
      </c>
      <c r="AO734" s="115" t="s">
        <v>316</v>
      </c>
      <c r="AP734" s="115" t="s">
        <v>319</v>
      </c>
    </row>
    <row r="735" spans="1:42" ht="50.1" customHeight="1" x14ac:dyDescent="0.25">
      <c r="A735" s="43">
        <f>MONTH(TAB_HISTORICO_MANUT[[#This Row],[Hora Final]])-MONTH(TAB_HISTORICO_MANUT[[#This Row],[Hora Inicio]])</f>
        <v>0</v>
      </c>
      <c r="B735" s="42"/>
      <c r="C735" s="43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Inicio]]=Z734,TAB_HISTORICO_MANUT[[#This Row],[Equipamento]]=AA734,TAB_HISTORICO_MANUT[[#This Row],[Descricao Despacho]]=AD734),0,1)))</f>
        <v>1</v>
      </c>
      <c r="O73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735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73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735" s="50">
        <f>IF($Q735="","",(TAB_HISTORICO_MANUT[[#This Row],[Hora Final]]-TAB_HISTORICO_MANUT[[#This Row],[Hora Inicio]])*24)</f>
        <v>1.8863888889318332</v>
      </c>
      <c r="S73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35" s="54" t="str">
        <f>IF(AND(TAB_HISTORICO_MANUT[[#This Row],[EXPURGO Mãe]]="SIM",TAB_HISTORICO_MANUT[[#This Row],[Tipo]]="MÃE"),"EXP.MAE",IF(TAB_HISTORICO_MANUT[[#This Row],[EXPURGO Mãe]]="NÃO","NÃO EXP.MAE",T734))</f>
        <v>NÃO EXP.MAE</v>
      </c>
      <c r="U73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35" s="56">
        <f>IF(TAB_HISTORICO_MANUT[[#This Row],[EXPURGO Filhas]]="SIM",MAX(TAB_HISTORICO_MANUT[[#This Row],[Hora Final]]-TAB_HISTORICO_MANUT[[#This Row],[Hora Inicio]],0),0)</f>
        <v>0</v>
      </c>
      <c r="W73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3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35" s="46">
        <v>46036.822743055556</v>
      </c>
      <c r="Z735" s="47">
        <v>46036.901342592595</v>
      </c>
      <c r="AA735" s="48" t="s">
        <v>228</v>
      </c>
      <c r="AB735" s="48">
        <v>202601729918</v>
      </c>
      <c r="AC735" s="43" t="s">
        <v>205</v>
      </c>
      <c r="AD735" s="46" t="s">
        <v>145</v>
      </c>
      <c r="AE735" s="46" t="s">
        <v>173</v>
      </c>
      <c r="AF735" s="88" t="s">
        <v>210</v>
      </c>
      <c r="AG735" s="105">
        <f>IF(TAB_HISTORICO_MANUT[[#This Row],[Hora Inicio]]="","",MONTH(TAB_HISTORICO_MANUT[[#This Row],[Hora Inicio]]))</f>
        <v>1</v>
      </c>
      <c r="AH735" s="58" t="s">
        <v>346</v>
      </c>
      <c r="AI735" s="43" t="s">
        <v>21</v>
      </c>
      <c r="AJ735" s="43" t="s">
        <v>356</v>
      </c>
      <c r="AK735" s="43" t="s">
        <v>291</v>
      </c>
      <c r="AL735" s="43" t="s">
        <v>292</v>
      </c>
      <c r="AM735" s="114" t="s">
        <v>294</v>
      </c>
      <c r="AN735" s="43"/>
      <c r="AO735" s="43"/>
      <c r="AP735" s="43"/>
    </row>
    <row r="736" spans="1:42" ht="50.1" customHeight="1" x14ac:dyDescent="0.25">
      <c r="A736" s="115">
        <f>MONTH(TAB_HISTORICO_MANUT[[#This Row],[Hora Final]])-MONTH(TAB_HISTORICO_MANUT[[#This Row],[Hora Inicio]])</f>
        <v>0</v>
      </c>
      <c r="B736" s="116"/>
      <c r="C736" s="115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 t="s">
        <v>98</v>
      </c>
      <c r="N736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Inicio]]=Z735,TAB_HISTORICO_MANUT[[#This Row],[Equipamento]]=AA735,TAB_HISTORICO_MANUT[[#This Row],[Descricao Despacho]]=AD735),0,1)))</f>
        <v/>
      </c>
      <c r="O73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736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73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736" s="107" t="str">
        <f>IF($Q736="","",(TAB_HISTORICO_MANUT[[#This Row],[Hora Final]]-TAB_HISTORICO_MANUT[[#This Row],[Hora Inicio]])*24)</f>
        <v/>
      </c>
      <c r="S73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736" s="109" t="str">
        <f>IF(AND(TAB_HISTORICO_MANUT[[#This Row],[EXPURGO Mãe]]="SIM",TAB_HISTORICO_MANUT[[#This Row],[Tipo]]="MÃE"),"EXP.MAE",IF(TAB_HISTORICO_MANUT[[#This Row],[EXPURGO Mãe]]="NÃO","NÃO EXP.MAE",T735))</f>
        <v>NÃO EXP.MAE</v>
      </c>
      <c r="U73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736" s="110">
        <f>IF(TAB_HISTORICO_MANUT[[#This Row],[EXPURGO Filhas]]="SIM",MAX(TAB_HISTORICO_MANUT[[#This Row],[Hora Final]]-TAB_HISTORICO_MANUT[[#This Row],[Hora Inicio]],0),0)</f>
        <v>6.225083333265502E-2</v>
      </c>
      <c r="W73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3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36" s="117">
        <v>46036.839091759262</v>
      </c>
      <c r="Z736" s="118">
        <v>46036.901342592595</v>
      </c>
      <c r="AA736" s="119" t="s">
        <v>228</v>
      </c>
      <c r="AB736" s="119">
        <v>202601729918</v>
      </c>
      <c r="AC736" s="115" t="s">
        <v>205</v>
      </c>
      <c r="AD736" s="117" t="s">
        <v>145</v>
      </c>
      <c r="AE736" s="117" t="s">
        <v>173</v>
      </c>
      <c r="AF736" s="88" t="s">
        <v>767</v>
      </c>
      <c r="AG736" s="123">
        <f>IF(TAB_HISTORICO_MANUT[[#This Row],[Hora Inicio]]="","",MONTH(TAB_HISTORICO_MANUT[[#This Row],[Hora Inicio]]))</f>
        <v>1</v>
      </c>
      <c r="AH736" s="120" t="s">
        <v>346</v>
      </c>
      <c r="AI736" s="115" t="s">
        <v>21</v>
      </c>
      <c r="AJ736" s="115" t="s">
        <v>356</v>
      </c>
      <c r="AK736" s="115" t="s">
        <v>291</v>
      </c>
      <c r="AL736" s="115" t="s">
        <v>292</v>
      </c>
      <c r="AM736" s="121" t="s">
        <v>294</v>
      </c>
      <c r="AN736" s="115"/>
      <c r="AO736" s="115"/>
      <c r="AP736" s="115"/>
    </row>
    <row r="737" spans="1:42" ht="50.1" customHeight="1" x14ac:dyDescent="0.25">
      <c r="A737" s="43">
        <f>MONTH(TAB_HISTORICO_MANUT[[#This Row],[Hora Final]])-MONTH(TAB_HISTORICO_MANUT[[#This Row],[Hora Inicio]])</f>
        <v>0</v>
      </c>
      <c r="B737" s="42"/>
      <c r="C737" s="43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Inicio]]=Z736,TAB_HISTORICO_MANUT[[#This Row],[Equipamento]]=AA736,TAB_HISTORICO_MANUT[[#This Row],[Descricao Despacho]]=AD736),0,1)))</f>
        <v>1</v>
      </c>
      <c r="O73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737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3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737" s="50">
        <f>IF($Q737="","",(TAB_HISTORICO_MANUT[[#This Row],[Hora Final]]-TAB_HISTORICO_MANUT[[#This Row],[Hora Inicio]])*24)</f>
        <v>18.146111111040227</v>
      </c>
      <c r="S73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37" s="54" t="str">
        <f>IF(AND(TAB_HISTORICO_MANUT[[#This Row],[EXPURGO Mãe]]="SIM",TAB_HISTORICO_MANUT[[#This Row],[Tipo]]="MÃE"),"EXP.MAE",IF(TAB_HISTORICO_MANUT[[#This Row],[EXPURGO Mãe]]="NÃO","NÃO EXP.MAE",T736))</f>
        <v>NÃO EXP.MAE</v>
      </c>
      <c r="U73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37" s="56">
        <f>IF(TAB_HISTORICO_MANUT[[#This Row],[EXPURGO Filhas]]="SIM",MAX(TAB_HISTORICO_MANUT[[#This Row],[Hora Final]]-TAB_HISTORICO_MANUT[[#This Row],[Hora Inicio]],0),0)</f>
        <v>0</v>
      </c>
      <c r="W73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3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37" s="46">
        <v>46037.044398148151</v>
      </c>
      <c r="Z737" s="47">
        <v>46037.800486111111</v>
      </c>
      <c r="AA737" s="48" t="s">
        <v>228</v>
      </c>
      <c r="AB737" s="48">
        <v>202601729918</v>
      </c>
      <c r="AC737" s="43" t="s">
        <v>211</v>
      </c>
      <c r="AD737" s="46" t="s">
        <v>144</v>
      </c>
      <c r="AE737" s="46" t="s">
        <v>213</v>
      </c>
      <c r="AF737" s="88" t="s">
        <v>210</v>
      </c>
      <c r="AG737" s="105">
        <f>IF(TAB_HISTORICO_MANUT[[#This Row],[Hora Inicio]]="","",MONTH(TAB_HISTORICO_MANUT[[#This Row],[Hora Inicio]]))</f>
        <v>1</v>
      </c>
      <c r="AH737" s="58" t="s">
        <v>347</v>
      </c>
      <c r="AI737" s="43" t="s">
        <v>21</v>
      </c>
      <c r="AJ737" s="43" t="s">
        <v>357</v>
      </c>
      <c r="AK737" s="43" t="s">
        <v>291</v>
      </c>
      <c r="AL737" s="43" t="s">
        <v>292</v>
      </c>
      <c r="AM737" s="114" t="s">
        <v>294</v>
      </c>
      <c r="AN737" s="43" t="s">
        <v>229</v>
      </c>
      <c r="AO737" s="43" t="s">
        <v>256</v>
      </c>
      <c r="AP737" s="43" t="s">
        <v>242</v>
      </c>
    </row>
    <row r="738" spans="1:42" ht="50.1" customHeight="1" x14ac:dyDescent="0.25">
      <c r="A738" s="115">
        <f>MONTH(TAB_HISTORICO_MANUT[[#This Row],[Hora Final]])-MONTH(TAB_HISTORICO_MANUT[[#This Row],[Hora Inicio]])</f>
        <v>0</v>
      </c>
      <c r="B738" s="116"/>
      <c r="C738" s="115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 t="s">
        <v>98</v>
      </c>
      <c r="N738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Inicio]]=Z737,TAB_HISTORICO_MANUT[[#This Row],[Equipamento]]=AA737,TAB_HISTORICO_MANUT[[#This Row],[Descricao Despacho]]=AD737),0,1)))</f>
        <v/>
      </c>
      <c r="O73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738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73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738" s="107" t="str">
        <f>IF($Q738="","",(TAB_HISTORICO_MANUT[[#This Row],[Hora Final]]-TAB_HISTORICO_MANUT[[#This Row],[Hora Inicio]])*24)</f>
        <v/>
      </c>
      <c r="S73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738" s="109" t="str">
        <f>IF(AND(TAB_HISTORICO_MANUT[[#This Row],[EXPURGO Mãe]]="SIM",TAB_HISTORICO_MANUT[[#This Row],[Tipo]]="MÃE"),"EXP.MAE",IF(TAB_HISTORICO_MANUT[[#This Row],[EXPURGO Mãe]]="NÃO","NÃO EXP.MAE",T737))</f>
        <v>NÃO EXP.MAE</v>
      </c>
      <c r="U73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738" s="110">
        <f>IF(TAB_HISTORICO_MANUT[[#This Row],[EXPURGO Filhas]]="SIM",MAX(TAB_HISTORICO_MANUT[[#This Row],[Hora Final]]-TAB_HISTORICO_MANUT[[#This Row],[Hora Inicio]],0),0)</f>
        <v>0.59882166666648118</v>
      </c>
      <c r="W73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3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38" s="117">
        <v>46037.201664444445</v>
      </c>
      <c r="Z738" s="118">
        <v>46037.800486111111</v>
      </c>
      <c r="AA738" s="119" t="s">
        <v>228</v>
      </c>
      <c r="AB738" s="119">
        <v>202601729918</v>
      </c>
      <c r="AC738" s="115" t="s">
        <v>211</v>
      </c>
      <c r="AD738" s="117" t="s">
        <v>144</v>
      </c>
      <c r="AE738" s="117" t="s">
        <v>213</v>
      </c>
      <c r="AF738" s="88" t="s">
        <v>767</v>
      </c>
      <c r="AG738" s="123">
        <f>IF(TAB_HISTORICO_MANUT[[#This Row],[Hora Inicio]]="","",MONTH(TAB_HISTORICO_MANUT[[#This Row],[Hora Inicio]]))</f>
        <v>1</v>
      </c>
      <c r="AH738" s="120" t="s">
        <v>347</v>
      </c>
      <c r="AI738" s="115" t="s">
        <v>21</v>
      </c>
      <c r="AJ738" s="115" t="s">
        <v>357</v>
      </c>
      <c r="AK738" s="115" t="s">
        <v>291</v>
      </c>
      <c r="AL738" s="115" t="s">
        <v>292</v>
      </c>
      <c r="AM738" s="121" t="s">
        <v>294</v>
      </c>
      <c r="AN738" s="115" t="s">
        <v>229</v>
      </c>
      <c r="AO738" s="115" t="s">
        <v>256</v>
      </c>
      <c r="AP738" s="115" t="s">
        <v>242</v>
      </c>
    </row>
    <row r="739" spans="1:42" ht="50.1" customHeight="1" x14ac:dyDescent="0.25">
      <c r="A739" s="115">
        <f>MONTH(TAB_HISTORICO_MANUT[[#This Row],[Hora Final]])-MONTH(TAB_HISTORICO_MANUT[[#This Row],[Hora Inicio]])</f>
        <v>0</v>
      </c>
      <c r="B739" s="116"/>
      <c r="C739" s="115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Inicio]]=Z738,TAB_HISTORICO_MANUT[[#This Row],[Equipamento]]=AA738,TAB_HISTORICO_MANUT[[#This Row],[Descricao Despacho]]=AD738),0,1)))</f>
        <v>1</v>
      </c>
      <c r="O73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73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3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39" s="107">
        <f>IF($Q739="","",(TAB_HISTORICO_MANUT[[#This Row],[Hora Final]]-TAB_HISTORICO_MANUT[[#This Row],[Hora Inicio]])*24)</f>
        <v>0.83611111098434776</v>
      </c>
      <c r="S73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39" s="109" t="str">
        <f>IF(AND(TAB_HISTORICO_MANUT[[#This Row],[EXPURGO Mãe]]="SIM",TAB_HISTORICO_MANUT[[#This Row],[Tipo]]="MÃE"),"EXP.MAE",IF(TAB_HISTORICO_MANUT[[#This Row],[EXPURGO Mãe]]="NÃO","NÃO EXP.MAE",T738))</f>
        <v>NÃO EXP.MAE</v>
      </c>
      <c r="U73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39" s="110">
        <f>IF(TAB_HISTORICO_MANUT[[#This Row],[EXPURGO Filhas]]="SIM",MAX(TAB_HISTORICO_MANUT[[#This Row],[Hora Final]]-TAB_HISTORICO_MANUT[[#This Row],[Hora Inicio]],0),0)</f>
        <v>0</v>
      </c>
      <c r="W73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3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39" s="117">
        <v>46039.928703703707</v>
      </c>
      <c r="Z739" s="118">
        <v>46039.963541666664</v>
      </c>
      <c r="AA739" s="119" t="s">
        <v>228</v>
      </c>
      <c r="AB739" s="119">
        <v>202601729918</v>
      </c>
      <c r="AC739" s="115" t="s">
        <v>204</v>
      </c>
      <c r="AD739" s="117" t="s">
        <v>144</v>
      </c>
      <c r="AE739" s="117" t="s">
        <v>172</v>
      </c>
      <c r="AF739" s="88" t="s">
        <v>210</v>
      </c>
      <c r="AG739" s="123">
        <f>IF(TAB_HISTORICO_MANUT[[#This Row],[Hora Inicio]]="","",MONTH(TAB_HISTORICO_MANUT[[#This Row],[Hora Inicio]]))</f>
        <v>1</v>
      </c>
      <c r="AH739" s="120" t="s">
        <v>379</v>
      </c>
      <c r="AI739" s="115" t="s">
        <v>24</v>
      </c>
      <c r="AJ739" s="115" t="s">
        <v>423</v>
      </c>
      <c r="AK739" s="115" t="s">
        <v>422</v>
      </c>
      <c r="AL739" s="115" t="s">
        <v>279</v>
      </c>
      <c r="AM739" s="121" t="s">
        <v>280</v>
      </c>
      <c r="AN739" s="115" t="s">
        <v>217</v>
      </c>
      <c r="AO739" s="115" t="s">
        <v>402</v>
      </c>
      <c r="AP739" s="115" t="s">
        <v>403</v>
      </c>
    </row>
    <row r="740" spans="1:42" ht="50.1" customHeight="1" x14ac:dyDescent="0.25">
      <c r="A740" s="115">
        <f>MONTH(TAB_HISTORICO_MANUT[[#This Row],[Hora Final]])-MONTH(TAB_HISTORICO_MANUT[[#This Row],[Hora Inicio]])</f>
        <v>0</v>
      </c>
      <c r="B740" s="116"/>
      <c r="C740" s="115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 t="s">
        <v>99</v>
      </c>
      <c r="N74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Inicio]]=Z739,TAB_HISTORICO_MANUT[[#This Row],[Equipamento]]=AA739,TAB_HISTORICO_MANUT[[#This Row],[Descricao Despacho]]=AD739),0,1)))</f>
        <v>1</v>
      </c>
      <c r="O74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74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74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740" s="107">
        <f>IF($Q740="","",(TAB_HISTORICO_MANUT[[#This Row],[Hora Final]]-TAB_HISTORICO_MANUT[[#This Row],[Hora Inicio]])*24)</f>
        <v>0.68194444442633539</v>
      </c>
      <c r="S74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40" s="109" t="str">
        <f>IF(AND(TAB_HISTORICO_MANUT[[#This Row],[EXPURGO Mãe]]="SIM",TAB_HISTORICO_MANUT[[#This Row],[Tipo]]="MÃE"),"EXP.MAE",IF(TAB_HISTORICO_MANUT[[#This Row],[EXPURGO Mãe]]="NÃO","NÃO EXP.MAE",T739))</f>
        <v>NÃO EXP.MAE</v>
      </c>
      <c r="U74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40" s="110">
        <f>IF(TAB_HISTORICO_MANUT[[#This Row],[EXPURGO Filhas]]="SIM",MAX(TAB_HISTORICO_MANUT[[#This Row],[Hora Final]]-TAB_HISTORICO_MANUT[[#This Row],[Hora Inicio]],0),0)</f>
        <v>0</v>
      </c>
      <c r="W74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4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40" s="117">
        <v>46041.11886574074</v>
      </c>
      <c r="Z740" s="118">
        <v>46041.147280092591</v>
      </c>
      <c r="AA740" s="119" t="s">
        <v>228</v>
      </c>
      <c r="AB740" s="119">
        <v>202601729918</v>
      </c>
      <c r="AC740" s="115" t="s">
        <v>300</v>
      </c>
      <c r="AD740" s="117" t="s">
        <v>146</v>
      </c>
      <c r="AE740" s="117" t="s">
        <v>178</v>
      </c>
      <c r="AF740" s="88" t="s">
        <v>210</v>
      </c>
      <c r="AG740" s="123">
        <f>IF(TAB_HISTORICO_MANUT[[#This Row],[Hora Inicio]]="","",MONTH(TAB_HISTORICO_MANUT[[#This Row],[Hora Inicio]]))</f>
        <v>1</v>
      </c>
      <c r="AH740" s="120" t="s">
        <v>438</v>
      </c>
      <c r="AI740" s="115" t="s">
        <v>340</v>
      </c>
      <c r="AJ740" s="115" t="s">
        <v>436</v>
      </c>
      <c r="AK740" s="115"/>
      <c r="AL740" s="115"/>
      <c r="AM740" s="121"/>
      <c r="AN740" s="115"/>
      <c r="AO740" s="115"/>
      <c r="AP740" s="115"/>
    </row>
    <row r="741" spans="1:42" ht="50.1" customHeight="1" x14ac:dyDescent="0.25">
      <c r="A741" s="115">
        <f>MONTH(TAB_HISTORICO_MANUT[[#This Row],[Hora Final]])-MONTH(TAB_HISTORICO_MANUT[[#This Row],[Hora Inicio]])</f>
        <v>0</v>
      </c>
      <c r="B741" s="116"/>
      <c r="C741" s="115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Inicio]]=Z740,TAB_HISTORICO_MANUT[[#This Row],[Equipamento]]=AA740,TAB_HISTORICO_MANUT[[#This Row],[Descricao Despacho]]=AD740),0,1)))</f>
        <v>0</v>
      </c>
      <c r="O74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74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74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741" s="107">
        <f>IF($Q741="","",(TAB_HISTORICO_MANUT[[#This Row],[Hora Final]]-TAB_HISTORICO_MANUT[[#This Row],[Hora Inicio]])*24)</f>
        <v>8.903333333437331</v>
      </c>
      <c r="S74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41" s="109" t="str">
        <f>IF(AND(TAB_HISTORICO_MANUT[[#This Row],[EXPURGO Mãe]]="SIM",TAB_HISTORICO_MANUT[[#This Row],[Tipo]]="MÃE"),"EXP.MAE",IF(TAB_HISTORICO_MANUT[[#This Row],[EXPURGO Mãe]]="NÃO","NÃO EXP.MAE",T740))</f>
        <v>NÃO EXP.MAE</v>
      </c>
      <c r="U74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41" s="110">
        <f>IF(TAB_HISTORICO_MANUT[[#This Row],[EXPURGO Filhas]]="SIM",MAX(TAB_HISTORICO_MANUT[[#This Row],[Hora Final]]-TAB_HISTORICO_MANUT[[#This Row],[Hora Inicio]],0),0)</f>
        <v>0</v>
      </c>
      <c r="W74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4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41" s="117">
        <v>46041.147280092591</v>
      </c>
      <c r="Z741" s="118">
        <v>46041.518252314818</v>
      </c>
      <c r="AA741" s="119" t="s">
        <v>228</v>
      </c>
      <c r="AB741" s="119">
        <v>202601729918</v>
      </c>
      <c r="AC741" s="115" t="s">
        <v>301</v>
      </c>
      <c r="AD741" s="117" t="s">
        <v>146</v>
      </c>
      <c r="AE741" s="117" t="s">
        <v>310</v>
      </c>
      <c r="AF741" s="88" t="s">
        <v>210</v>
      </c>
      <c r="AG741" s="123">
        <f>IF(TAB_HISTORICO_MANUT[[#This Row],[Hora Inicio]]="","",MONTH(TAB_HISTORICO_MANUT[[#This Row],[Hora Inicio]]))</f>
        <v>1</v>
      </c>
      <c r="AH741" s="120" t="s">
        <v>438</v>
      </c>
      <c r="AI741" s="115" t="s">
        <v>340</v>
      </c>
      <c r="AJ741" s="115" t="s">
        <v>436</v>
      </c>
      <c r="AK741" s="115"/>
      <c r="AL741" s="115"/>
      <c r="AM741" s="121"/>
      <c r="AN741" s="115"/>
      <c r="AO741" s="115"/>
      <c r="AP741" s="115"/>
    </row>
    <row r="742" spans="1:42" ht="50.1" customHeight="1" x14ac:dyDescent="0.25">
      <c r="A742" s="43">
        <f>MONTH(TAB_HISTORICO_MANUT[[#This Row],[Hora Final]])-MONTH(TAB_HISTORICO_MANUT[[#This Row],[Hora Inicio]])</f>
        <v>0</v>
      </c>
      <c r="B742" s="42"/>
      <c r="C742" s="43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Inicio]]=Z741,TAB_HISTORICO_MANUT[[#This Row],[Equipamento]]=AA741,TAB_HISTORICO_MANUT[[#This Row],[Descricao Despacho]]=AD741),0,1)))</f>
        <v>1</v>
      </c>
      <c r="O74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ALERTA DE FADIGA</v>
      </c>
      <c r="P742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74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742" s="50">
        <f>IF($Q742="","",(TAB_HISTORICO_MANUT[[#This Row],[Hora Final]]-TAB_HISTORICO_MANUT[[#This Row],[Hora Inicio]])*24)</f>
        <v>1.6680555555503815</v>
      </c>
      <c r="S74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742" s="54" t="str">
        <f>IF(AND(TAB_HISTORICO_MANUT[[#This Row],[EXPURGO Mãe]]="SIM",TAB_HISTORICO_MANUT[[#This Row],[Tipo]]="MÃE"),"EXP.MAE",IF(TAB_HISTORICO_MANUT[[#This Row],[EXPURGO Mãe]]="NÃO","NÃO EXP.MAE",T741))</f>
        <v>EXP.MAE</v>
      </c>
      <c r="U74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42" s="56">
        <f>IF(TAB_HISTORICO_MANUT[[#This Row],[EXPURGO Filhas]]="SIM",MAX(TAB_HISTORICO_MANUT[[#This Row],[Hora Final]]-TAB_HISTORICO_MANUT[[#This Row],[Hora Inicio]],0),0)</f>
        <v>0</v>
      </c>
      <c r="W74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4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42" s="46">
        <v>46043.859768518516</v>
      </c>
      <c r="Z742" s="47">
        <v>46043.929270833331</v>
      </c>
      <c r="AA742" s="48" t="s">
        <v>228</v>
      </c>
      <c r="AB742" s="48">
        <v>202601729918</v>
      </c>
      <c r="AC742" s="43" t="s">
        <v>364</v>
      </c>
      <c r="AD742" s="46" t="s">
        <v>145</v>
      </c>
      <c r="AE742" s="46" t="s">
        <v>360</v>
      </c>
      <c r="AF742" s="88" t="s">
        <v>210</v>
      </c>
      <c r="AG742" s="105">
        <f>IF(TAB_HISTORICO_MANUT[[#This Row],[Hora Inicio]]="","",MONTH(TAB_HISTORICO_MANUT[[#This Row],[Hora Inicio]]))</f>
        <v>1</v>
      </c>
      <c r="AH742" s="58" t="s">
        <v>385</v>
      </c>
      <c r="AI742" s="43" t="s">
        <v>87</v>
      </c>
      <c r="AJ742" s="43"/>
      <c r="AK742" s="43"/>
      <c r="AL742" s="43"/>
      <c r="AM742" s="114"/>
      <c r="AN742" s="43"/>
      <c r="AO742" s="43"/>
      <c r="AP742" s="43"/>
    </row>
    <row r="743" spans="1:42" ht="50.1" customHeight="1" x14ac:dyDescent="0.25">
      <c r="A743" s="43">
        <f>MONTH(TAB_HISTORICO_MANUT[[#This Row],[Hora Final]])-MONTH(TAB_HISTORICO_MANUT[[#This Row],[Hora Inicio]])</f>
        <v>0</v>
      </c>
      <c r="B743" s="42"/>
      <c r="C743" s="43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Inicio]]=Z742,TAB_HISTORICO_MANUT[[#This Row],[Equipamento]]=AA742,TAB_HISTORICO_MANUT[[#This Row],[Descricao Despacho]]=AD742),0,1)))</f>
        <v>1</v>
      </c>
      <c r="O74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ALERTA DE FADIGA</v>
      </c>
      <c r="P743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74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743" s="50">
        <f>IF($Q743="","",(TAB_HISTORICO_MANUT[[#This Row],[Hora Final]]-TAB_HISTORICO_MANUT[[#This Row],[Hora Inicio]])*24)</f>
        <v>1.2302777777658775</v>
      </c>
      <c r="S74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743" s="54" t="str">
        <f>IF(AND(TAB_HISTORICO_MANUT[[#This Row],[EXPURGO Mãe]]="SIM",TAB_HISTORICO_MANUT[[#This Row],[Tipo]]="MÃE"),"EXP.MAE",IF(TAB_HISTORICO_MANUT[[#This Row],[EXPURGO Mãe]]="NÃO","NÃO EXP.MAE",T742))</f>
        <v>EXP.MAE</v>
      </c>
      <c r="U74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43" s="56">
        <f>IF(TAB_HISTORICO_MANUT[[#This Row],[EXPURGO Filhas]]="SIM",MAX(TAB_HISTORICO_MANUT[[#This Row],[Hora Final]]-TAB_HISTORICO_MANUT[[#This Row],[Hora Inicio]],0),0)</f>
        <v>0</v>
      </c>
      <c r="W74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4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43" s="46">
        <v>46044.354432870372</v>
      </c>
      <c r="Z743" s="47">
        <v>46044.405694444446</v>
      </c>
      <c r="AA743" s="48" t="s">
        <v>228</v>
      </c>
      <c r="AB743" s="48">
        <v>202601729918</v>
      </c>
      <c r="AC743" s="43" t="s">
        <v>364</v>
      </c>
      <c r="AD743" s="46" t="s">
        <v>145</v>
      </c>
      <c r="AE743" s="46" t="s">
        <v>360</v>
      </c>
      <c r="AF743" s="88" t="s">
        <v>210</v>
      </c>
      <c r="AG743" s="105">
        <f>IF(TAB_HISTORICO_MANUT[[#This Row],[Hora Inicio]]="","",MONTH(TAB_HISTORICO_MANUT[[#This Row],[Hora Inicio]]))</f>
        <v>1</v>
      </c>
      <c r="AH743" s="58" t="s">
        <v>386</v>
      </c>
      <c r="AI743" s="43" t="s">
        <v>87</v>
      </c>
      <c r="AJ743" s="43"/>
      <c r="AK743" s="43"/>
      <c r="AL743" s="43"/>
      <c r="AM743" s="114"/>
      <c r="AN743" s="43"/>
      <c r="AO743" s="43"/>
      <c r="AP743" s="43"/>
    </row>
    <row r="744" spans="1:42" ht="50.1" customHeight="1" x14ac:dyDescent="0.25">
      <c r="A744" s="43">
        <f>MONTH(TAB_HISTORICO_MANUT[[#This Row],[Hora Final]])-MONTH(TAB_HISTORICO_MANUT[[#This Row],[Hora Inicio]])</f>
        <v>0</v>
      </c>
      <c r="B744" s="42"/>
      <c r="C744" s="43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Inicio]]=Z743,TAB_HISTORICO_MANUT[[#This Row],[Equipamento]]=AA743,TAB_HISTORICO_MANUT[[#This Row],[Descricao Despacho]]=AD743),0,1)))</f>
        <v>1</v>
      </c>
      <c r="O74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ALERTA DE FADIGA</v>
      </c>
      <c r="P744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74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744" s="50">
        <f>IF($Q744="","",(TAB_HISTORICO_MANUT[[#This Row],[Hora Final]]-TAB_HISTORICO_MANUT[[#This Row],[Hora Inicio]])*24)</f>
        <v>0.77444444457069039</v>
      </c>
      <c r="S74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744" s="54" t="str">
        <f>IF(AND(TAB_HISTORICO_MANUT[[#This Row],[EXPURGO Mãe]]="SIM",TAB_HISTORICO_MANUT[[#This Row],[Tipo]]="MÃE"),"EXP.MAE",IF(TAB_HISTORICO_MANUT[[#This Row],[EXPURGO Mãe]]="NÃO","NÃO EXP.MAE",T743))</f>
        <v>EXP.MAE</v>
      </c>
      <c r="U74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44" s="56">
        <f>IF(TAB_HISTORICO_MANUT[[#This Row],[EXPURGO Filhas]]="SIM",MAX(TAB_HISTORICO_MANUT[[#This Row],[Hora Final]]-TAB_HISTORICO_MANUT[[#This Row],[Hora Inicio]],0),0)</f>
        <v>0</v>
      </c>
      <c r="W74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4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44" s="46">
        <v>46044.768784722219</v>
      </c>
      <c r="Z744" s="47">
        <v>46044.801053240742</v>
      </c>
      <c r="AA744" s="48" t="s">
        <v>228</v>
      </c>
      <c r="AB744" s="48">
        <v>202601729918</v>
      </c>
      <c r="AC744" s="43" t="s">
        <v>364</v>
      </c>
      <c r="AD744" s="46" t="s">
        <v>145</v>
      </c>
      <c r="AE744" s="46" t="s">
        <v>360</v>
      </c>
      <c r="AF744" s="88" t="s">
        <v>210</v>
      </c>
      <c r="AG744" s="105">
        <f>IF(TAB_HISTORICO_MANUT[[#This Row],[Hora Inicio]]="","",MONTH(TAB_HISTORICO_MANUT[[#This Row],[Hora Inicio]]))</f>
        <v>1</v>
      </c>
      <c r="AH744" s="58" t="s">
        <v>387</v>
      </c>
      <c r="AI744" s="43" t="s">
        <v>87</v>
      </c>
      <c r="AJ744" s="43"/>
      <c r="AK744" s="43"/>
      <c r="AL744" s="43"/>
      <c r="AM744" s="114"/>
      <c r="AN744" s="43"/>
      <c r="AO744" s="43"/>
      <c r="AP744" s="43"/>
    </row>
    <row r="745" spans="1:42" ht="50.1" customHeight="1" x14ac:dyDescent="0.25">
      <c r="A745" s="43">
        <f>MONTH(TAB_HISTORICO_MANUT[[#This Row],[Hora Final]])-MONTH(TAB_HISTORICO_MANUT[[#This Row],[Hora Inicio]])</f>
        <v>0</v>
      </c>
      <c r="B745" s="42"/>
      <c r="C745" s="43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Inicio]]=Z744,TAB_HISTORICO_MANUT[[#This Row],[Equipamento]]=AA744,TAB_HISTORICO_MANUT[[#This Row],[Descricao Despacho]]=AD744),0,1)))</f>
        <v>1</v>
      </c>
      <c r="O74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745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4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45" s="50">
        <f>IF($Q745="","",(TAB_HISTORICO_MANUT[[#This Row],[Hora Final]]-TAB_HISTORICO_MANUT[[#This Row],[Hora Inicio]])*24)</f>
        <v>8.5297222223016433</v>
      </c>
      <c r="S74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45" s="54" t="str">
        <f>IF(AND(TAB_HISTORICO_MANUT[[#This Row],[EXPURGO Mãe]]="SIM",TAB_HISTORICO_MANUT[[#This Row],[Tipo]]="MÃE"),"EXP.MAE",IF(TAB_HISTORICO_MANUT[[#This Row],[EXPURGO Mãe]]="NÃO","NÃO EXP.MAE",T744))</f>
        <v>NÃO EXP.MAE</v>
      </c>
      <c r="U74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45" s="56">
        <f>IF(TAB_HISTORICO_MANUT[[#This Row],[EXPURGO Filhas]]="SIM",MAX(TAB_HISTORICO_MANUT[[#This Row],[Hora Final]]-TAB_HISTORICO_MANUT[[#This Row],[Hora Inicio]],0),0)</f>
        <v>0</v>
      </c>
      <c r="W74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4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45" s="46">
        <v>46045.851180555554</v>
      </c>
      <c r="Z745" s="47">
        <v>46046.206585648149</v>
      </c>
      <c r="AA745" s="48" t="s">
        <v>228</v>
      </c>
      <c r="AB745" s="48">
        <v>202601729918</v>
      </c>
      <c r="AC745" s="43" t="s">
        <v>204</v>
      </c>
      <c r="AD745" s="46" t="s">
        <v>144</v>
      </c>
      <c r="AE745" s="46" t="s">
        <v>172</v>
      </c>
      <c r="AF745" s="88" t="s">
        <v>210</v>
      </c>
      <c r="AG745" s="105">
        <f>IF(TAB_HISTORICO_MANUT[[#This Row],[Hora Inicio]]="","",MONTH(TAB_HISTORICO_MANUT[[#This Row],[Hora Inicio]]))</f>
        <v>1</v>
      </c>
      <c r="AH745" s="58" t="s">
        <v>389</v>
      </c>
      <c r="AI745" s="43" t="s">
        <v>22</v>
      </c>
      <c r="AJ745" s="43" t="s">
        <v>23</v>
      </c>
      <c r="AK745" s="43" t="s">
        <v>425</v>
      </c>
      <c r="AL745" s="43" t="s">
        <v>426</v>
      </c>
      <c r="AM745" s="114" t="s">
        <v>283</v>
      </c>
      <c r="AN745" s="43" t="s">
        <v>215</v>
      </c>
      <c r="AO745" s="43" t="s">
        <v>408</v>
      </c>
      <c r="AP745" s="43" t="s">
        <v>409</v>
      </c>
    </row>
    <row r="746" spans="1:42" ht="50.1" customHeight="1" x14ac:dyDescent="0.25">
      <c r="A746" s="43">
        <f>MONTH(TAB_HISTORICO_MANUT[[#This Row],[Hora Final]])-MONTH(TAB_HISTORICO_MANUT[[#This Row],[Hora Inicio]])</f>
        <v>0</v>
      </c>
      <c r="B746" s="42"/>
      <c r="C746" s="43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Inicio]]=Z745,TAB_HISTORICO_MANUT[[#This Row],[Equipamento]]=AA745,TAB_HISTORICO_MANUT[[#This Row],[Descricao Despacho]]=AD745),0,1)))</f>
        <v/>
      </c>
      <c r="O74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746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74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746" s="50" t="str">
        <f>IF($Q746="","",(TAB_HISTORICO_MANUT[[#This Row],[Hora Final]]-TAB_HISTORICO_MANUT[[#This Row],[Hora Inicio]])*24)</f>
        <v/>
      </c>
      <c r="S74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746" s="54" t="str">
        <f>IF(AND(TAB_HISTORICO_MANUT[[#This Row],[EXPURGO Mãe]]="SIM",TAB_HISTORICO_MANUT[[#This Row],[Tipo]]="MÃE"),"EXP.MAE",IF(TAB_HISTORICO_MANUT[[#This Row],[EXPURGO Mãe]]="NÃO","NÃO EXP.MAE",T745))</f>
        <v>NÃO EXP.MAE</v>
      </c>
      <c r="U74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746" s="56">
        <f>IF(TAB_HISTORICO_MANUT[[#This Row],[EXPURGO Filhas]]="SIM",MAX(TAB_HISTORICO_MANUT[[#This Row],[Hora Final]]-TAB_HISTORICO_MANUT[[#This Row],[Hora Inicio]],0),0)</f>
        <v>8.3333333335758653E-2</v>
      </c>
      <c r="W74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4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46" s="46">
        <v>46045.854166666664</v>
      </c>
      <c r="Z746" s="47">
        <v>46045.9375</v>
      </c>
      <c r="AA746" s="48" t="s">
        <v>228</v>
      </c>
      <c r="AB746" s="48">
        <v>202601729918</v>
      </c>
      <c r="AC746" s="43" t="s">
        <v>204</v>
      </c>
      <c r="AD746" s="46" t="s">
        <v>144</v>
      </c>
      <c r="AE746" s="46" t="s">
        <v>177</v>
      </c>
      <c r="AF746" s="88" t="s">
        <v>767</v>
      </c>
      <c r="AG746" s="105">
        <f>IF(TAB_HISTORICO_MANUT[[#This Row],[Hora Inicio]]="","",MONTH(TAB_HISTORICO_MANUT[[#This Row],[Hora Inicio]]))</f>
        <v>1</v>
      </c>
      <c r="AH746" s="58" t="s">
        <v>389</v>
      </c>
      <c r="AI746" s="43" t="s">
        <v>22</v>
      </c>
      <c r="AJ746" s="43" t="s">
        <v>23</v>
      </c>
      <c r="AK746" s="43" t="s">
        <v>425</v>
      </c>
      <c r="AL746" s="43" t="s">
        <v>426</v>
      </c>
      <c r="AM746" s="114" t="s">
        <v>283</v>
      </c>
      <c r="AN746" s="43" t="s">
        <v>215</v>
      </c>
      <c r="AO746" s="43" t="s">
        <v>408</v>
      </c>
      <c r="AP746" s="43" t="s">
        <v>409</v>
      </c>
    </row>
    <row r="747" spans="1:42" ht="50.1" customHeight="1" x14ac:dyDescent="0.25">
      <c r="A747" s="43">
        <f>MONTH(TAB_HISTORICO_MANUT[[#This Row],[Hora Final]])-MONTH(TAB_HISTORICO_MANUT[[#This Row],[Hora Inicio]])</f>
        <v>0</v>
      </c>
      <c r="B747" s="42"/>
      <c r="C747" s="43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Inicio]]=Z746,TAB_HISTORICO_MANUT[[#This Row],[Equipamento]]=AA746,TAB_HISTORICO_MANUT[[#This Row],[Descricao Despacho]]=AD746),0,1)))</f>
        <v>1</v>
      </c>
      <c r="O74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747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4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747" s="50">
        <f>IF($Q747="","",(TAB_HISTORICO_MANUT[[#This Row],[Hora Final]]-TAB_HISTORICO_MANUT[[#This Row],[Hora Inicio]])*24)</f>
        <v>1.7480555555666797</v>
      </c>
      <c r="S74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47" s="54" t="str">
        <f>IF(AND(TAB_HISTORICO_MANUT[[#This Row],[EXPURGO Mãe]]="SIM",TAB_HISTORICO_MANUT[[#This Row],[Tipo]]="MÃE"),"EXP.MAE",IF(TAB_HISTORICO_MANUT[[#This Row],[EXPURGO Mãe]]="NÃO","NÃO EXP.MAE",T746))</f>
        <v>NÃO EXP.MAE</v>
      </c>
      <c r="U74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47" s="56">
        <f>IF(TAB_HISTORICO_MANUT[[#This Row],[EXPURGO Filhas]]="SIM",MAX(TAB_HISTORICO_MANUT[[#This Row],[Hora Final]]-TAB_HISTORICO_MANUT[[#This Row],[Hora Inicio]],0),0)</f>
        <v>0</v>
      </c>
      <c r="W74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4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47" s="46">
        <v>46046.967349537037</v>
      </c>
      <c r="Z747" s="47">
        <v>46047.040185185186</v>
      </c>
      <c r="AA747" s="48" t="s">
        <v>228</v>
      </c>
      <c r="AB747" s="48">
        <v>202601729918</v>
      </c>
      <c r="AC747" s="43" t="s">
        <v>211</v>
      </c>
      <c r="AD747" s="46" t="s">
        <v>144</v>
      </c>
      <c r="AE747" s="46" t="s">
        <v>213</v>
      </c>
      <c r="AF747" s="88" t="s">
        <v>210</v>
      </c>
      <c r="AG747" s="105">
        <f>IF(TAB_HISTORICO_MANUT[[#This Row],[Hora Inicio]]="","",MONTH(TAB_HISTORICO_MANUT[[#This Row],[Hora Inicio]]))</f>
        <v>1</v>
      </c>
      <c r="AH747" s="58" t="s">
        <v>391</v>
      </c>
      <c r="AI747" s="43" t="s">
        <v>21</v>
      </c>
      <c r="AJ747" s="43" t="s">
        <v>427</v>
      </c>
      <c r="AK747" s="43" t="s">
        <v>291</v>
      </c>
      <c r="AL747" s="43" t="s">
        <v>292</v>
      </c>
      <c r="AM747" s="114" t="s">
        <v>280</v>
      </c>
      <c r="AN747" s="43" t="s">
        <v>229</v>
      </c>
      <c r="AO747" s="43" t="s">
        <v>411</v>
      </c>
      <c r="AP747" s="43" t="s">
        <v>242</v>
      </c>
    </row>
    <row r="748" spans="1:42" ht="50.1" customHeight="1" x14ac:dyDescent="0.25">
      <c r="A748" s="43">
        <f>MONTH(TAB_HISTORICO_MANUT[[#This Row],[Hora Final]])-MONTH(TAB_HISTORICO_MANUT[[#This Row],[Hora Inicio]])</f>
        <v>0</v>
      </c>
      <c r="B748" s="42"/>
      <c r="C748" s="43"/>
      <c r="D748" s="42"/>
      <c r="E748" s="42"/>
      <c r="F748" s="42"/>
      <c r="G748" s="42"/>
      <c r="H748" s="42"/>
      <c r="I748" s="42"/>
      <c r="J748" s="42"/>
      <c r="K748" s="42"/>
      <c r="L748" s="42"/>
      <c r="M748" s="42" t="s">
        <v>98</v>
      </c>
      <c r="N748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Inicio]]=Z747,TAB_HISTORICO_MANUT[[#This Row],[Equipamento]]=AA747,TAB_HISTORICO_MANUT[[#This Row],[Descricao Despacho]]=AD747),0,1)))</f>
        <v/>
      </c>
      <c r="O74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748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74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748" s="50" t="str">
        <f>IF($Q748="","",(TAB_HISTORICO_MANUT[[#This Row],[Hora Final]]-TAB_HISTORICO_MANUT[[#This Row],[Hora Inicio]])*24)</f>
        <v/>
      </c>
      <c r="S74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748" s="54" t="str">
        <f>IF(AND(TAB_HISTORICO_MANUT[[#This Row],[EXPURGO Mãe]]="SIM",TAB_HISTORICO_MANUT[[#This Row],[Tipo]]="MÃE"),"EXP.MAE",IF(TAB_HISTORICO_MANUT[[#This Row],[EXPURGO Mãe]]="NÃO","NÃO EXP.MAE",T747))</f>
        <v>NÃO EXP.MAE</v>
      </c>
      <c r="U74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748" s="56">
        <f>IF(TAB_HISTORICO_MANUT[[#This Row],[EXPURGO Filhas]]="SIM",MAX(TAB_HISTORICO_MANUT[[#This Row],[Hora Final]]-TAB_HISTORICO_MANUT[[#This Row],[Hora Inicio]],0),0)</f>
        <v>5.7685833329742309E-2</v>
      </c>
      <c r="W74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4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48" s="46">
        <v>46046.982499351856</v>
      </c>
      <c r="Z748" s="47">
        <v>46047.040185185186</v>
      </c>
      <c r="AA748" s="48" t="s">
        <v>228</v>
      </c>
      <c r="AB748" s="48">
        <v>202601729918</v>
      </c>
      <c r="AC748" s="43" t="s">
        <v>211</v>
      </c>
      <c r="AD748" s="46" t="s">
        <v>144</v>
      </c>
      <c r="AE748" s="46" t="s">
        <v>213</v>
      </c>
      <c r="AF748" s="88" t="s">
        <v>767</v>
      </c>
      <c r="AG748" s="105">
        <f>IF(TAB_HISTORICO_MANUT[[#This Row],[Hora Inicio]]="","",MONTH(TAB_HISTORICO_MANUT[[#This Row],[Hora Inicio]]))</f>
        <v>1</v>
      </c>
      <c r="AH748" s="58" t="s">
        <v>391</v>
      </c>
      <c r="AI748" s="43" t="s">
        <v>21</v>
      </c>
      <c r="AJ748" s="43" t="s">
        <v>427</v>
      </c>
      <c r="AK748" s="43" t="s">
        <v>291</v>
      </c>
      <c r="AL748" s="43" t="s">
        <v>292</v>
      </c>
      <c r="AM748" s="114" t="s">
        <v>280</v>
      </c>
      <c r="AN748" s="43" t="s">
        <v>229</v>
      </c>
      <c r="AO748" s="43" t="s">
        <v>411</v>
      </c>
      <c r="AP748" s="43" t="s">
        <v>242</v>
      </c>
    </row>
    <row r="749" spans="1:42" ht="50.1" customHeight="1" x14ac:dyDescent="0.25">
      <c r="A749" s="43">
        <f>MONTH(TAB_HISTORICO_MANUT[[#This Row],[Hora Final]])-MONTH(TAB_HISTORICO_MANUT[[#This Row],[Hora Inicio]])</f>
        <v>0</v>
      </c>
      <c r="B749" s="42"/>
      <c r="C749" s="43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Inicio]]=Z748,TAB_HISTORICO_MANUT[[#This Row],[Equipamento]]=AA748,TAB_HISTORICO_MANUT[[#This Row],[Descricao Despacho]]=AD748),0,1)))</f>
        <v>1</v>
      </c>
      <c r="O74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ALERTA DE PROXIMIDADE</v>
      </c>
      <c r="P749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4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749" s="50">
        <f>IF($Q749="","",(TAB_HISTORICO_MANUT[[#This Row],[Hora Final]]-TAB_HISTORICO_MANUT[[#This Row],[Hora Inicio]])*24)</f>
        <v>0.57888888887828216</v>
      </c>
      <c r="S74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749" s="54" t="str">
        <f>IF(AND(TAB_HISTORICO_MANUT[[#This Row],[EXPURGO Mãe]]="SIM",TAB_HISTORICO_MANUT[[#This Row],[Tipo]]="MÃE"),"EXP.MAE",IF(TAB_HISTORICO_MANUT[[#This Row],[EXPURGO Mãe]]="NÃO","NÃO EXP.MAE",T748))</f>
        <v>EXP.MAE</v>
      </c>
      <c r="U74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49" s="56">
        <f>IF(TAB_HISTORICO_MANUT[[#This Row],[EXPURGO Filhas]]="SIM",MAX(TAB_HISTORICO_MANUT[[#This Row],[Hora Final]]-TAB_HISTORICO_MANUT[[#This Row],[Hora Inicio]],0),0)</f>
        <v>0</v>
      </c>
      <c r="W74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4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49" s="46">
        <v>46047.685972222222</v>
      </c>
      <c r="Z749" s="47">
        <v>46047.710092592592</v>
      </c>
      <c r="AA749" s="48" t="s">
        <v>228</v>
      </c>
      <c r="AB749" s="48">
        <v>202601729918</v>
      </c>
      <c r="AC749" s="43" t="s">
        <v>212</v>
      </c>
      <c r="AD749" s="46" t="s">
        <v>144</v>
      </c>
      <c r="AE749" s="46" t="s">
        <v>214</v>
      </c>
      <c r="AF749" s="88" t="s">
        <v>210</v>
      </c>
      <c r="AG749" s="105">
        <f>IF(TAB_HISTORICO_MANUT[[#This Row],[Hora Inicio]]="","",MONTH(TAB_HISTORICO_MANUT[[#This Row],[Hora Inicio]]))</f>
        <v>1</v>
      </c>
      <c r="AH749" s="58" t="s">
        <v>392</v>
      </c>
      <c r="AI749" s="43" t="s">
        <v>153</v>
      </c>
      <c r="AJ749" s="43" t="s">
        <v>428</v>
      </c>
      <c r="AK749" s="43" t="s">
        <v>429</v>
      </c>
      <c r="AL749" s="43" t="s">
        <v>282</v>
      </c>
      <c r="AM749" s="114" t="s">
        <v>283</v>
      </c>
      <c r="AN749" s="43" t="s">
        <v>241</v>
      </c>
      <c r="AO749" s="43" t="s">
        <v>412</v>
      </c>
      <c r="AP749" s="43" t="s">
        <v>413</v>
      </c>
    </row>
    <row r="750" spans="1:42" ht="50.1" customHeight="1" x14ac:dyDescent="0.25">
      <c r="A750" s="43">
        <f>MONTH(TAB_HISTORICO_MANUT[[#This Row],[Hora Final]])-MONTH(TAB_HISTORICO_MANUT[[#This Row],[Hora Inicio]])</f>
        <v>0</v>
      </c>
      <c r="B750" s="42"/>
      <c r="C750" s="43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Inicio]]=Z749,TAB_HISTORICO_MANUT[[#This Row],[Equipamento]]=AA749,TAB_HISTORICO_MANUT[[#This Row],[Descricao Despacho]]=AD749),0,1)))</f>
        <v>1</v>
      </c>
      <c r="O75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750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5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50" s="50">
        <f>IF($Q750="","",(TAB_HISTORICO_MANUT[[#This Row],[Hora Final]]-TAB_HISTORICO_MANUT[[#This Row],[Hora Inicio]])*24)</f>
        <v>1.0788888889364898</v>
      </c>
      <c r="S75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50" s="54" t="str">
        <f>IF(AND(TAB_HISTORICO_MANUT[[#This Row],[EXPURGO Mãe]]="SIM",TAB_HISTORICO_MANUT[[#This Row],[Tipo]]="MÃE"),"EXP.MAE",IF(TAB_HISTORICO_MANUT[[#This Row],[EXPURGO Mãe]]="NÃO","NÃO EXP.MAE",T749))</f>
        <v>NÃO EXP.MAE</v>
      </c>
      <c r="U75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50" s="56">
        <f>IF(TAB_HISTORICO_MANUT[[#This Row],[EXPURGO Filhas]]="SIM",MAX(TAB_HISTORICO_MANUT[[#This Row],[Hora Final]]-TAB_HISTORICO_MANUT[[#This Row],[Hora Inicio]],0),0)</f>
        <v>0</v>
      </c>
      <c r="W75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5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50" s="46">
        <v>46049.103368055556</v>
      </c>
      <c r="Z750" s="47">
        <v>46049.148321759261</v>
      </c>
      <c r="AA750" s="48" t="s">
        <v>228</v>
      </c>
      <c r="AB750" s="48">
        <v>202601729918</v>
      </c>
      <c r="AC750" s="43" t="s">
        <v>204</v>
      </c>
      <c r="AD750" s="46" t="s">
        <v>144</v>
      </c>
      <c r="AE750" s="46" t="s">
        <v>172</v>
      </c>
      <c r="AF750" s="88" t="s">
        <v>210</v>
      </c>
      <c r="AG750" s="105">
        <f>IF(TAB_HISTORICO_MANUT[[#This Row],[Hora Inicio]]="","",MONTH(TAB_HISTORICO_MANUT[[#This Row],[Hora Inicio]]))</f>
        <v>1</v>
      </c>
      <c r="AH750" s="58" t="s">
        <v>398</v>
      </c>
      <c r="AI750" s="43" t="s">
        <v>24</v>
      </c>
      <c r="AJ750" s="43" t="s">
        <v>423</v>
      </c>
      <c r="AK750" s="43" t="s">
        <v>422</v>
      </c>
      <c r="AL750" s="43" t="s">
        <v>279</v>
      </c>
      <c r="AM750" s="114" t="s">
        <v>280</v>
      </c>
      <c r="AN750" s="43" t="s">
        <v>217</v>
      </c>
      <c r="AO750" s="43" t="s">
        <v>419</v>
      </c>
      <c r="AP750" s="43" t="s">
        <v>420</v>
      </c>
    </row>
    <row r="751" spans="1:42" ht="50.1" customHeight="1" x14ac:dyDescent="0.25">
      <c r="A751" s="43">
        <f>MONTH(TAB_HISTORICO_MANUT[[#This Row],[Hora Final]])-MONTH(TAB_HISTORICO_MANUT[[#This Row],[Hora Inicio]])</f>
        <v>0</v>
      </c>
      <c r="B751" s="42"/>
      <c r="C751" s="43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Inicio]]=Z750,TAB_HISTORICO_MANUT[[#This Row],[Equipamento]]=AA750,TAB_HISTORICO_MANUT[[#This Row],[Descricao Despacho]]=AD750),0,1)))</f>
        <v>1</v>
      </c>
      <c r="O75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751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75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751" s="50">
        <f>IF($Q751="","",(TAB_HISTORICO_MANUT[[#This Row],[Hora Final]]-TAB_HISTORICO_MANUT[[#This Row],[Hora Inicio]])*24)</f>
        <v>0.40999999997438863</v>
      </c>
      <c r="S75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51" s="54" t="str">
        <f>IF(AND(TAB_HISTORICO_MANUT[[#This Row],[EXPURGO Mãe]]="SIM",TAB_HISTORICO_MANUT[[#This Row],[Tipo]]="MÃE"),"EXP.MAE",IF(TAB_HISTORICO_MANUT[[#This Row],[EXPURGO Mãe]]="NÃO","NÃO EXP.MAE",T750))</f>
        <v>NÃO EXP.MAE</v>
      </c>
      <c r="U75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51" s="56">
        <f>IF(TAB_HISTORICO_MANUT[[#This Row],[EXPURGO Filhas]]="SIM",MAX(TAB_HISTORICO_MANUT[[#This Row],[Hora Final]]-TAB_HISTORICO_MANUT[[#This Row],[Hora Inicio]],0),0)</f>
        <v>0</v>
      </c>
      <c r="W75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5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51" s="46">
        <v>46049.587719907409</v>
      </c>
      <c r="Z751" s="47">
        <v>46049.604803240742</v>
      </c>
      <c r="AA751" s="48" t="s">
        <v>228</v>
      </c>
      <c r="AB751" s="48">
        <v>202601729918</v>
      </c>
      <c r="AC751" s="43" t="s">
        <v>205</v>
      </c>
      <c r="AD751" s="46" t="s">
        <v>145</v>
      </c>
      <c r="AE751" s="46" t="s">
        <v>173</v>
      </c>
      <c r="AF751" s="88" t="s">
        <v>210</v>
      </c>
      <c r="AG751" s="105">
        <f>IF(TAB_HISTORICO_MANUT[[#This Row],[Hora Inicio]]="","",MONTH(TAB_HISTORICO_MANUT[[#This Row],[Hora Inicio]]))</f>
        <v>1</v>
      </c>
      <c r="AH751" s="58" t="s">
        <v>326</v>
      </c>
      <c r="AI751" s="43" t="s">
        <v>21</v>
      </c>
      <c r="AJ751" s="43"/>
      <c r="AK751" s="43"/>
      <c r="AL751" s="43"/>
      <c r="AM751" s="114"/>
      <c r="AN751" s="43"/>
      <c r="AO751" s="43"/>
      <c r="AP751" s="43"/>
    </row>
    <row r="752" spans="1:42" ht="50.1" customHeight="1" x14ac:dyDescent="0.25">
      <c r="A752" s="115">
        <f>MONTH(TAB_HISTORICO_MANUT[[#This Row],[Hora Final]])-MONTH(TAB_HISTORICO_MANUT[[#This Row],[Hora Inicio]])</f>
        <v>0</v>
      </c>
      <c r="B752" s="116"/>
      <c r="C752" s="115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 t="s">
        <v>98</v>
      </c>
      <c r="N752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Inicio]]=Z751,TAB_HISTORICO_MANUT[[#This Row],[Equipamento]]=AA751,TAB_HISTORICO_MANUT[[#This Row],[Descricao Despacho]]=AD751),0,1)))</f>
        <v/>
      </c>
      <c r="O75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752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75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752" s="107" t="str">
        <f>IF($Q752="","",(TAB_HISTORICO_MANUT[[#This Row],[Hora Final]]-TAB_HISTORICO_MANUT[[#This Row],[Hora Inicio]])*24)</f>
        <v/>
      </c>
      <c r="S75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752" s="109" t="str">
        <f>IF(AND(TAB_HISTORICO_MANUT[[#This Row],[EXPURGO Mãe]]="SIM",TAB_HISTORICO_MANUT[[#This Row],[Tipo]]="MÃE"),"EXP.MAE",IF(TAB_HISTORICO_MANUT[[#This Row],[EXPURGO Mãe]]="NÃO","NÃO EXP.MAE",T751))</f>
        <v>NÃO EXP.MAE</v>
      </c>
      <c r="U75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752" s="110">
        <f>IF(TAB_HISTORICO_MANUT[[#This Row],[EXPURGO Filhas]]="SIM",MAX(TAB_HISTORICO_MANUT[[#This Row],[Hora Final]]-TAB_HISTORICO_MANUT[[#This Row],[Hora Inicio]],0),0)</f>
        <v>1.352999999653548E-2</v>
      </c>
      <c r="W75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5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52" s="117">
        <v>46049.591273240745</v>
      </c>
      <c r="Z752" s="118">
        <v>46049.604803240742</v>
      </c>
      <c r="AA752" s="119" t="s">
        <v>228</v>
      </c>
      <c r="AB752" s="119">
        <v>202601729918</v>
      </c>
      <c r="AC752" s="115" t="s">
        <v>205</v>
      </c>
      <c r="AD752" s="117" t="s">
        <v>145</v>
      </c>
      <c r="AE752" s="117" t="s">
        <v>173</v>
      </c>
      <c r="AF752" s="88" t="s">
        <v>767</v>
      </c>
      <c r="AG752" s="123">
        <f>IF(TAB_HISTORICO_MANUT[[#This Row],[Hora Inicio]]="","",MONTH(TAB_HISTORICO_MANUT[[#This Row],[Hora Inicio]]))</f>
        <v>1</v>
      </c>
      <c r="AH752" s="120" t="s">
        <v>326</v>
      </c>
      <c r="AI752" s="115" t="s">
        <v>21</v>
      </c>
      <c r="AJ752" s="115"/>
      <c r="AK752" s="115"/>
      <c r="AL752" s="115"/>
      <c r="AM752" s="121"/>
      <c r="AN752" s="115"/>
      <c r="AO752" s="115"/>
      <c r="AP752" s="115"/>
    </row>
    <row r="753" spans="1:42" ht="50.1" customHeight="1" x14ac:dyDescent="0.25">
      <c r="A753" s="43">
        <f>MONTH(TAB_HISTORICO_MANUT[[#This Row],[Hora Final]])-MONTH(TAB_HISTORICO_MANUT[[#This Row],[Hora Inicio]])</f>
        <v>0</v>
      </c>
      <c r="B753" s="42"/>
      <c r="C753" s="43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Inicio]]=Z752,TAB_HISTORICO_MANUT[[#This Row],[Equipamento]]=AA752,TAB_HISTORICO_MANUT[[#This Row],[Descricao Despacho]]=AD752),0,1)))</f>
        <v>1</v>
      </c>
      <c r="O75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753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75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753" s="50">
        <f>IF($Q753="","",(TAB_HISTORICO_MANUT[[#This Row],[Hora Final]]-TAB_HISTORICO_MANUT[[#This Row],[Hora Inicio]])*24)</f>
        <v>0.90277777769370005</v>
      </c>
      <c r="S75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53" s="54" t="str">
        <f>IF(AND(TAB_HISTORICO_MANUT[[#This Row],[EXPURGO Mãe]]="SIM",TAB_HISTORICO_MANUT[[#This Row],[Tipo]]="MÃE"),"EXP.MAE",IF(TAB_HISTORICO_MANUT[[#This Row],[EXPURGO Mãe]]="NÃO","NÃO EXP.MAE",T752))</f>
        <v>NÃO EXP.MAE</v>
      </c>
      <c r="U75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53" s="56">
        <f>IF(TAB_HISTORICO_MANUT[[#This Row],[EXPURGO Filhas]]="SIM",MAX(TAB_HISTORICO_MANUT[[#This Row],[Hora Final]]-TAB_HISTORICO_MANUT[[#This Row],[Hora Inicio]],0),0)</f>
        <v>0</v>
      </c>
      <c r="W75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5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53" s="46">
        <v>46052.423692129632</v>
      </c>
      <c r="Z753" s="47">
        <v>46052.46130787037</v>
      </c>
      <c r="AA753" s="48" t="s">
        <v>228</v>
      </c>
      <c r="AB753" s="48">
        <v>202601729918</v>
      </c>
      <c r="AC753" s="43" t="s">
        <v>363</v>
      </c>
      <c r="AD753" s="46" t="s">
        <v>145</v>
      </c>
      <c r="AE753" s="46" t="s">
        <v>359</v>
      </c>
      <c r="AF753" s="88" t="s">
        <v>210</v>
      </c>
      <c r="AG753" s="105">
        <f>IF(TAB_HISTORICO_MANUT[[#This Row],[Hora Inicio]]="","",MONTH(TAB_HISTORICO_MANUT[[#This Row],[Hora Inicio]]))</f>
        <v>1</v>
      </c>
      <c r="AH753" s="58" t="s">
        <v>444</v>
      </c>
      <c r="AI753" s="43" t="s">
        <v>25</v>
      </c>
      <c r="AJ753" s="43"/>
      <c r="AK753" s="43"/>
      <c r="AL753" s="43"/>
      <c r="AM753" s="114"/>
      <c r="AN753" s="43"/>
      <c r="AO753" s="43"/>
      <c r="AP753" s="43"/>
    </row>
    <row r="754" spans="1:42" ht="50.1" customHeight="1" x14ac:dyDescent="0.25">
      <c r="A754" s="115">
        <f>MONTH(TAB_HISTORICO_MANUT[[#This Row],[Hora Final]])-MONTH(TAB_HISTORICO_MANUT[[#This Row],[Hora Inicio]])</f>
        <v>0</v>
      </c>
      <c r="B754" s="116"/>
      <c r="C754" s="115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Inicio]]=Z753,TAB_HISTORICO_MANUT[[#This Row],[Equipamento]]=AA753,TAB_HISTORICO_MANUT[[#This Row],[Descricao Despacho]]=AD753),0,1)))</f>
        <v>1</v>
      </c>
      <c r="O75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DE FREIO</v>
      </c>
      <c r="P75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5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54" s="107">
        <f>IF($Q754="","",(TAB_HISTORICO_MANUT[[#This Row],[Hora Final]]-TAB_HISTORICO_MANUT[[#This Row],[Hora Inicio]])*24)</f>
        <v>2.3383333333767951</v>
      </c>
      <c r="S75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54" s="109" t="str">
        <f>IF(AND(TAB_HISTORICO_MANUT[[#This Row],[EXPURGO Mãe]]="SIM",TAB_HISTORICO_MANUT[[#This Row],[Tipo]]="MÃE"),"EXP.MAE",IF(TAB_HISTORICO_MANUT[[#This Row],[EXPURGO Mãe]]="NÃO","NÃO EXP.MAE",T753))</f>
        <v>NÃO EXP.MAE</v>
      </c>
      <c r="U75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54" s="110">
        <f>IF(TAB_HISTORICO_MANUT[[#This Row],[EXPURGO Filhas]]="SIM",MAX(TAB_HISTORICO_MANUT[[#This Row],[Hora Final]]-TAB_HISTORICO_MANUT[[#This Row],[Hora Inicio]],0),0)</f>
        <v>0</v>
      </c>
      <c r="W75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5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54" s="117">
        <v>46052.581666666665</v>
      </c>
      <c r="Z754" s="118">
        <v>46052.679097222222</v>
      </c>
      <c r="AA754" s="119" t="s">
        <v>228</v>
      </c>
      <c r="AB754" s="119">
        <v>202601729918</v>
      </c>
      <c r="AC754" s="115" t="s">
        <v>204</v>
      </c>
      <c r="AD754" s="117" t="s">
        <v>144</v>
      </c>
      <c r="AE754" s="117" t="s">
        <v>172</v>
      </c>
      <c r="AF754" s="88" t="s">
        <v>210</v>
      </c>
      <c r="AG754" s="123">
        <f>IF(TAB_HISTORICO_MANUT[[#This Row],[Hora Inicio]]="","",MONTH(TAB_HISTORICO_MANUT[[#This Row],[Hora Inicio]]))</f>
        <v>1</v>
      </c>
      <c r="AH754" s="120" t="s">
        <v>447</v>
      </c>
      <c r="AI754" s="115" t="s">
        <v>46</v>
      </c>
      <c r="AJ754" s="115" t="s">
        <v>43</v>
      </c>
      <c r="AK754" s="115" t="s">
        <v>459</v>
      </c>
      <c r="AL754" s="115" t="s">
        <v>460</v>
      </c>
      <c r="AM754" s="121" t="s">
        <v>283</v>
      </c>
      <c r="AN754" s="115" t="s">
        <v>217</v>
      </c>
      <c r="AO754" s="115" t="s">
        <v>453</v>
      </c>
      <c r="AP754" s="115" t="s">
        <v>454</v>
      </c>
    </row>
    <row r="755" spans="1:42" ht="50.1" customHeight="1" x14ac:dyDescent="0.25">
      <c r="A755" s="115">
        <f>MONTH(TAB_HISTORICO_MANUT[[#This Row],[Hora Final]])-MONTH(TAB_HISTORICO_MANUT[[#This Row],[Hora Inicio]])</f>
        <v>0</v>
      </c>
      <c r="B755" s="116"/>
      <c r="C755" s="115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Inicio]]=Z754,TAB_HISTORICO_MANUT[[#This Row],[Equipamento]]=AA754,TAB_HISTORICO_MANUT[[#This Row],[Descricao Despacho]]=AD754),0,1)))</f>
        <v>1</v>
      </c>
      <c r="O75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75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5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755" s="107">
        <f>IF($Q755="","",(TAB_HISTORICO_MANUT[[#This Row],[Hora Final]]-TAB_HISTORICO_MANUT[[#This Row],[Hora Inicio]])*24)</f>
        <v>1.1638888888992369</v>
      </c>
      <c r="S75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755" s="109" t="str">
        <f>IF(AND(TAB_HISTORICO_MANUT[[#This Row],[EXPURGO Mãe]]="SIM",TAB_HISTORICO_MANUT[[#This Row],[Tipo]]="MÃE"),"EXP.MAE",IF(TAB_HISTORICO_MANUT[[#This Row],[EXPURGO Mãe]]="NÃO","NÃO EXP.MAE",T754))</f>
        <v>EXP.MAE</v>
      </c>
      <c r="U75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55" s="110">
        <f>IF(TAB_HISTORICO_MANUT[[#This Row],[EXPURGO Filhas]]="SIM",MAX(TAB_HISTORICO_MANUT[[#This Row],[Hora Final]]-TAB_HISTORICO_MANUT[[#This Row],[Hora Inicio]],0),0)</f>
        <v>0</v>
      </c>
      <c r="W75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5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55" s="117">
        <v>46052.879421296297</v>
      </c>
      <c r="Z755" s="118">
        <v>46052.927916666667</v>
      </c>
      <c r="AA755" s="119" t="s">
        <v>228</v>
      </c>
      <c r="AB755" s="119">
        <v>202601729918</v>
      </c>
      <c r="AC755" s="115" t="s">
        <v>212</v>
      </c>
      <c r="AD755" s="117" t="s">
        <v>144</v>
      </c>
      <c r="AE755" s="117" t="s">
        <v>214</v>
      </c>
      <c r="AF755" s="88" t="s">
        <v>210</v>
      </c>
      <c r="AG755" s="123">
        <f>IF(TAB_HISTORICO_MANUT[[#This Row],[Hora Inicio]]="","",MONTH(TAB_HISTORICO_MANUT[[#This Row],[Hora Inicio]]))</f>
        <v>1</v>
      </c>
      <c r="AH755" s="120" t="s">
        <v>448</v>
      </c>
      <c r="AI755" s="115" t="s">
        <v>82</v>
      </c>
      <c r="AJ755" s="115" t="s">
        <v>289</v>
      </c>
      <c r="AK755" s="115" t="s">
        <v>461</v>
      </c>
      <c r="AL755" s="115" t="s">
        <v>354</v>
      </c>
      <c r="AM755" s="121" t="s">
        <v>355</v>
      </c>
      <c r="AN755" s="115" t="s">
        <v>241</v>
      </c>
      <c r="AO755" s="115" t="s">
        <v>455</v>
      </c>
      <c r="AP755" s="115" t="s">
        <v>413</v>
      </c>
    </row>
    <row r="756" spans="1:42" ht="50.1" customHeight="1" x14ac:dyDescent="0.25">
      <c r="A756" s="115">
        <f>MONTH(TAB_HISTORICO_MANUT[[#This Row],[Hora Final]])-MONTH(TAB_HISTORICO_MANUT[[#This Row],[Hora Inicio]])</f>
        <v>0</v>
      </c>
      <c r="B756" s="116"/>
      <c r="C756" s="115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Inicio]]=Z755,TAB_HISTORICO_MANUT[[#This Row],[Equipamento]]=AA755,TAB_HISTORICO_MANUT[[#This Row],[Descricao Despacho]]=AD755),0,1)))</f>
        <v>1</v>
      </c>
      <c r="O75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DE FREIO</v>
      </c>
      <c r="P75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5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56" s="107">
        <f>IF($Q756="","",(TAB_HISTORICO_MANUT[[#This Row],[Hora Final]]-TAB_HISTORICO_MANUT[[#This Row],[Hora Inicio]])*24)</f>
        <v>9.7638888888177462</v>
      </c>
      <c r="S75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56" s="109" t="str">
        <f>IF(AND(TAB_HISTORICO_MANUT[[#This Row],[EXPURGO Mãe]]="SIM",TAB_HISTORICO_MANUT[[#This Row],[Tipo]]="MÃE"),"EXP.MAE",IF(TAB_HISTORICO_MANUT[[#This Row],[EXPURGO Mãe]]="NÃO","NÃO EXP.MAE",T755))</f>
        <v>NÃO EXP.MAE</v>
      </c>
      <c r="U75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56" s="110">
        <f>IF(TAB_HISTORICO_MANUT[[#This Row],[EXPURGO Filhas]]="SIM",MAX(TAB_HISTORICO_MANUT[[#This Row],[Hora Final]]-TAB_HISTORICO_MANUT[[#This Row],[Hora Inicio]],0),0)</f>
        <v>0</v>
      </c>
      <c r="W75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5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56" s="117">
        <v>46053.593159722222</v>
      </c>
      <c r="Z756" s="137">
        <v>46053.999988425923</v>
      </c>
      <c r="AA756" s="119" t="s">
        <v>228</v>
      </c>
      <c r="AB756" s="119">
        <v>202601729918</v>
      </c>
      <c r="AC756" s="115" t="s">
        <v>204</v>
      </c>
      <c r="AD756" s="117" t="s">
        <v>144</v>
      </c>
      <c r="AE756" s="117" t="s">
        <v>172</v>
      </c>
      <c r="AF756" s="88" t="s">
        <v>210</v>
      </c>
      <c r="AG756" s="123">
        <f>IF(TAB_HISTORICO_MANUT[[#This Row],[Hora Inicio]]="","",MONTH(TAB_HISTORICO_MANUT[[#This Row],[Hora Inicio]]))</f>
        <v>1</v>
      </c>
      <c r="AH756" s="120" t="s">
        <v>451</v>
      </c>
      <c r="AI756" s="115" t="s">
        <v>46</v>
      </c>
      <c r="AJ756" s="115" t="s">
        <v>46</v>
      </c>
      <c r="AK756" s="115" t="s">
        <v>46</v>
      </c>
      <c r="AL756" s="115" t="s">
        <v>334</v>
      </c>
      <c r="AM756" s="121"/>
      <c r="AN756" s="115"/>
      <c r="AO756" s="115"/>
      <c r="AP756" s="115"/>
    </row>
    <row r="757" spans="1:42" ht="50.1" customHeight="1" x14ac:dyDescent="0.25">
      <c r="A757" s="115">
        <f>MONTH(TAB_HISTORICO_MANUT[[#This Row],[Hora Final]])-MONTH(TAB_HISTORICO_MANUT[[#This Row],[Hora Inicio]])</f>
        <v>0</v>
      </c>
      <c r="B757" s="116"/>
      <c r="C757" s="115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Inicio]]=Z756,TAB_HISTORICO_MANUT[[#This Row],[Equipamento]]=AA756,TAB_HISTORICO_MANUT[[#This Row],[Descricao Despacho]]=AD756),0,1)))</f>
        <v/>
      </c>
      <c r="O75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757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75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757" s="107" t="str">
        <f>IF($Q757="","",(TAB_HISTORICO_MANUT[[#This Row],[Hora Final]]-TAB_HISTORICO_MANUT[[#This Row],[Hora Inicio]])*24)</f>
        <v/>
      </c>
      <c r="S75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757" s="109" t="str">
        <f>IF(AND(TAB_HISTORICO_MANUT[[#This Row],[EXPURGO Mãe]]="SIM",TAB_HISTORICO_MANUT[[#This Row],[Tipo]]="MÃE"),"EXP.MAE",IF(TAB_HISTORICO_MANUT[[#This Row],[EXPURGO Mãe]]="NÃO","NÃO EXP.MAE",T756))</f>
        <v>NÃO EXP.MAE</v>
      </c>
      <c r="U75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757" s="110">
        <f>IF(TAB_HISTORICO_MANUT[[#This Row],[EXPURGO Filhas]]="SIM",MAX(TAB_HISTORICO_MANUT[[#This Row],[Hora Final]]-TAB_HISTORICO_MANUT[[#This Row],[Hora Inicio]],0),0)</f>
        <v>5.5555555554747116E-2</v>
      </c>
      <c r="W75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5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57" s="117">
        <v>46053.694444444445</v>
      </c>
      <c r="Z757" s="118">
        <v>46053.75</v>
      </c>
      <c r="AA757" s="119" t="s">
        <v>228</v>
      </c>
      <c r="AB757" s="119">
        <v>202601729918</v>
      </c>
      <c r="AC757" s="115" t="s">
        <v>204</v>
      </c>
      <c r="AD757" s="117" t="s">
        <v>144</v>
      </c>
      <c r="AE757" s="117" t="s">
        <v>772</v>
      </c>
      <c r="AF757" s="88" t="s">
        <v>767</v>
      </c>
      <c r="AG757" s="123">
        <f>IF(TAB_HISTORICO_MANUT[[#This Row],[Hora Inicio]]="","",MONTH(TAB_HISTORICO_MANUT[[#This Row],[Hora Inicio]]))</f>
        <v>1</v>
      </c>
      <c r="AH757" s="120" t="s">
        <v>451</v>
      </c>
      <c r="AI757" s="115" t="s">
        <v>46</v>
      </c>
      <c r="AJ757" s="115" t="s">
        <v>46</v>
      </c>
      <c r="AK757" s="115" t="s">
        <v>46</v>
      </c>
      <c r="AL757" s="115" t="s">
        <v>334</v>
      </c>
      <c r="AM757" s="121"/>
      <c r="AN757" s="115"/>
      <c r="AO757" s="115"/>
      <c r="AP757" s="115"/>
    </row>
    <row r="758" spans="1:42" ht="50.1" customHeight="1" x14ac:dyDescent="0.25">
      <c r="A758" s="115">
        <f>MONTH(TAB_HISTORICO_MANUT[[#This Row],[Hora Final]])-MONTH(TAB_HISTORICO_MANUT[[#This Row],[Hora Inicio]])</f>
        <v>0</v>
      </c>
      <c r="B758" s="116"/>
      <c r="C758" s="115"/>
      <c r="D758" s="116"/>
      <c r="E758" s="116"/>
      <c r="F758" s="116"/>
      <c r="G758" s="116"/>
      <c r="H758" s="116"/>
      <c r="I758" s="116"/>
      <c r="J758" s="116"/>
      <c r="K758" s="116"/>
      <c r="L758" s="116">
        <v>0</v>
      </c>
      <c r="M758" s="116"/>
      <c r="N75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Inicio]]=Z757,TAB_HISTORICO_MANUT[[#This Row],[Equipamento]]=AA757,TAB_HISTORICO_MANUT[[#This Row],[Descricao Despacho]]=AD757),0,1)))</f>
        <v>0</v>
      </c>
      <c r="O75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DE FREIO</v>
      </c>
      <c r="P75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5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58" s="107">
        <f>IF($Q758="","",(TAB_HISTORICO_MANUT[[#This Row],[Hora Final]]-TAB_HISTORICO_MANUT[[#This Row],[Hora Inicio]])*24)</f>
        <v>12.617499999934807</v>
      </c>
      <c r="S75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58" s="109" t="str">
        <f>IF(AND(TAB_HISTORICO_MANUT[[#This Row],[EXPURGO Mãe]]="SIM",TAB_HISTORICO_MANUT[[#This Row],[Tipo]]="MÃE"),"EXP.MAE",IF(TAB_HISTORICO_MANUT[[#This Row],[EXPURGO Mãe]]="NÃO","NÃO EXP.MAE",T757))</f>
        <v>NÃO EXP.MAE</v>
      </c>
      <c r="U75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58" s="110">
        <f>IF(TAB_HISTORICO_MANUT[[#This Row],[EXPURGO Filhas]]="SIM",MAX(TAB_HISTORICO_MANUT[[#This Row],[Hora Final]]-TAB_HISTORICO_MANUT[[#This Row],[Hora Inicio]],0),0)</f>
        <v>0</v>
      </c>
      <c r="W75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5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58" s="131">
        <v>46054</v>
      </c>
      <c r="Z758" s="118">
        <v>46054.525729166664</v>
      </c>
      <c r="AA758" s="119" t="s">
        <v>228</v>
      </c>
      <c r="AB758" s="119">
        <v>202601729918</v>
      </c>
      <c r="AC758" s="115" t="s">
        <v>204</v>
      </c>
      <c r="AD758" s="117" t="s">
        <v>144</v>
      </c>
      <c r="AE758" s="117" t="s">
        <v>172</v>
      </c>
      <c r="AF758" s="88" t="s">
        <v>210</v>
      </c>
      <c r="AG758" s="123">
        <f>IF(TAB_HISTORICO_MANUT[[#This Row],[Hora Inicio]]="","",MONTH(TAB_HISTORICO_MANUT[[#This Row],[Hora Inicio]]))</f>
        <v>2</v>
      </c>
      <c r="AH758" s="120" t="s">
        <v>451</v>
      </c>
      <c r="AI758" s="115" t="s">
        <v>46</v>
      </c>
      <c r="AJ758" s="115" t="s">
        <v>46</v>
      </c>
      <c r="AK758" s="115" t="s">
        <v>46</v>
      </c>
      <c r="AL758" s="115" t="s">
        <v>334</v>
      </c>
      <c r="AM758" s="121"/>
      <c r="AN758" s="115"/>
      <c r="AO758" s="115"/>
      <c r="AP758" s="115"/>
    </row>
    <row r="759" spans="1:42" ht="50.1" customHeight="1" x14ac:dyDescent="0.25">
      <c r="A759" s="115">
        <f>MONTH(TAB_HISTORICO_MANUT[[#This Row],[Hora Final]])-MONTH(TAB_HISTORICO_MANUT[[#This Row],[Hora Inicio]])</f>
        <v>0</v>
      </c>
      <c r="B759" s="116"/>
      <c r="C759" s="115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Inicio]]=Z758,TAB_HISTORICO_MANUT[[#This Row],[Equipamento]]=AA758,TAB_HISTORICO_MANUT[[#This Row],[Descricao Despacho]]=AD758),0,1)))</f>
        <v>1</v>
      </c>
      <c r="O75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75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5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59" s="107">
        <f>IF($Q759="","",(TAB_HISTORICO_MANUT[[#This Row],[Hora Final]]-TAB_HISTORICO_MANUT[[#This Row],[Hora Inicio]])*24)</f>
        <v>2.3586111111799255</v>
      </c>
      <c r="S75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59" s="109" t="str">
        <f>IF(AND(TAB_HISTORICO_MANUT[[#This Row],[EXPURGO Mãe]]="SIM",TAB_HISTORICO_MANUT[[#This Row],[Tipo]]="MÃE"),"EXP.MAE",IF(TAB_HISTORICO_MANUT[[#This Row],[EXPURGO Mãe]]="NÃO","NÃO EXP.MAE",T758))</f>
        <v>NÃO EXP.MAE</v>
      </c>
      <c r="U75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59" s="110">
        <f>IF(TAB_HISTORICO_MANUT[[#This Row],[EXPURGO Filhas]]="SIM",MAX(TAB_HISTORICO_MANUT[[#This Row],[Hora Final]]-TAB_HISTORICO_MANUT[[#This Row],[Hora Inicio]],0),0)</f>
        <v>0</v>
      </c>
      <c r="W75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5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59" s="117">
        <v>46054.595208333332</v>
      </c>
      <c r="Z759" s="118">
        <v>46054.693483796298</v>
      </c>
      <c r="AA759" s="119" t="s">
        <v>228</v>
      </c>
      <c r="AB759" s="119">
        <v>202601729918</v>
      </c>
      <c r="AC759" s="115" t="s">
        <v>204</v>
      </c>
      <c r="AD759" s="117" t="s">
        <v>144</v>
      </c>
      <c r="AE759" s="117" t="s">
        <v>172</v>
      </c>
      <c r="AF759" s="88" t="s">
        <v>210</v>
      </c>
      <c r="AG759" s="123">
        <f>IF(TAB_HISTORICO_MANUT[[#This Row],[Hora Inicio]]="","",MONTH(TAB_HISTORICO_MANUT[[#This Row],[Hora Inicio]]))</f>
        <v>2</v>
      </c>
      <c r="AH759" s="120" t="s">
        <v>485</v>
      </c>
      <c r="AI759" s="115" t="s">
        <v>22</v>
      </c>
      <c r="AJ759" s="115" t="s">
        <v>23</v>
      </c>
      <c r="AK759" s="115" t="s">
        <v>495</v>
      </c>
      <c r="AL759" s="115" t="s">
        <v>354</v>
      </c>
      <c r="AM759" s="121" t="s">
        <v>355</v>
      </c>
      <c r="AN759" s="115" t="s">
        <v>215</v>
      </c>
      <c r="AO759" s="115" t="s">
        <v>491</v>
      </c>
      <c r="AP759" s="115" t="s">
        <v>492</v>
      </c>
    </row>
    <row r="760" spans="1:42" ht="50.1" customHeight="1" x14ac:dyDescent="0.25">
      <c r="A760" s="43">
        <f>MONTH(TAB_HISTORICO_MANUT[[#This Row],[Hora Final]])-MONTH(TAB_HISTORICO_MANUT[[#This Row],[Hora Inicio]])</f>
        <v>0</v>
      </c>
      <c r="B760" s="42"/>
      <c r="C760" s="43"/>
      <c r="D760" s="42"/>
      <c r="E760" s="42"/>
      <c r="F760" s="42"/>
      <c r="G760" s="42"/>
      <c r="H760" s="42"/>
      <c r="I760" s="42"/>
      <c r="J760" s="42"/>
      <c r="K760" s="42"/>
      <c r="L760" s="42"/>
      <c r="M760" s="42" t="s">
        <v>98</v>
      </c>
      <c r="N760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Inicio]]=Z759,TAB_HISTORICO_MANUT[[#This Row],[Equipamento]]=AA759,TAB_HISTORICO_MANUT[[#This Row],[Descricao Despacho]]=AD759),0,1)))</f>
        <v/>
      </c>
      <c r="O76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760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76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760" s="50" t="str">
        <f>IF($Q760="","",(TAB_HISTORICO_MANUT[[#This Row],[Hora Final]]-TAB_HISTORICO_MANUT[[#This Row],[Hora Inicio]])*24)</f>
        <v/>
      </c>
      <c r="S76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760" s="54" t="str">
        <f>IF(AND(TAB_HISTORICO_MANUT[[#This Row],[EXPURGO Mãe]]="SIM",TAB_HISTORICO_MANUT[[#This Row],[Tipo]]="MÃE"),"EXP.MAE",IF(TAB_HISTORICO_MANUT[[#This Row],[EXPURGO Mãe]]="NÃO","NÃO EXP.MAE",T759))</f>
        <v>NÃO EXP.MAE</v>
      </c>
      <c r="U76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760" s="56">
        <f>IF(TAB_HISTORICO_MANUT[[#This Row],[EXPURGO Filhas]]="SIM",MAX(TAB_HISTORICO_MANUT[[#This Row],[Hora Final]]-TAB_HISTORICO_MANUT[[#This Row],[Hora Inicio]],0),0)</f>
        <v>3.4722222226264421E-2</v>
      </c>
      <c r="W76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6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60" s="46">
        <v>46054.618055555555</v>
      </c>
      <c r="Z760" s="47">
        <v>46054.652777777781</v>
      </c>
      <c r="AA760" s="48" t="s">
        <v>228</v>
      </c>
      <c r="AB760" s="48">
        <v>202601729918</v>
      </c>
      <c r="AC760" s="115" t="s">
        <v>204</v>
      </c>
      <c r="AD760" s="46" t="s">
        <v>144</v>
      </c>
      <c r="AE760" s="46" t="s">
        <v>772</v>
      </c>
      <c r="AF760" s="88" t="s">
        <v>767</v>
      </c>
      <c r="AG760" s="105">
        <f>IF(TAB_HISTORICO_MANUT[[#This Row],[Hora Inicio]]="","",MONTH(TAB_HISTORICO_MANUT[[#This Row],[Hora Inicio]]))</f>
        <v>2</v>
      </c>
      <c r="AH760" s="120" t="s">
        <v>485</v>
      </c>
      <c r="AI760" s="115" t="s">
        <v>22</v>
      </c>
      <c r="AJ760" s="115" t="s">
        <v>23</v>
      </c>
      <c r="AK760" s="43" t="s">
        <v>495</v>
      </c>
      <c r="AL760" s="43" t="s">
        <v>354</v>
      </c>
      <c r="AM760" s="114" t="s">
        <v>355</v>
      </c>
      <c r="AN760" s="43" t="s">
        <v>215</v>
      </c>
      <c r="AO760" s="43" t="s">
        <v>491</v>
      </c>
      <c r="AP760" s="43" t="s">
        <v>492</v>
      </c>
    </row>
    <row r="761" spans="1:42" ht="50.1" customHeight="1" x14ac:dyDescent="0.25">
      <c r="A761" s="115">
        <f>MONTH(TAB_HISTORICO_MANUT[[#This Row],[Hora Final]])-MONTH(TAB_HISTORICO_MANUT[[#This Row],[Hora Inicio]])</f>
        <v>0</v>
      </c>
      <c r="B761" s="116"/>
      <c r="C761" s="115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 t="s">
        <v>98</v>
      </c>
      <c r="N761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Inicio]]=Z760,TAB_HISTORICO_MANUT[[#This Row],[Equipamento]]=AA760,TAB_HISTORICO_MANUT[[#This Row],[Descricao Despacho]]=AD760),0,1)))</f>
        <v/>
      </c>
      <c r="O76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761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76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761" s="107" t="str">
        <f>IF($Q761="","",(TAB_HISTORICO_MANUT[[#This Row],[Hora Final]]-TAB_HISTORICO_MANUT[[#This Row],[Hora Inicio]])*24)</f>
        <v/>
      </c>
      <c r="S76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761" s="109" t="str">
        <f>IF(AND(TAB_HISTORICO_MANUT[[#This Row],[EXPURGO Mãe]]="SIM",TAB_HISTORICO_MANUT[[#This Row],[Tipo]]="MÃE"),"EXP.MAE",IF(TAB_HISTORICO_MANUT[[#This Row],[EXPURGO Mãe]]="NÃO","NÃO EXP.MAE",T760))</f>
        <v>NÃO EXP.MAE</v>
      </c>
      <c r="U76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761" s="110">
        <f>IF(TAB_HISTORICO_MANUT[[#This Row],[EXPURGO Filhas]]="SIM",MAX(TAB_HISTORICO_MANUT[[#This Row],[Hora Final]]-TAB_HISTORICO_MANUT[[#This Row],[Hora Inicio]],0),0)</f>
        <v>2.7777777781011537E-2</v>
      </c>
      <c r="W76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6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61" s="117">
        <v>46054.659722222219</v>
      </c>
      <c r="Z761" s="118">
        <v>46054.6875</v>
      </c>
      <c r="AA761" s="119" t="s">
        <v>228</v>
      </c>
      <c r="AB761" s="119">
        <v>202601729918</v>
      </c>
      <c r="AC761" s="115" t="s">
        <v>204</v>
      </c>
      <c r="AD761" s="117" t="s">
        <v>144</v>
      </c>
      <c r="AE761" s="117" t="s">
        <v>765</v>
      </c>
      <c r="AF761" s="88" t="s">
        <v>767</v>
      </c>
      <c r="AG761" s="123">
        <f>IF(TAB_HISTORICO_MANUT[[#This Row],[Hora Inicio]]="","",MONTH(TAB_HISTORICO_MANUT[[#This Row],[Hora Inicio]]))</f>
        <v>2</v>
      </c>
      <c r="AH761" s="120" t="s">
        <v>485</v>
      </c>
      <c r="AI761" s="115" t="s">
        <v>22</v>
      </c>
      <c r="AJ761" s="115" t="s">
        <v>23</v>
      </c>
      <c r="AK761" s="115" t="s">
        <v>495</v>
      </c>
      <c r="AL761" s="115" t="s">
        <v>354</v>
      </c>
      <c r="AM761" s="121" t="s">
        <v>355</v>
      </c>
      <c r="AN761" s="115" t="s">
        <v>215</v>
      </c>
      <c r="AO761" s="115" t="s">
        <v>491</v>
      </c>
      <c r="AP761" s="115" t="s">
        <v>492</v>
      </c>
    </row>
    <row r="762" spans="1:42" ht="50.1" customHeight="1" x14ac:dyDescent="0.25">
      <c r="A762" s="43">
        <f>MONTH(TAB_HISTORICO_MANUT[[#This Row],[Hora Final]])-MONTH(TAB_HISTORICO_MANUT[[#This Row],[Hora Inicio]])</f>
        <v>0</v>
      </c>
      <c r="B762" s="42"/>
      <c r="C762" s="43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Inicio]]=Z761,TAB_HISTORICO_MANUT[[#This Row],[Equipamento]]=AA761,TAB_HISTORICO_MANUT[[#This Row],[Descricao Despacho]]=AD761),0,1)))</f>
        <v>1</v>
      </c>
      <c r="O76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762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6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62" s="50">
        <f>IF($Q762="","",(TAB_HISTORICO_MANUT[[#This Row],[Hora Final]]-TAB_HISTORICO_MANUT[[#This Row],[Hora Inicio]])*24)</f>
        <v>1.1569444444030523</v>
      </c>
      <c r="S76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62" s="54" t="str">
        <f>IF(AND(TAB_HISTORICO_MANUT[[#This Row],[EXPURGO Mãe]]="SIM",TAB_HISTORICO_MANUT[[#This Row],[Tipo]]="MÃE"),"EXP.MAE",IF(TAB_HISTORICO_MANUT[[#This Row],[EXPURGO Mãe]]="NÃO","NÃO EXP.MAE",T761))</f>
        <v>NÃO EXP.MAE</v>
      </c>
      <c r="U76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62" s="56">
        <f>IF(TAB_HISTORICO_MANUT[[#This Row],[EXPURGO Filhas]]="SIM",MAX(TAB_HISTORICO_MANUT[[#This Row],[Hora Final]]-TAB_HISTORICO_MANUT[[#This Row],[Hora Inicio]],0),0)</f>
        <v>0</v>
      </c>
      <c r="W76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6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62" s="46">
        <v>46054.813923611109</v>
      </c>
      <c r="Z762" s="47">
        <v>46054.862129629626</v>
      </c>
      <c r="AA762" s="48" t="s">
        <v>228</v>
      </c>
      <c r="AB762" s="48">
        <v>202601729918</v>
      </c>
      <c r="AC762" s="115" t="s">
        <v>204</v>
      </c>
      <c r="AD762" s="46" t="s">
        <v>144</v>
      </c>
      <c r="AE762" s="46" t="s">
        <v>172</v>
      </c>
      <c r="AF762" s="88" t="s">
        <v>210</v>
      </c>
      <c r="AG762" s="105">
        <f>IF(TAB_HISTORICO_MANUT[[#This Row],[Hora Inicio]]="","",MONTH(TAB_HISTORICO_MANUT[[#This Row],[Hora Inicio]]))</f>
        <v>2</v>
      </c>
      <c r="AH762" s="58" t="s">
        <v>486</v>
      </c>
      <c r="AI762" s="115" t="s">
        <v>22</v>
      </c>
      <c r="AJ762" s="115" t="s">
        <v>284</v>
      </c>
      <c r="AK762" s="43" t="s">
        <v>285</v>
      </c>
      <c r="AL762" s="43" t="s">
        <v>286</v>
      </c>
      <c r="AM762" s="114" t="s">
        <v>496</v>
      </c>
      <c r="AN762" s="43" t="s">
        <v>215</v>
      </c>
      <c r="AO762" s="43" t="s">
        <v>224</v>
      </c>
      <c r="AP762" s="43" t="s">
        <v>225</v>
      </c>
    </row>
    <row r="763" spans="1:42" ht="50.1" customHeight="1" x14ac:dyDescent="0.25">
      <c r="A763" s="43">
        <f>MONTH(TAB_HISTORICO_MANUT[[#This Row],[Hora Final]])-MONTH(TAB_HISTORICO_MANUT[[#This Row],[Hora Inicio]])</f>
        <v>0</v>
      </c>
      <c r="B763" s="42"/>
      <c r="C763" s="43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Inicio]]=Z762,TAB_HISTORICO_MANUT[[#This Row],[Equipamento]]=AA762,TAB_HISTORICO_MANUT[[#This Row],[Descricao Despacho]]=AD762),0,1)))</f>
        <v>1</v>
      </c>
      <c r="O76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HIDRAULICO</v>
      </c>
      <c r="P763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6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63" s="50">
        <f>IF($Q763="","",(TAB_HISTORICO_MANUT[[#This Row],[Hora Final]]-TAB_HISTORICO_MANUT[[#This Row],[Hora Inicio]])*24)</f>
        <v>36.13666666665813</v>
      </c>
      <c r="S76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63" s="54" t="str">
        <f>IF(AND(TAB_HISTORICO_MANUT[[#This Row],[EXPURGO Mãe]]="SIM",TAB_HISTORICO_MANUT[[#This Row],[Tipo]]="MÃE"),"EXP.MAE",IF(TAB_HISTORICO_MANUT[[#This Row],[EXPURGO Mãe]]="NÃO","NÃO EXP.MAE",T762))</f>
        <v>NÃO EXP.MAE</v>
      </c>
      <c r="U76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63" s="56">
        <f>IF(TAB_HISTORICO_MANUT[[#This Row],[EXPURGO Filhas]]="SIM",MAX(TAB_HISTORICO_MANUT[[#This Row],[Hora Final]]-TAB_HISTORICO_MANUT[[#This Row],[Hora Inicio]],0),0)</f>
        <v>0</v>
      </c>
      <c r="W76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6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63" s="46">
        <v>46056.82309027778</v>
      </c>
      <c r="Z763" s="47">
        <v>46058.328784722224</v>
      </c>
      <c r="AA763" s="48" t="s">
        <v>228</v>
      </c>
      <c r="AB763" s="48">
        <v>202601729918</v>
      </c>
      <c r="AC763" s="115" t="s">
        <v>204</v>
      </c>
      <c r="AD763" s="46" t="s">
        <v>144</v>
      </c>
      <c r="AE763" s="46" t="s">
        <v>172</v>
      </c>
      <c r="AF763" s="88" t="s">
        <v>210</v>
      </c>
      <c r="AG763" s="105">
        <f>IF(TAB_HISTORICO_MANUT[[#This Row],[Hora Inicio]]="","",MONTH(TAB_HISTORICO_MANUT[[#This Row],[Hora Inicio]]))</f>
        <v>2</v>
      </c>
      <c r="AH763" s="58" t="s">
        <v>489</v>
      </c>
      <c r="AI763" s="115" t="s">
        <v>149</v>
      </c>
      <c r="AJ763" s="115" t="s">
        <v>423</v>
      </c>
      <c r="AK763" s="43" t="s">
        <v>422</v>
      </c>
      <c r="AL763" s="43" t="s">
        <v>499</v>
      </c>
      <c r="AM763" s="114" t="s">
        <v>276</v>
      </c>
      <c r="AN763" s="43"/>
      <c r="AO763" s="43"/>
      <c r="AP763" s="43"/>
    </row>
    <row r="764" spans="1:42" ht="50.1" customHeight="1" x14ac:dyDescent="0.25">
      <c r="A764" s="43">
        <f>MONTH(TAB_HISTORICO_MANUT[[#This Row],[Hora Final]])-MONTH(TAB_HISTORICO_MANUT[[#This Row],[Hora Inicio]])</f>
        <v>0</v>
      </c>
      <c r="B764" s="42"/>
      <c r="C764" s="43"/>
      <c r="D764" s="42"/>
      <c r="E764" s="42"/>
      <c r="F764" s="42"/>
      <c r="G764" s="42"/>
      <c r="H764" s="42"/>
      <c r="I764" s="42"/>
      <c r="J764" s="42"/>
      <c r="K764" s="42"/>
      <c r="L764" s="42"/>
      <c r="M764" s="42" t="s">
        <v>99</v>
      </c>
      <c r="N764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Inicio]]=Z763,TAB_HISTORICO_MANUT[[#This Row],[Equipamento]]=AA763,TAB_HISTORICO_MANUT[[#This Row],[Descricao Despacho]]=AD763),0,1)))</f>
        <v/>
      </c>
      <c r="O76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764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76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764" s="50" t="str">
        <f>IF($Q764="","",(TAB_HISTORICO_MANUT[[#This Row],[Hora Final]]-TAB_HISTORICO_MANUT[[#This Row],[Hora Inicio]])*24)</f>
        <v/>
      </c>
      <c r="S76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764" s="54" t="str">
        <f>IF(AND(TAB_HISTORICO_MANUT[[#This Row],[EXPURGO Mãe]]="SIM",TAB_HISTORICO_MANUT[[#This Row],[Tipo]]="MÃE"),"EXP.MAE",IF(TAB_HISTORICO_MANUT[[#This Row],[EXPURGO Mãe]]="NÃO","NÃO EXP.MAE",T763))</f>
        <v>NÃO EXP.MAE</v>
      </c>
      <c r="U76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64" s="56">
        <f>IF(TAB_HISTORICO_MANUT[[#This Row],[EXPURGO Filhas]]="SIM",MAX(TAB_HISTORICO_MANUT[[#This Row],[Hora Final]]-TAB_HISTORICO_MANUT[[#This Row],[Hora Inicio]],0),0)</f>
        <v>0</v>
      </c>
      <c r="W76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6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64" s="46">
        <v>46056.972220000003</v>
      </c>
      <c r="Z764" s="47">
        <v>46057.013888888891</v>
      </c>
      <c r="AA764" s="48" t="s">
        <v>228</v>
      </c>
      <c r="AB764" s="48">
        <v>202601729918</v>
      </c>
      <c r="AC764" s="43" t="s">
        <v>204</v>
      </c>
      <c r="AD764" s="46" t="s">
        <v>144</v>
      </c>
      <c r="AE764" s="46" t="s">
        <v>233</v>
      </c>
      <c r="AF764" s="88" t="s">
        <v>767</v>
      </c>
      <c r="AG764" s="105">
        <f>IF(TAB_HISTORICO_MANUT[[#This Row],[Hora Inicio]]="","",MONTH(TAB_HISTORICO_MANUT[[#This Row],[Hora Inicio]]))</f>
        <v>2</v>
      </c>
      <c r="AH764" s="58" t="s">
        <v>489</v>
      </c>
      <c r="AI764" s="43" t="s">
        <v>149</v>
      </c>
      <c r="AJ764" s="43" t="s">
        <v>423</v>
      </c>
      <c r="AK764" s="43" t="s">
        <v>422</v>
      </c>
      <c r="AL764" s="43" t="s">
        <v>499</v>
      </c>
      <c r="AM764" s="114" t="s">
        <v>276</v>
      </c>
      <c r="AN764" s="43"/>
      <c r="AO764" s="43"/>
      <c r="AP764" s="43"/>
    </row>
    <row r="765" spans="1:42" ht="50.1" customHeight="1" x14ac:dyDescent="0.25">
      <c r="A765" s="115">
        <f>MONTH(TAB_HISTORICO_MANUT[[#This Row],[Hora Final]])-MONTH(TAB_HISTORICO_MANUT[[#This Row],[Hora Inicio]])</f>
        <v>0</v>
      </c>
      <c r="B765" s="116"/>
      <c r="C765" s="115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Inicio]]=Z764,TAB_HISTORICO_MANUT[[#This Row],[Equipamento]]=AA764,TAB_HISTORICO_MANUT[[#This Row],[Descricao Despacho]]=AD764),0,1)))</f>
        <v/>
      </c>
      <c r="O76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765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76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765" s="107" t="str">
        <f>IF($Q765="","",(TAB_HISTORICO_MANUT[[#This Row],[Hora Final]]-TAB_HISTORICO_MANUT[[#This Row],[Hora Inicio]])*24)</f>
        <v/>
      </c>
      <c r="S76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765" s="109" t="str">
        <f>IF(AND(TAB_HISTORICO_MANUT[[#This Row],[EXPURGO Mãe]]="SIM",TAB_HISTORICO_MANUT[[#This Row],[Tipo]]="MÃE"),"EXP.MAE",IF(TAB_HISTORICO_MANUT[[#This Row],[EXPURGO Mãe]]="NÃO","NÃO EXP.MAE",T764))</f>
        <v>NÃO EXP.MAE</v>
      </c>
      <c r="U76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765" s="110">
        <f>IF(TAB_HISTORICO_MANUT[[#This Row],[EXPURGO Filhas]]="SIM",MAX(TAB_HISTORICO_MANUT[[#This Row],[Hora Final]]-TAB_HISTORICO_MANUT[[#This Row],[Hora Inicio]],0),0)</f>
        <v>0.10278111111256294</v>
      </c>
      <c r="W76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6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65" s="117">
        <v>46057.013888888891</v>
      </c>
      <c r="Z765" s="118">
        <v>46057.116670000003</v>
      </c>
      <c r="AA765" s="119" t="s">
        <v>228</v>
      </c>
      <c r="AB765" s="119">
        <v>202601729918</v>
      </c>
      <c r="AC765" s="115" t="s">
        <v>204</v>
      </c>
      <c r="AD765" s="117" t="s">
        <v>144</v>
      </c>
      <c r="AE765" s="117" t="s">
        <v>233</v>
      </c>
      <c r="AF765" s="88" t="s">
        <v>767</v>
      </c>
      <c r="AG765" s="123">
        <f>IF(TAB_HISTORICO_MANUT[[#This Row],[Hora Inicio]]="","",MONTH(TAB_HISTORICO_MANUT[[#This Row],[Hora Inicio]]))</f>
        <v>2</v>
      </c>
      <c r="AH765" s="120" t="s">
        <v>489</v>
      </c>
      <c r="AI765" s="115" t="s">
        <v>149</v>
      </c>
      <c r="AJ765" s="115" t="s">
        <v>423</v>
      </c>
      <c r="AK765" s="115" t="s">
        <v>422</v>
      </c>
      <c r="AL765" s="115" t="s">
        <v>499</v>
      </c>
      <c r="AM765" s="121" t="s">
        <v>276</v>
      </c>
      <c r="AN765" s="115"/>
      <c r="AO765" s="115"/>
      <c r="AP765" s="115"/>
    </row>
    <row r="766" spans="1:42" ht="50.1" customHeight="1" x14ac:dyDescent="0.25">
      <c r="A766" s="115">
        <f>MONTH(TAB_HISTORICO_MANUT[[#This Row],[Hora Final]])-MONTH(TAB_HISTORICO_MANUT[[#This Row],[Hora Inicio]])</f>
        <v>0</v>
      </c>
      <c r="B766" s="116"/>
      <c r="C766" s="115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 t="s">
        <v>99</v>
      </c>
      <c r="N766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Inicio]]=Z765,TAB_HISTORICO_MANUT[[#This Row],[Equipamento]]=AA765,TAB_HISTORICO_MANUT[[#This Row],[Descricao Despacho]]=AD765),0,1)))</f>
        <v/>
      </c>
      <c r="O76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766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76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766" s="107" t="str">
        <f>IF($Q766="","",(TAB_HISTORICO_MANUT[[#This Row],[Hora Final]]-TAB_HISTORICO_MANUT[[#This Row],[Hora Inicio]])*24)</f>
        <v/>
      </c>
      <c r="S76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766" s="109" t="str">
        <f>IF(AND(TAB_HISTORICO_MANUT[[#This Row],[EXPURGO Mãe]]="SIM",TAB_HISTORICO_MANUT[[#This Row],[Tipo]]="MÃE"),"EXP.MAE",IF(TAB_HISTORICO_MANUT[[#This Row],[EXPURGO Mãe]]="NÃO","NÃO EXP.MAE",T765))</f>
        <v>NÃO EXP.MAE</v>
      </c>
      <c r="U76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66" s="110">
        <f>IF(TAB_HISTORICO_MANUT[[#This Row],[EXPURGO Filhas]]="SIM",MAX(TAB_HISTORICO_MANUT[[#This Row],[Hora Final]]-TAB_HISTORICO_MANUT[[#This Row],[Hora Inicio]],0),0)</f>
        <v>0</v>
      </c>
      <c r="W76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6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66" s="117">
        <v>46057.568749999999</v>
      </c>
      <c r="Z766" s="118">
        <v>46057.61041666667</v>
      </c>
      <c r="AA766" s="119" t="s">
        <v>228</v>
      </c>
      <c r="AB766" s="119">
        <v>202601729918</v>
      </c>
      <c r="AC766" s="115" t="s">
        <v>204</v>
      </c>
      <c r="AD766" s="117" t="s">
        <v>144</v>
      </c>
      <c r="AE766" s="117" t="s">
        <v>233</v>
      </c>
      <c r="AF766" s="88" t="s">
        <v>767</v>
      </c>
      <c r="AG766" s="123">
        <f>IF(TAB_HISTORICO_MANUT[[#This Row],[Hora Inicio]]="","",MONTH(TAB_HISTORICO_MANUT[[#This Row],[Hora Inicio]]))</f>
        <v>2</v>
      </c>
      <c r="AH766" s="120" t="s">
        <v>489</v>
      </c>
      <c r="AI766" s="115" t="s">
        <v>149</v>
      </c>
      <c r="AJ766" s="115" t="s">
        <v>423</v>
      </c>
      <c r="AK766" s="115" t="s">
        <v>422</v>
      </c>
      <c r="AL766" s="115" t="s">
        <v>499</v>
      </c>
      <c r="AM766" s="121" t="s">
        <v>276</v>
      </c>
      <c r="AN766" s="115"/>
      <c r="AO766" s="115"/>
      <c r="AP766" s="115"/>
    </row>
    <row r="767" spans="1:42" ht="50.1" customHeight="1" x14ac:dyDescent="0.25">
      <c r="A767" s="115">
        <f>MONTH(TAB_HISTORICO_MANUT[[#This Row],[Hora Final]])-MONTH(TAB_HISTORICO_MANUT[[#This Row],[Hora Inicio]])</f>
        <v>0</v>
      </c>
      <c r="B767" s="116"/>
      <c r="C767" s="115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Inicio]]=Z766,TAB_HISTORICO_MANUT[[#This Row],[Equipamento]]=AA766,TAB_HISTORICO_MANUT[[#This Row],[Descricao Despacho]]=AD766),0,1)))</f>
        <v/>
      </c>
      <c r="O76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767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76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767" s="107" t="str">
        <f>IF($Q767="","",(TAB_HISTORICO_MANUT[[#This Row],[Hora Final]]-TAB_HISTORICO_MANUT[[#This Row],[Hora Inicio]])*24)</f>
        <v/>
      </c>
      <c r="S76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767" s="109" t="str">
        <f>IF(AND(TAB_HISTORICO_MANUT[[#This Row],[EXPURGO Mãe]]="SIM",TAB_HISTORICO_MANUT[[#This Row],[Tipo]]="MÃE"),"EXP.MAE",IF(TAB_HISTORICO_MANUT[[#This Row],[EXPURGO Mãe]]="NÃO","NÃO EXP.MAE",T766))</f>
        <v>NÃO EXP.MAE</v>
      </c>
      <c r="U76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767" s="110">
        <f>IF(TAB_HISTORICO_MANUT[[#This Row],[EXPURGO Filhas]]="SIM",MAX(TAB_HISTORICO_MANUT[[#This Row],[Hora Final]]-TAB_HISTORICO_MANUT[[#This Row],[Hora Inicio]],0),0)</f>
        <v>9.0233333321521059E-3</v>
      </c>
      <c r="W76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6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67" s="117">
        <v>46057.61041666667</v>
      </c>
      <c r="Z767" s="118">
        <v>46057.619440000002</v>
      </c>
      <c r="AA767" s="119" t="s">
        <v>228</v>
      </c>
      <c r="AB767" s="119">
        <v>202601729918</v>
      </c>
      <c r="AC767" s="115" t="s">
        <v>204</v>
      </c>
      <c r="AD767" s="117" t="s">
        <v>144</v>
      </c>
      <c r="AE767" s="117" t="s">
        <v>233</v>
      </c>
      <c r="AF767" s="88" t="s">
        <v>767</v>
      </c>
      <c r="AG767" s="123">
        <f>IF(TAB_HISTORICO_MANUT[[#This Row],[Hora Inicio]]="","",MONTH(TAB_HISTORICO_MANUT[[#This Row],[Hora Inicio]]))</f>
        <v>2</v>
      </c>
      <c r="AH767" s="120" t="s">
        <v>489</v>
      </c>
      <c r="AI767" s="115" t="s">
        <v>149</v>
      </c>
      <c r="AJ767" s="115" t="s">
        <v>423</v>
      </c>
      <c r="AK767" s="115" t="s">
        <v>422</v>
      </c>
      <c r="AL767" s="115" t="s">
        <v>499</v>
      </c>
      <c r="AM767" s="121" t="s">
        <v>276</v>
      </c>
      <c r="AN767" s="115"/>
      <c r="AO767" s="115"/>
      <c r="AP767" s="115"/>
    </row>
    <row r="768" spans="1:42" ht="50.1" customHeight="1" x14ac:dyDescent="0.25">
      <c r="A768" s="115">
        <f>MONTH(TAB_HISTORICO_MANUT[[#This Row],[Hora Final]])-MONTH(TAB_HISTORICO_MANUT[[#This Row],[Hora Inicio]])</f>
        <v>0</v>
      </c>
      <c r="B768" s="116"/>
      <c r="C768" s="115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 t="s">
        <v>99</v>
      </c>
      <c r="N76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Inicio]]=Z767,TAB_HISTORICO_MANUT[[#This Row],[Equipamento]]=AA767,TAB_HISTORICO_MANUT[[#This Row],[Descricao Despacho]]=AD767),0,1)))</f>
        <v>1</v>
      </c>
      <c r="O76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76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76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768" s="107">
        <f>IF($Q768="","",(TAB_HISTORICO_MANUT[[#This Row],[Hora Final]]-TAB_HISTORICO_MANUT[[#This Row],[Hora Inicio]])*24)</f>
        <v>0.1783333332859911</v>
      </c>
      <c r="S76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68" s="109" t="str">
        <f>IF(AND(TAB_HISTORICO_MANUT[[#This Row],[EXPURGO Mãe]]="SIM",TAB_HISTORICO_MANUT[[#This Row],[Tipo]]="MÃE"),"EXP.MAE",IF(TAB_HISTORICO_MANUT[[#This Row],[EXPURGO Mãe]]="NÃO","NÃO EXP.MAE",T767))</f>
        <v>NÃO EXP.MAE</v>
      </c>
      <c r="U76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68" s="110">
        <f>IF(TAB_HISTORICO_MANUT[[#This Row],[EXPURGO Filhas]]="SIM",MAX(TAB_HISTORICO_MANUT[[#This Row],[Hora Final]]-TAB_HISTORICO_MANUT[[#This Row],[Hora Inicio]],0),0)</f>
        <v>0</v>
      </c>
      <c r="W76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6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68" s="117">
        <v>46058.331087962964</v>
      </c>
      <c r="Z768" s="118">
        <v>46058.338518518518</v>
      </c>
      <c r="AA768" s="119" t="s">
        <v>228</v>
      </c>
      <c r="AB768" s="119">
        <v>202601729918</v>
      </c>
      <c r="AC768" s="115" t="s">
        <v>300</v>
      </c>
      <c r="AD768" s="117" t="s">
        <v>146</v>
      </c>
      <c r="AE768" s="117" t="s">
        <v>178</v>
      </c>
      <c r="AF768" s="88" t="s">
        <v>210</v>
      </c>
      <c r="AG768" s="123">
        <f>IF(TAB_HISTORICO_MANUT[[#This Row],[Hora Inicio]]="","",MONTH(TAB_HISTORICO_MANUT[[#This Row],[Hora Inicio]]))</f>
        <v>2</v>
      </c>
      <c r="AH768" s="120" t="s">
        <v>544</v>
      </c>
      <c r="AI768" s="115" t="s">
        <v>340</v>
      </c>
      <c r="AJ768" s="115" t="s">
        <v>432</v>
      </c>
      <c r="AK768" s="115"/>
      <c r="AL768" s="115"/>
      <c r="AM768" s="121"/>
      <c r="AN768" s="115"/>
      <c r="AO768" s="115"/>
      <c r="AP768" s="115"/>
    </row>
    <row r="769" spans="1:42" ht="50.1" customHeight="1" x14ac:dyDescent="0.25">
      <c r="A769" s="115">
        <f>MONTH(TAB_HISTORICO_MANUT[[#This Row],[Hora Final]])-MONTH(TAB_HISTORICO_MANUT[[#This Row],[Hora Inicio]])</f>
        <v>0</v>
      </c>
      <c r="B769" s="116"/>
      <c r="C769" s="115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Inicio]]=Z768,TAB_HISTORICO_MANUT[[#This Row],[Equipamento]]=AA768,TAB_HISTORICO_MANUT[[#This Row],[Descricao Despacho]]=AD768),0,1)))</f>
        <v>0</v>
      </c>
      <c r="O76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76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76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769" s="107">
        <f>IF($Q769="","",(TAB_HISTORICO_MANUT[[#This Row],[Hora Final]]-TAB_HISTORICO_MANUT[[#This Row],[Hora Inicio]])*24)</f>
        <v>2.3905555555829778</v>
      </c>
      <c r="S76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69" s="109" t="str">
        <f>IF(AND(TAB_HISTORICO_MANUT[[#This Row],[EXPURGO Mãe]]="SIM",TAB_HISTORICO_MANUT[[#This Row],[Tipo]]="MÃE"),"EXP.MAE",IF(TAB_HISTORICO_MANUT[[#This Row],[EXPURGO Mãe]]="NÃO","NÃO EXP.MAE",T768))</f>
        <v>NÃO EXP.MAE</v>
      </c>
      <c r="U76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69" s="110">
        <f>IF(TAB_HISTORICO_MANUT[[#This Row],[EXPURGO Filhas]]="SIM",MAX(TAB_HISTORICO_MANUT[[#This Row],[Hora Final]]-TAB_HISTORICO_MANUT[[#This Row],[Hora Inicio]],0),0)</f>
        <v>0</v>
      </c>
      <c r="W76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6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69" s="117">
        <v>46058.338518518518</v>
      </c>
      <c r="Z769" s="118">
        <v>46058.438125000001</v>
      </c>
      <c r="AA769" s="119" t="s">
        <v>228</v>
      </c>
      <c r="AB769" s="119">
        <v>202601729918</v>
      </c>
      <c r="AC769" s="115" t="s">
        <v>301</v>
      </c>
      <c r="AD769" s="117" t="s">
        <v>146</v>
      </c>
      <c r="AE769" s="117" t="s">
        <v>310</v>
      </c>
      <c r="AF769" s="88" t="s">
        <v>210</v>
      </c>
      <c r="AG769" s="123">
        <f>IF(TAB_HISTORICO_MANUT[[#This Row],[Hora Inicio]]="","",MONTH(TAB_HISTORICO_MANUT[[#This Row],[Hora Inicio]]))</f>
        <v>2</v>
      </c>
      <c r="AH769" s="120" t="s">
        <v>544</v>
      </c>
      <c r="AI769" s="115" t="s">
        <v>340</v>
      </c>
      <c r="AJ769" s="115" t="s">
        <v>432</v>
      </c>
      <c r="AK769" s="115"/>
      <c r="AL769" s="115"/>
      <c r="AM769" s="121"/>
      <c r="AN769" s="115"/>
      <c r="AO769" s="115"/>
      <c r="AP769" s="115"/>
    </row>
    <row r="770" spans="1:42" ht="50.1" customHeight="1" x14ac:dyDescent="0.25">
      <c r="A770" s="115">
        <f>MONTH(TAB_HISTORICO_MANUT[[#This Row],[Hora Final]])-MONTH(TAB_HISTORICO_MANUT[[#This Row],[Hora Inicio]])</f>
        <v>0</v>
      </c>
      <c r="B770" s="116"/>
      <c r="C770" s="115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Inicio]]=Z769,TAB_HISTORICO_MANUT[[#This Row],[Equipamento]]=AA769,TAB_HISTORICO_MANUT[[#This Row],[Descricao Despacho]]=AD769),0,1)))</f>
        <v>0</v>
      </c>
      <c r="O77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77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77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770" s="107">
        <f>IF($Q770="","",(TAB_HISTORICO_MANUT[[#This Row],[Hora Final]]-TAB_HISTORICO_MANUT[[#This Row],[Hora Inicio]])*24)</f>
        <v>1.111111108912155E-2</v>
      </c>
      <c r="S77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70" s="109" t="str">
        <f>IF(AND(TAB_HISTORICO_MANUT[[#This Row],[EXPURGO Mãe]]="SIM",TAB_HISTORICO_MANUT[[#This Row],[Tipo]]="MÃE"),"EXP.MAE",IF(TAB_HISTORICO_MANUT[[#This Row],[EXPURGO Mãe]]="NÃO","NÃO EXP.MAE",T769))</f>
        <v>NÃO EXP.MAE</v>
      </c>
      <c r="U77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70" s="110">
        <f>IF(TAB_HISTORICO_MANUT[[#This Row],[EXPURGO Filhas]]="SIM",MAX(TAB_HISTORICO_MANUT[[#This Row],[Hora Final]]-TAB_HISTORICO_MANUT[[#This Row],[Hora Inicio]],0),0)</f>
        <v>0</v>
      </c>
      <c r="W77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7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70" s="117">
        <v>46058.438125000001</v>
      </c>
      <c r="Z770" s="118">
        <v>46058.438587962963</v>
      </c>
      <c r="AA770" s="119" t="s">
        <v>228</v>
      </c>
      <c r="AB770" s="119">
        <v>202601729918</v>
      </c>
      <c r="AC770" s="115" t="s">
        <v>302</v>
      </c>
      <c r="AD770" s="117" t="s">
        <v>146</v>
      </c>
      <c r="AE770" s="117" t="s">
        <v>311</v>
      </c>
      <c r="AF770" s="88" t="s">
        <v>210</v>
      </c>
      <c r="AG770" s="123">
        <f>IF(TAB_HISTORICO_MANUT[[#This Row],[Hora Inicio]]="","",MONTH(TAB_HISTORICO_MANUT[[#This Row],[Hora Inicio]]))</f>
        <v>2</v>
      </c>
      <c r="AH770" s="120" t="s">
        <v>544</v>
      </c>
      <c r="AI770" s="115" t="s">
        <v>340</v>
      </c>
      <c r="AJ770" s="115" t="s">
        <v>432</v>
      </c>
      <c r="AK770" s="115"/>
      <c r="AL770" s="115"/>
      <c r="AM770" s="121"/>
      <c r="AN770" s="115"/>
      <c r="AO770" s="115"/>
      <c r="AP770" s="115"/>
    </row>
    <row r="771" spans="1:42" ht="50.1" customHeight="1" x14ac:dyDescent="0.25">
      <c r="A771" s="115">
        <f>MONTH(TAB_HISTORICO_MANUT[[#This Row],[Hora Final]])-MONTH(TAB_HISTORICO_MANUT[[#This Row],[Hora Inicio]])</f>
        <v>0</v>
      </c>
      <c r="B771" s="116"/>
      <c r="C771" s="115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Inicio]]=Z770,TAB_HISTORICO_MANUT[[#This Row],[Equipamento]]=AA770,TAB_HISTORICO_MANUT[[#This Row],[Descricao Despacho]]=AD770),0,1)))</f>
        <v>0</v>
      </c>
      <c r="O77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77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77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771" s="107">
        <f>IF($Q771="","",(TAB_HISTORICO_MANUT[[#This Row],[Hora Final]]-TAB_HISTORICO_MANUT[[#This Row],[Hora Inicio]])*24)</f>
        <v>1.0161111111519858</v>
      </c>
      <c r="S77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771" s="109" t="str">
        <f>IF(AND(TAB_HISTORICO_MANUT[[#This Row],[EXPURGO Mãe]]="SIM",TAB_HISTORICO_MANUT[[#This Row],[Tipo]]="MÃE"),"EXP.MAE",IF(TAB_HISTORICO_MANUT[[#This Row],[EXPURGO Mãe]]="NÃO","NÃO EXP.MAE",T770))</f>
        <v>EXP.MAE</v>
      </c>
      <c r="U77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71" s="110">
        <f>IF(TAB_HISTORICO_MANUT[[#This Row],[EXPURGO Filhas]]="SIM",MAX(TAB_HISTORICO_MANUT[[#This Row],[Hora Final]]-TAB_HISTORICO_MANUT[[#This Row],[Hora Inicio]],0),0)</f>
        <v>0</v>
      </c>
      <c r="W77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7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71" s="117">
        <v>46058.438587962963</v>
      </c>
      <c r="Z771" s="118">
        <v>46058.480925925927</v>
      </c>
      <c r="AA771" s="119" t="s">
        <v>228</v>
      </c>
      <c r="AB771" s="119">
        <v>202601729918</v>
      </c>
      <c r="AC771" s="115" t="s">
        <v>362</v>
      </c>
      <c r="AD771" s="117" t="s">
        <v>146</v>
      </c>
      <c r="AE771" s="117" t="s">
        <v>175</v>
      </c>
      <c r="AF771" s="88" t="s">
        <v>210</v>
      </c>
      <c r="AG771" s="123">
        <f>IF(TAB_HISTORICO_MANUT[[#This Row],[Hora Inicio]]="","",MONTH(TAB_HISTORICO_MANUT[[#This Row],[Hora Inicio]]))</f>
        <v>2</v>
      </c>
      <c r="AH771" s="120" t="s">
        <v>544</v>
      </c>
      <c r="AI771" s="115" t="s">
        <v>340</v>
      </c>
      <c r="AJ771" s="115" t="s">
        <v>432</v>
      </c>
      <c r="AK771" s="115"/>
      <c r="AL771" s="115"/>
      <c r="AM771" s="121"/>
      <c r="AN771" s="115"/>
      <c r="AO771" s="115"/>
      <c r="AP771" s="115"/>
    </row>
    <row r="772" spans="1:42" ht="50.1" customHeight="1" x14ac:dyDescent="0.25">
      <c r="A772" s="115">
        <f>MONTH(TAB_HISTORICO_MANUT[[#This Row],[Hora Final]])-MONTH(TAB_HISTORICO_MANUT[[#This Row],[Hora Inicio]])</f>
        <v>0</v>
      </c>
      <c r="B772" s="116"/>
      <c r="C772" s="115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Inicio]]=Z771,TAB_HISTORICO_MANUT[[#This Row],[Equipamento]]=AA771,TAB_HISTORICO_MANUT[[#This Row],[Descricao Despacho]]=AD771),0,1)))</f>
        <v>0</v>
      </c>
      <c r="O77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77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77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772" s="107">
        <f>IF($Q772="","",(TAB_HISTORICO_MANUT[[#This Row],[Hora Final]]-TAB_HISTORICO_MANUT[[#This Row],[Hora Inicio]])*24)</f>
        <v>3.9999999999417923</v>
      </c>
      <c r="S77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72" s="109" t="str">
        <f>IF(AND(TAB_HISTORICO_MANUT[[#This Row],[EXPURGO Mãe]]="SIM",TAB_HISTORICO_MANUT[[#This Row],[Tipo]]="MÃE"),"EXP.MAE",IF(TAB_HISTORICO_MANUT[[#This Row],[EXPURGO Mãe]]="NÃO","NÃO EXP.MAE",T771))</f>
        <v>NÃO EXP.MAE</v>
      </c>
      <c r="U77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72" s="110">
        <f>IF(TAB_HISTORICO_MANUT[[#This Row],[EXPURGO Filhas]]="SIM",MAX(TAB_HISTORICO_MANUT[[#This Row],[Hora Final]]-TAB_HISTORICO_MANUT[[#This Row],[Hora Inicio]],0),0)</f>
        <v>0</v>
      </c>
      <c r="W77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7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72" s="117">
        <v>46058.480925925927</v>
      </c>
      <c r="Z772" s="118">
        <v>46058.647592592592</v>
      </c>
      <c r="AA772" s="119" t="s">
        <v>228</v>
      </c>
      <c r="AB772" s="119">
        <v>202601729918</v>
      </c>
      <c r="AC772" s="115" t="s">
        <v>302</v>
      </c>
      <c r="AD772" s="117" t="s">
        <v>146</v>
      </c>
      <c r="AE772" s="117" t="s">
        <v>311</v>
      </c>
      <c r="AF772" s="88" t="s">
        <v>210</v>
      </c>
      <c r="AG772" s="123">
        <f>IF(TAB_HISTORICO_MANUT[[#This Row],[Hora Inicio]]="","",MONTH(TAB_HISTORICO_MANUT[[#This Row],[Hora Inicio]]))</f>
        <v>2</v>
      </c>
      <c r="AH772" s="120" t="s">
        <v>544</v>
      </c>
      <c r="AI772" s="115" t="s">
        <v>340</v>
      </c>
      <c r="AJ772" s="115" t="s">
        <v>432</v>
      </c>
      <c r="AK772" s="115"/>
      <c r="AL772" s="115"/>
      <c r="AM772" s="121"/>
      <c r="AN772" s="115"/>
      <c r="AO772" s="115"/>
      <c r="AP772" s="115"/>
    </row>
    <row r="773" spans="1:42" ht="50.1" customHeight="1" x14ac:dyDescent="0.25">
      <c r="A773" s="115">
        <f>MONTH(TAB_HISTORICO_MANUT[[#This Row],[Hora Final]])-MONTH(TAB_HISTORICO_MANUT[[#This Row],[Hora Inicio]])</f>
        <v>0</v>
      </c>
      <c r="B773" s="116"/>
      <c r="C773" s="115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 t="s">
        <v>98</v>
      </c>
      <c r="N77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Inicio]]=Z772,TAB_HISTORICO_MANUT[[#This Row],[Equipamento]]=AA772,TAB_HISTORICO_MANUT[[#This Row],[Descricao Despacho]]=AD772),0,1)))</f>
        <v>0</v>
      </c>
      <c r="O77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77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77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773" s="107">
        <f>IF($Q773="","",(TAB_HISTORICO_MANUT[[#This Row],[Hora Final]]-TAB_HISTORICO_MANUT[[#This Row],[Hora Inicio]])*24)</f>
        <v>0.8349999999627471</v>
      </c>
      <c r="S77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773" s="109" t="str">
        <f>IF(AND(TAB_HISTORICO_MANUT[[#This Row],[EXPURGO Mãe]]="SIM",TAB_HISTORICO_MANUT[[#This Row],[Tipo]]="MÃE"),"EXP.MAE",IF(TAB_HISTORICO_MANUT[[#This Row],[EXPURGO Mãe]]="NÃO","NÃO EXP.MAE",T772))</f>
        <v>EXP.MAE</v>
      </c>
      <c r="U77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73" s="110">
        <f>IF(TAB_HISTORICO_MANUT[[#This Row],[EXPURGO Filhas]]="SIM",MAX(TAB_HISTORICO_MANUT[[#This Row],[Hora Final]]-TAB_HISTORICO_MANUT[[#This Row],[Hora Inicio]],0),0)</f>
        <v>0</v>
      </c>
      <c r="W77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7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73" s="117">
        <v>46058.647592592592</v>
      </c>
      <c r="Z773" s="118">
        <v>46058.682384259257</v>
      </c>
      <c r="AA773" s="119" t="s">
        <v>228</v>
      </c>
      <c r="AB773" s="119">
        <v>202601729918</v>
      </c>
      <c r="AC773" s="115" t="s">
        <v>302</v>
      </c>
      <c r="AD773" s="117" t="s">
        <v>146</v>
      </c>
      <c r="AE773" s="117" t="s">
        <v>311</v>
      </c>
      <c r="AF773" s="88" t="s">
        <v>210</v>
      </c>
      <c r="AG773" s="123">
        <f>IF(TAB_HISTORICO_MANUT[[#This Row],[Hora Inicio]]="","",MONTH(TAB_HISTORICO_MANUT[[#This Row],[Hora Inicio]]))</f>
        <v>2</v>
      </c>
      <c r="AH773" s="120" t="s">
        <v>544</v>
      </c>
      <c r="AI773" s="115" t="s">
        <v>340</v>
      </c>
      <c r="AJ773" s="115" t="s">
        <v>432</v>
      </c>
      <c r="AK773" s="115"/>
      <c r="AL773" s="115"/>
      <c r="AM773" s="121"/>
      <c r="AN773" s="115"/>
      <c r="AO773" s="115"/>
      <c r="AP773" s="115"/>
    </row>
    <row r="774" spans="1:42" ht="50.1" customHeight="1" x14ac:dyDescent="0.25">
      <c r="A774" s="115">
        <f>MONTH(TAB_HISTORICO_MANUT[[#This Row],[Hora Final]])-MONTH(TAB_HISTORICO_MANUT[[#This Row],[Hora Inicio]])</f>
        <v>0</v>
      </c>
      <c r="B774" s="116"/>
      <c r="C774" s="115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Inicio]]=Z773,TAB_HISTORICO_MANUT[[#This Row],[Equipamento]]=AA773,TAB_HISTORICO_MANUT[[#This Row],[Descricao Despacho]]=AD773),0,1)))</f>
        <v>0</v>
      </c>
      <c r="O77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77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77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774" s="107">
        <f>IF($Q774="","",(TAB_HISTORICO_MANUT[[#This Row],[Hora Final]]-TAB_HISTORICO_MANUT[[#This Row],[Hora Inicio]])*24)</f>
        <v>44.186388889036607</v>
      </c>
      <c r="S77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74" s="109" t="str">
        <f>IF(AND(TAB_HISTORICO_MANUT[[#This Row],[EXPURGO Mãe]]="SIM",TAB_HISTORICO_MANUT[[#This Row],[Tipo]]="MÃE"),"EXP.MAE",IF(TAB_HISTORICO_MANUT[[#This Row],[EXPURGO Mãe]]="NÃO","NÃO EXP.MAE",T773))</f>
        <v>NÃO EXP.MAE</v>
      </c>
      <c r="U77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74" s="110">
        <f>IF(TAB_HISTORICO_MANUT[[#This Row],[EXPURGO Filhas]]="SIM",MAX(TAB_HISTORICO_MANUT[[#This Row],[Hora Final]]-TAB_HISTORICO_MANUT[[#This Row],[Hora Inicio]],0),0)</f>
        <v>0</v>
      </c>
      <c r="W77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7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74" s="117">
        <v>46058.682384259257</v>
      </c>
      <c r="Z774" s="118">
        <v>46060.5234837963</v>
      </c>
      <c r="AA774" s="119" t="s">
        <v>228</v>
      </c>
      <c r="AB774" s="119">
        <v>202601729918</v>
      </c>
      <c r="AC774" s="115" t="s">
        <v>301</v>
      </c>
      <c r="AD774" s="117" t="s">
        <v>146</v>
      </c>
      <c r="AE774" s="117" t="s">
        <v>310</v>
      </c>
      <c r="AF774" s="88" t="s">
        <v>210</v>
      </c>
      <c r="AG774" s="123">
        <f>IF(TAB_HISTORICO_MANUT[[#This Row],[Hora Inicio]]="","",MONTH(TAB_HISTORICO_MANUT[[#This Row],[Hora Inicio]]))</f>
        <v>2</v>
      </c>
      <c r="AH774" s="120" t="s">
        <v>556</v>
      </c>
      <c r="AI774" s="115" t="s">
        <v>340</v>
      </c>
      <c r="AJ774" s="115" t="s">
        <v>432</v>
      </c>
      <c r="AK774" s="115"/>
      <c r="AL774" s="115"/>
      <c r="AM774" s="121"/>
      <c r="AN774" s="115"/>
      <c r="AO774" s="115"/>
      <c r="AP774" s="115"/>
    </row>
    <row r="775" spans="1:42" ht="50.1" customHeight="1" x14ac:dyDescent="0.25">
      <c r="A775" s="43">
        <f>MONTH(TAB_HISTORICO_MANUT[[#This Row],[Hora Final]])-MONTH(TAB_HISTORICO_MANUT[[#This Row],[Hora Inicio]])</f>
        <v>0</v>
      </c>
      <c r="B775" s="42"/>
      <c r="C775" s="43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Inicio]]=Z774,TAB_HISTORICO_MANUT[[#This Row],[Equipamento]]=AA774,TAB_HISTORICO_MANUT[[#This Row],[Descricao Despacho]]=AD774),0,1)))</f>
        <v>1</v>
      </c>
      <c r="O77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775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7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775" s="50">
        <f>IF($Q775="","",(TAB_HISTORICO_MANUT[[#This Row],[Hora Final]]-TAB_HISTORICO_MANUT[[#This Row],[Hora Inicio]])*24)</f>
        <v>0.25083333329530433</v>
      </c>
      <c r="S77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75" s="54" t="str">
        <f>IF(AND(TAB_HISTORICO_MANUT[[#This Row],[EXPURGO Mãe]]="SIM",TAB_HISTORICO_MANUT[[#This Row],[Tipo]]="MÃE"),"EXP.MAE",IF(TAB_HISTORICO_MANUT[[#This Row],[EXPURGO Mãe]]="NÃO","NÃO EXP.MAE",T774))</f>
        <v>NÃO EXP.MAE</v>
      </c>
      <c r="U77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75" s="56">
        <f>IF(TAB_HISTORICO_MANUT[[#This Row],[EXPURGO Filhas]]="SIM",MAX(TAB_HISTORICO_MANUT[[#This Row],[Hora Final]]-TAB_HISTORICO_MANUT[[#This Row],[Hora Inicio]],0),0)</f>
        <v>0</v>
      </c>
      <c r="W77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7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75" s="46">
        <v>46060.663078703707</v>
      </c>
      <c r="Z775" s="47">
        <v>46060.673530092594</v>
      </c>
      <c r="AA775" s="48" t="s">
        <v>228</v>
      </c>
      <c r="AB775" s="48">
        <v>202601729918</v>
      </c>
      <c r="AC775" s="43" t="s">
        <v>211</v>
      </c>
      <c r="AD775" s="46" t="s">
        <v>144</v>
      </c>
      <c r="AE775" s="46" t="s">
        <v>213</v>
      </c>
      <c r="AF775" s="88" t="s">
        <v>210</v>
      </c>
      <c r="AG775" s="105">
        <f>IF(TAB_HISTORICO_MANUT[[#This Row],[Hora Inicio]]="","",MONTH(TAB_HISTORICO_MANUT[[#This Row],[Hora Inicio]]))</f>
        <v>2</v>
      </c>
      <c r="AH775" s="58" t="s">
        <v>514</v>
      </c>
      <c r="AI775" s="43" t="s">
        <v>21</v>
      </c>
      <c r="AJ775" s="43" t="s">
        <v>427</v>
      </c>
      <c r="AK775" s="43" t="s">
        <v>291</v>
      </c>
      <c r="AL775" s="43" t="s">
        <v>292</v>
      </c>
      <c r="AM775" s="114" t="s">
        <v>294</v>
      </c>
      <c r="AN775" s="43"/>
      <c r="AO775" s="43"/>
      <c r="AP775" s="43"/>
    </row>
    <row r="776" spans="1:42" ht="50.1" customHeight="1" x14ac:dyDescent="0.25">
      <c r="A776" s="115">
        <f>MONTH(TAB_HISTORICO_MANUT[[#This Row],[Hora Final]])-MONTH(TAB_HISTORICO_MANUT[[#This Row],[Hora Inicio]])</f>
        <v>0</v>
      </c>
      <c r="B776" s="116"/>
      <c r="C776" s="115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Inicio]]=Z775,TAB_HISTORICO_MANUT[[#This Row],[Equipamento]]=AA775,TAB_HISTORICO_MANUT[[#This Row],[Descricao Despacho]]=AD775),0,1)))</f>
        <v>1</v>
      </c>
      <c r="O77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DE FREIO</v>
      </c>
      <c r="P77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7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76" s="107">
        <f>IF($Q776="","",(TAB_HISTORICO_MANUT[[#This Row],[Hora Final]]-TAB_HISTORICO_MANUT[[#This Row],[Hora Inicio]])*24)</f>
        <v>47.654166666674428</v>
      </c>
      <c r="S77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76" s="109" t="str">
        <f>IF(AND(TAB_HISTORICO_MANUT[[#This Row],[EXPURGO Mãe]]="SIM",TAB_HISTORICO_MANUT[[#This Row],[Tipo]]="MÃE"),"EXP.MAE",IF(TAB_HISTORICO_MANUT[[#This Row],[EXPURGO Mãe]]="NÃO","NÃO EXP.MAE",T775))</f>
        <v>NÃO EXP.MAE</v>
      </c>
      <c r="U77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76" s="110">
        <f>IF(TAB_HISTORICO_MANUT[[#This Row],[EXPURGO Filhas]]="SIM",MAX(TAB_HISTORICO_MANUT[[#This Row],[Hora Final]]-TAB_HISTORICO_MANUT[[#This Row],[Hora Inicio]],0),0)</f>
        <v>0</v>
      </c>
      <c r="W77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7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76" s="117">
        <v>46060.716145833336</v>
      </c>
      <c r="Z776" s="118">
        <v>46062.701736111114</v>
      </c>
      <c r="AA776" s="119" t="s">
        <v>228</v>
      </c>
      <c r="AB776" s="119">
        <v>202601729918</v>
      </c>
      <c r="AC776" s="115" t="s">
        <v>204</v>
      </c>
      <c r="AD776" s="117" t="s">
        <v>144</v>
      </c>
      <c r="AE776" s="117" t="s">
        <v>172</v>
      </c>
      <c r="AF776" s="88" t="s">
        <v>210</v>
      </c>
      <c r="AG776" s="123">
        <f>IF(TAB_HISTORICO_MANUT[[#This Row],[Hora Inicio]]="","",MONTH(TAB_HISTORICO_MANUT[[#This Row],[Hora Inicio]]))</f>
        <v>2</v>
      </c>
      <c r="AH776" s="120" t="s">
        <v>515</v>
      </c>
      <c r="AI776" s="115" t="s">
        <v>46</v>
      </c>
      <c r="AJ776" s="115" t="s">
        <v>537</v>
      </c>
      <c r="AK776" s="115" t="s">
        <v>529</v>
      </c>
      <c r="AL776" s="115" t="s">
        <v>275</v>
      </c>
      <c r="AM776" s="121" t="s">
        <v>276</v>
      </c>
      <c r="AN776" s="115"/>
      <c r="AO776" s="115"/>
      <c r="AP776" s="115"/>
    </row>
    <row r="777" spans="1:42" ht="50.1" customHeight="1" x14ac:dyDescent="0.25">
      <c r="A777" s="115">
        <f>MONTH(TAB_HISTORICO_MANUT[[#This Row],[Hora Final]])-MONTH(TAB_HISTORICO_MANUT[[#This Row],[Hora Inicio]])</f>
        <v>0</v>
      </c>
      <c r="B777" s="116"/>
      <c r="C777" s="115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 t="s">
        <v>99</v>
      </c>
      <c r="N777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Inicio]]=Z776,TAB_HISTORICO_MANUT[[#This Row],[Equipamento]]=AA776,TAB_HISTORICO_MANUT[[#This Row],[Descricao Despacho]]=AD776),0,1)))</f>
        <v/>
      </c>
      <c r="O77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777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77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777" s="107" t="str">
        <f>IF($Q777="","",(TAB_HISTORICO_MANUT[[#This Row],[Hora Final]]-TAB_HISTORICO_MANUT[[#This Row],[Hora Inicio]])*24)</f>
        <v/>
      </c>
      <c r="S77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777" s="109" t="str">
        <f>IF(AND(TAB_HISTORICO_MANUT[[#This Row],[EXPURGO Mãe]]="SIM",TAB_HISTORICO_MANUT[[#This Row],[Tipo]]="MÃE"),"EXP.MAE",IF(TAB_HISTORICO_MANUT[[#This Row],[EXPURGO Mãe]]="NÃO","NÃO EXP.MAE",T776))</f>
        <v>NÃO EXP.MAE</v>
      </c>
      <c r="U77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77" s="110">
        <f>IF(TAB_HISTORICO_MANUT[[#This Row],[EXPURGO Filhas]]="SIM",MAX(TAB_HISTORICO_MANUT[[#This Row],[Hora Final]]-TAB_HISTORICO_MANUT[[#This Row],[Hora Inicio]],0),0)</f>
        <v>0</v>
      </c>
      <c r="W77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7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77" s="117">
        <v>46061.125</v>
      </c>
      <c r="Z777" s="118">
        <v>46061.166666666664</v>
      </c>
      <c r="AA777" s="119" t="s">
        <v>228</v>
      </c>
      <c r="AB777" s="119">
        <v>202601729918</v>
      </c>
      <c r="AC777" s="115" t="s">
        <v>204</v>
      </c>
      <c r="AD777" s="117" t="s">
        <v>144</v>
      </c>
      <c r="AE777" s="117" t="s">
        <v>233</v>
      </c>
      <c r="AF777" s="88" t="s">
        <v>767</v>
      </c>
      <c r="AG777" s="123">
        <f>IF(TAB_HISTORICO_MANUT[[#This Row],[Hora Inicio]]="","",MONTH(TAB_HISTORICO_MANUT[[#This Row],[Hora Inicio]]))</f>
        <v>2</v>
      </c>
      <c r="AH777" s="120" t="s">
        <v>515</v>
      </c>
      <c r="AI777" s="115" t="s">
        <v>46</v>
      </c>
      <c r="AJ777" s="115" t="s">
        <v>537</v>
      </c>
      <c r="AK777" s="115" t="s">
        <v>529</v>
      </c>
      <c r="AL777" s="115" t="s">
        <v>275</v>
      </c>
      <c r="AM777" s="121" t="s">
        <v>276</v>
      </c>
      <c r="AN777" s="115"/>
      <c r="AO777" s="115"/>
      <c r="AP777" s="115"/>
    </row>
    <row r="778" spans="1:42" ht="50.1" customHeight="1" x14ac:dyDescent="0.25">
      <c r="A778" s="115">
        <f>MONTH(TAB_HISTORICO_MANUT[[#This Row],[Hora Final]])-MONTH(TAB_HISTORICO_MANUT[[#This Row],[Hora Inicio]])</f>
        <v>0</v>
      </c>
      <c r="B778" s="116"/>
      <c r="C778" s="115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Inicio]]=Z777,TAB_HISTORICO_MANUT[[#This Row],[Equipamento]]=AA777,TAB_HISTORICO_MANUT[[#This Row],[Descricao Despacho]]=AD777),0,1)))</f>
        <v/>
      </c>
      <c r="O77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778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77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778" s="107" t="str">
        <f>IF($Q778="","",(TAB_HISTORICO_MANUT[[#This Row],[Hora Final]]-TAB_HISTORICO_MANUT[[#This Row],[Hora Inicio]])*24)</f>
        <v/>
      </c>
      <c r="S77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778" s="109" t="str">
        <f>IF(AND(TAB_HISTORICO_MANUT[[#This Row],[EXPURGO Mãe]]="SIM",TAB_HISTORICO_MANUT[[#This Row],[Tipo]]="MÃE"),"EXP.MAE",IF(TAB_HISTORICO_MANUT[[#This Row],[EXPURGO Mãe]]="NÃO","NÃO EXP.MAE",T777))</f>
        <v>NÃO EXP.MAE</v>
      </c>
      <c r="U77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778" s="110">
        <f>IF(TAB_HISTORICO_MANUT[[#This Row],[EXPURGO Filhas]]="SIM",MAX(TAB_HISTORICO_MANUT[[#This Row],[Hora Final]]-TAB_HISTORICO_MANUT[[#This Row],[Hora Inicio]],0),0)</f>
        <v>8.3333333335758653E-2</v>
      </c>
      <c r="W77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7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78" s="117">
        <v>46061.166666666664</v>
      </c>
      <c r="Z778" s="118">
        <v>46061.25</v>
      </c>
      <c r="AA778" s="119" t="s">
        <v>228</v>
      </c>
      <c r="AB778" s="119">
        <v>202601729918</v>
      </c>
      <c r="AC778" s="115" t="s">
        <v>204</v>
      </c>
      <c r="AD778" s="117" t="s">
        <v>144</v>
      </c>
      <c r="AE778" s="117" t="s">
        <v>233</v>
      </c>
      <c r="AF778" s="88" t="s">
        <v>767</v>
      </c>
      <c r="AG778" s="123">
        <f>IF(TAB_HISTORICO_MANUT[[#This Row],[Hora Inicio]]="","",MONTH(TAB_HISTORICO_MANUT[[#This Row],[Hora Inicio]]))</f>
        <v>2</v>
      </c>
      <c r="AH778" s="120" t="s">
        <v>515</v>
      </c>
      <c r="AI778" s="115" t="s">
        <v>46</v>
      </c>
      <c r="AJ778" s="115" t="s">
        <v>537</v>
      </c>
      <c r="AK778" s="115" t="s">
        <v>529</v>
      </c>
      <c r="AL778" s="115" t="s">
        <v>275</v>
      </c>
      <c r="AM778" s="121" t="s">
        <v>276</v>
      </c>
      <c r="AN778" s="115"/>
      <c r="AO778" s="115"/>
      <c r="AP778" s="115"/>
    </row>
    <row r="779" spans="1:42" ht="50.1" customHeight="1" x14ac:dyDescent="0.25">
      <c r="A779" s="115">
        <f>MONTH(TAB_HISTORICO_MANUT[[#This Row],[Hora Final]])-MONTH(TAB_HISTORICO_MANUT[[#This Row],[Hora Inicio]])</f>
        <v>0</v>
      </c>
      <c r="B779" s="116"/>
      <c r="C779" s="115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Inicio]]=Z778,TAB_HISTORICO_MANUT[[#This Row],[Equipamento]]=AA778,TAB_HISTORICO_MANUT[[#This Row],[Descricao Despacho]]=AD778),0,1)))</f>
        <v>1</v>
      </c>
      <c r="O77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DE FREIO</v>
      </c>
      <c r="P77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7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79" s="107">
        <f>IF($Q779="","",(TAB_HISTORICO_MANUT[[#This Row],[Hora Final]]-TAB_HISTORICO_MANUT[[#This Row],[Hora Inicio]])*24)</f>
        <v>5.6308333332999609</v>
      </c>
      <c r="S77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79" s="109" t="str">
        <f>IF(AND(TAB_HISTORICO_MANUT[[#This Row],[EXPURGO Mãe]]="SIM",TAB_HISTORICO_MANUT[[#This Row],[Tipo]]="MÃE"),"EXP.MAE",IF(TAB_HISTORICO_MANUT[[#This Row],[EXPURGO Mãe]]="NÃO","NÃO EXP.MAE",T778))</f>
        <v>NÃO EXP.MAE</v>
      </c>
      <c r="U77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79" s="110">
        <f>IF(TAB_HISTORICO_MANUT[[#This Row],[EXPURGO Filhas]]="SIM",MAX(TAB_HISTORICO_MANUT[[#This Row],[Hora Final]]-TAB_HISTORICO_MANUT[[#This Row],[Hora Inicio]],0),0)</f>
        <v>0</v>
      </c>
      <c r="W77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7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79" s="117">
        <v>46062.898449074077</v>
      </c>
      <c r="Z779" s="118">
        <v>46063.133067129631</v>
      </c>
      <c r="AA779" s="119" t="s">
        <v>228</v>
      </c>
      <c r="AB779" s="119">
        <v>202601729918</v>
      </c>
      <c r="AC779" s="115" t="s">
        <v>204</v>
      </c>
      <c r="AD779" s="117" t="s">
        <v>144</v>
      </c>
      <c r="AE779" s="117" t="s">
        <v>172</v>
      </c>
      <c r="AF779" s="88" t="s">
        <v>210</v>
      </c>
      <c r="AG779" s="123">
        <f>IF(TAB_HISTORICO_MANUT[[#This Row],[Hora Inicio]]="","",MONTH(TAB_HISTORICO_MANUT[[#This Row],[Hora Inicio]]))</f>
        <v>2</v>
      </c>
      <c r="AH779" s="120" t="s">
        <v>518</v>
      </c>
      <c r="AI779" s="115" t="s">
        <v>46</v>
      </c>
      <c r="AJ779" s="115" t="s">
        <v>537</v>
      </c>
      <c r="AK779" s="115" t="s">
        <v>331</v>
      </c>
      <c r="AL779" s="115" t="s">
        <v>275</v>
      </c>
      <c r="AM779" s="121" t="s">
        <v>276</v>
      </c>
      <c r="AN779" s="115"/>
      <c r="AO779" s="115"/>
      <c r="AP779" s="115"/>
    </row>
    <row r="780" spans="1:42" ht="50.1" customHeight="1" x14ac:dyDescent="0.25">
      <c r="A780" s="115">
        <f>MONTH(TAB_HISTORICO_MANUT[[#This Row],[Hora Final]])-MONTH(TAB_HISTORICO_MANUT[[#This Row],[Hora Inicio]])</f>
        <v>0</v>
      </c>
      <c r="B780" s="116"/>
      <c r="C780" s="115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Inicio]]=Z779,TAB_HISTORICO_MANUT[[#This Row],[Equipamento]]=AA779,TAB_HISTORICO_MANUT[[#This Row],[Descricao Despacho]]=AD779),0,1)))</f>
        <v>1</v>
      </c>
      <c r="O78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DE FREIO</v>
      </c>
      <c r="P78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8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80" s="107">
        <f>IF($Q780="","",(TAB_HISTORICO_MANUT[[#This Row],[Hora Final]]-TAB_HISTORICO_MANUT[[#This Row],[Hora Inicio]])*24)</f>
        <v>12.282222222187556</v>
      </c>
      <c r="S78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80" s="109" t="str">
        <f>IF(AND(TAB_HISTORICO_MANUT[[#This Row],[EXPURGO Mãe]]="SIM",TAB_HISTORICO_MANUT[[#This Row],[Tipo]]="MÃE"),"EXP.MAE",IF(TAB_HISTORICO_MANUT[[#This Row],[EXPURGO Mãe]]="NÃO","NÃO EXP.MAE",T779))</f>
        <v>NÃO EXP.MAE</v>
      </c>
      <c r="U78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80" s="110">
        <f>IF(TAB_HISTORICO_MANUT[[#This Row],[EXPURGO Filhas]]="SIM",MAX(TAB_HISTORICO_MANUT[[#This Row],[Hora Final]]-TAB_HISTORICO_MANUT[[#This Row],[Hora Inicio]],0),0)</f>
        <v>0</v>
      </c>
      <c r="W78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8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80" s="117">
        <v>46063.219305555554</v>
      </c>
      <c r="Z780" s="118">
        <v>46063.731064814812</v>
      </c>
      <c r="AA780" s="119" t="s">
        <v>228</v>
      </c>
      <c r="AB780" s="119">
        <v>202601729918</v>
      </c>
      <c r="AC780" s="115" t="s">
        <v>204</v>
      </c>
      <c r="AD780" s="117" t="s">
        <v>144</v>
      </c>
      <c r="AE780" s="117" t="s">
        <v>172</v>
      </c>
      <c r="AF780" s="88" t="s">
        <v>210</v>
      </c>
      <c r="AG780" s="123">
        <f>IF(TAB_HISTORICO_MANUT[[#This Row],[Hora Inicio]]="","",MONTH(TAB_HISTORICO_MANUT[[#This Row],[Hora Inicio]]))</f>
        <v>2</v>
      </c>
      <c r="AH780" s="120" t="s">
        <v>519</v>
      </c>
      <c r="AI780" s="115" t="s">
        <v>46</v>
      </c>
      <c r="AJ780" s="115" t="s">
        <v>537</v>
      </c>
      <c r="AK780" s="115" t="s">
        <v>538</v>
      </c>
      <c r="AL780" s="115" t="s">
        <v>354</v>
      </c>
      <c r="AM780" s="121" t="s">
        <v>355</v>
      </c>
      <c r="AN780" s="115"/>
      <c r="AO780" s="115"/>
      <c r="AP780" s="115"/>
    </row>
    <row r="781" spans="1:42" ht="50.1" customHeight="1" x14ac:dyDescent="0.25">
      <c r="A781" s="115">
        <f>MONTH(TAB_HISTORICO_MANUT[[#This Row],[Hora Final]])-MONTH(TAB_HISTORICO_MANUT[[#This Row],[Hora Inicio]])</f>
        <v>0</v>
      </c>
      <c r="B781" s="116"/>
      <c r="C781" s="115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Inicio]]=Z780,TAB_HISTORICO_MANUT[[#This Row],[Equipamento]]=AA780,TAB_HISTORICO_MANUT[[#This Row],[Descricao Despacho]]=AD780),0,1)))</f>
        <v/>
      </c>
      <c r="O78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781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78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781" s="107" t="str">
        <f>IF($Q781="","",(TAB_HISTORICO_MANUT[[#This Row],[Hora Final]]-TAB_HISTORICO_MANUT[[#This Row],[Hora Inicio]])*24)</f>
        <v/>
      </c>
      <c r="S78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781" s="109" t="str">
        <f>IF(AND(TAB_HISTORICO_MANUT[[#This Row],[EXPURGO Mãe]]="SIM",TAB_HISTORICO_MANUT[[#This Row],[Tipo]]="MÃE"),"EXP.MAE",IF(TAB_HISTORICO_MANUT[[#This Row],[EXPURGO Mãe]]="NÃO","NÃO EXP.MAE",T780))</f>
        <v>NÃO EXP.MAE</v>
      </c>
      <c r="U78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781" s="110">
        <f>IF(TAB_HISTORICO_MANUT[[#This Row],[EXPURGO Filhas]]="SIM",MAX(TAB_HISTORICO_MANUT[[#This Row],[Hora Final]]-TAB_HISTORICO_MANUT[[#This Row],[Hora Inicio]],0),0)</f>
        <v>3.4019999999145512E-2</v>
      </c>
      <c r="W78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8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81" s="117">
        <v>46063.479169999999</v>
      </c>
      <c r="Z781" s="118">
        <v>46063.513189999998</v>
      </c>
      <c r="AA781" s="119" t="s">
        <v>228</v>
      </c>
      <c r="AB781" s="119">
        <v>202601729918</v>
      </c>
      <c r="AC781" s="115" t="s">
        <v>204</v>
      </c>
      <c r="AD781" s="117" t="s">
        <v>144</v>
      </c>
      <c r="AE781" s="117" t="s">
        <v>231</v>
      </c>
      <c r="AF781" s="88" t="s">
        <v>767</v>
      </c>
      <c r="AG781" s="123">
        <f>IF(TAB_HISTORICO_MANUT[[#This Row],[Hora Inicio]]="","",MONTH(TAB_HISTORICO_MANUT[[#This Row],[Hora Inicio]]))</f>
        <v>2</v>
      </c>
      <c r="AH781" s="120" t="s">
        <v>519</v>
      </c>
      <c r="AI781" s="115" t="s">
        <v>46</v>
      </c>
      <c r="AJ781" s="115" t="s">
        <v>537</v>
      </c>
      <c r="AK781" s="115" t="s">
        <v>538</v>
      </c>
      <c r="AL781" s="115" t="s">
        <v>354</v>
      </c>
      <c r="AM781" s="121" t="s">
        <v>355</v>
      </c>
      <c r="AN781" s="115"/>
      <c r="AO781" s="115"/>
      <c r="AP781" s="115"/>
    </row>
    <row r="782" spans="1:42" ht="50.1" customHeight="1" x14ac:dyDescent="0.25">
      <c r="A782" s="43">
        <f>MONTH(TAB_HISTORICO_MANUT[[#This Row],[Hora Final]])-MONTH(TAB_HISTORICO_MANUT[[#This Row],[Hora Inicio]])</f>
        <v>0</v>
      </c>
      <c r="B782" s="42"/>
      <c r="C782" s="43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Inicio]]=Z781,TAB_HISTORICO_MANUT[[#This Row],[Equipamento]]=AA781,TAB_HISTORICO_MANUT[[#This Row],[Descricao Despacho]]=AD781),0,1)))</f>
        <v/>
      </c>
      <c r="O78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782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78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782" s="50" t="str">
        <f>IF($Q782="","",(TAB_HISTORICO_MANUT[[#This Row],[Hora Final]]-TAB_HISTORICO_MANUT[[#This Row],[Hora Inicio]])*24)</f>
        <v/>
      </c>
      <c r="S78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782" s="54" t="str">
        <f>IF(AND(TAB_HISTORICO_MANUT[[#This Row],[EXPURGO Mãe]]="SIM",TAB_HISTORICO_MANUT[[#This Row],[Tipo]]="MÃE"),"EXP.MAE",IF(TAB_HISTORICO_MANUT[[#This Row],[EXPURGO Mãe]]="NÃO","NÃO EXP.MAE",T781))</f>
        <v>NÃO EXP.MAE</v>
      </c>
      <c r="U78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782" s="56">
        <f>IF(TAB_HISTORICO_MANUT[[#This Row],[EXPURGO Filhas]]="SIM",MAX(TAB_HISTORICO_MANUT[[#This Row],[Hora Final]]-TAB_HISTORICO_MANUT[[#This Row],[Hora Inicio]],0),0)</f>
        <v>3.2639999997627456E-2</v>
      </c>
      <c r="W78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8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82" s="46">
        <v>46063.625</v>
      </c>
      <c r="Z782" s="47">
        <v>46063.657639999998</v>
      </c>
      <c r="AA782" s="48" t="s">
        <v>228</v>
      </c>
      <c r="AB782" s="48">
        <v>202601729918</v>
      </c>
      <c r="AC782" s="43" t="s">
        <v>204</v>
      </c>
      <c r="AD782" s="46" t="s">
        <v>144</v>
      </c>
      <c r="AE782" s="46" t="s">
        <v>772</v>
      </c>
      <c r="AF782" s="88" t="s">
        <v>767</v>
      </c>
      <c r="AG782" s="105">
        <f>IF(TAB_HISTORICO_MANUT[[#This Row],[Hora Inicio]]="","",MONTH(TAB_HISTORICO_MANUT[[#This Row],[Hora Inicio]]))</f>
        <v>2</v>
      </c>
      <c r="AH782" s="58" t="s">
        <v>519</v>
      </c>
      <c r="AI782" s="43" t="s">
        <v>46</v>
      </c>
      <c r="AJ782" s="43" t="s">
        <v>537</v>
      </c>
      <c r="AK782" s="43" t="s">
        <v>538</v>
      </c>
      <c r="AL782" s="43" t="s">
        <v>354</v>
      </c>
      <c r="AM782" s="114" t="s">
        <v>355</v>
      </c>
      <c r="AN782" s="43"/>
      <c r="AO782" s="43"/>
      <c r="AP782" s="43"/>
    </row>
    <row r="783" spans="1:42" ht="50.1" customHeight="1" x14ac:dyDescent="0.25">
      <c r="A783" s="43">
        <f>MONTH(TAB_HISTORICO_MANUT[[#This Row],[Hora Final]])-MONTH(TAB_HISTORICO_MANUT[[#This Row],[Hora Inicio]])</f>
        <v>0</v>
      </c>
      <c r="B783" s="42"/>
      <c r="C783" s="43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Inicio]]=Z782,TAB_HISTORICO_MANUT[[#This Row],[Equipamento]]=AA782,TAB_HISTORICO_MANUT[[#This Row],[Descricao Despacho]]=AD782),0,1)))</f>
        <v>1</v>
      </c>
      <c r="O78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783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78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783" s="50">
        <f>IF($Q783="","",(TAB_HISTORICO_MANUT[[#This Row],[Hora Final]]-TAB_HISTORICO_MANUT[[#This Row],[Hora Inicio]])*24)</f>
        <v>0.76416666666045785</v>
      </c>
      <c r="S78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783" s="54" t="str">
        <f>IF(AND(TAB_HISTORICO_MANUT[[#This Row],[EXPURGO Mãe]]="SIM",TAB_HISTORICO_MANUT[[#This Row],[Tipo]]="MÃE"),"EXP.MAE",IF(TAB_HISTORICO_MANUT[[#This Row],[EXPURGO Mãe]]="NÃO","NÃO EXP.MAE",T782))</f>
        <v>EXP.MAE</v>
      </c>
      <c r="U78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83" s="56">
        <f>IF(TAB_HISTORICO_MANUT[[#This Row],[EXPURGO Filhas]]="SIM",MAX(TAB_HISTORICO_MANUT[[#This Row],[Hora Final]]-TAB_HISTORICO_MANUT[[#This Row],[Hora Inicio]],0),0)</f>
        <v>0</v>
      </c>
      <c r="W78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8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83" s="46">
        <v>46063.980486111112</v>
      </c>
      <c r="Z783" s="47">
        <v>46064.012326388889</v>
      </c>
      <c r="AA783" s="48" t="s">
        <v>228</v>
      </c>
      <c r="AB783" s="48">
        <v>202601729918</v>
      </c>
      <c r="AC783" s="43" t="s">
        <v>364</v>
      </c>
      <c r="AD783" s="46" t="s">
        <v>145</v>
      </c>
      <c r="AE783" s="46" t="s">
        <v>360</v>
      </c>
      <c r="AF783" s="88" t="s">
        <v>210</v>
      </c>
      <c r="AG783" s="105">
        <f>IF(TAB_HISTORICO_MANUT[[#This Row],[Hora Inicio]]="","",MONTH(TAB_HISTORICO_MANUT[[#This Row],[Hora Inicio]]))</f>
        <v>2</v>
      </c>
      <c r="AH783" s="58"/>
      <c r="AI783" s="43" t="s">
        <v>82</v>
      </c>
      <c r="AJ783" s="43" t="s">
        <v>82</v>
      </c>
      <c r="AK783" s="43" t="s">
        <v>82</v>
      </c>
      <c r="AL783" s="43" t="s">
        <v>82</v>
      </c>
      <c r="AM783" s="114" t="s">
        <v>82</v>
      </c>
      <c r="AN783" s="43"/>
      <c r="AO783" s="43"/>
      <c r="AP783" s="43"/>
    </row>
    <row r="784" spans="1:42" ht="50.1" customHeight="1" x14ac:dyDescent="0.25">
      <c r="A784" s="43">
        <f>MONTH(TAB_HISTORICO_MANUT[[#This Row],[Hora Final]])-MONTH(TAB_HISTORICO_MANUT[[#This Row],[Hora Inicio]])</f>
        <v>0</v>
      </c>
      <c r="B784" s="42"/>
      <c r="C784" s="43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Inicio]]=Z783,TAB_HISTORICO_MANUT[[#This Row],[Equipamento]]=AA783,TAB_HISTORICO_MANUT[[#This Row],[Descricao Despacho]]=AD783),0,1)))</f>
        <v>1</v>
      </c>
      <c r="O78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784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8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84" s="50">
        <f>IF($Q784="","",(TAB_HISTORICO_MANUT[[#This Row],[Hora Final]]-TAB_HISTORICO_MANUT[[#This Row],[Hora Inicio]])*24)</f>
        <v>6.3561111110611819</v>
      </c>
      <c r="S78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84" s="54" t="str">
        <f>IF(AND(TAB_HISTORICO_MANUT[[#This Row],[EXPURGO Mãe]]="SIM",TAB_HISTORICO_MANUT[[#This Row],[Tipo]]="MÃE"),"EXP.MAE",IF(TAB_HISTORICO_MANUT[[#This Row],[EXPURGO Mãe]]="NÃO","NÃO EXP.MAE",T783))</f>
        <v>NÃO EXP.MAE</v>
      </c>
      <c r="U78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84" s="56">
        <f>IF(TAB_HISTORICO_MANUT[[#This Row],[EXPURGO Filhas]]="SIM",MAX(TAB_HISTORICO_MANUT[[#This Row],[Hora Final]]-TAB_HISTORICO_MANUT[[#This Row],[Hora Inicio]],0),0)</f>
        <v>0</v>
      </c>
      <c r="W78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8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84" s="46">
        <v>46064.274097222224</v>
      </c>
      <c r="Z784" s="47">
        <v>46064.538935185185</v>
      </c>
      <c r="AA784" s="48" t="s">
        <v>228</v>
      </c>
      <c r="AB784" s="48">
        <v>202601729918</v>
      </c>
      <c r="AC784" s="43" t="s">
        <v>204</v>
      </c>
      <c r="AD784" s="46" t="s">
        <v>144</v>
      </c>
      <c r="AE784" s="46" t="s">
        <v>172</v>
      </c>
      <c r="AF784" s="88" t="s">
        <v>210</v>
      </c>
      <c r="AG784" s="105">
        <f>IF(TAB_HISTORICO_MANUT[[#This Row],[Hora Inicio]]="","",MONTH(TAB_HISTORICO_MANUT[[#This Row],[Hora Inicio]]))</f>
        <v>2</v>
      </c>
      <c r="AH784" s="58" t="s">
        <v>550</v>
      </c>
      <c r="AI784" s="43" t="s">
        <v>22</v>
      </c>
      <c r="AJ784" s="43" t="s">
        <v>235</v>
      </c>
      <c r="AK784" s="43" t="s">
        <v>557</v>
      </c>
      <c r="AL784" s="43" t="s">
        <v>354</v>
      </c>
      <c r="AM784" s="114" t="s">
        <v>355</v>
      </c>
      <c r="AN784" s="43" t="s">
        <v>215</v>
      </c>
      <c r="AO784" s="43" t="s">
        <v>546</v>
      </c>
      <c r="AP784" s="43" t="s">
        <v>547</v>
      </c>
    </row>
    <row r="785" spans="1:42" ht="50.1" customHeight="1" x14ac:dyDescent="0.25">
      <c r="A785" s="115">
        <f>MONTH(TAB_HISTORICO_MANUT[[#This Row],[Hora Final]])-MONTH(TAB_HISTORICO_MANUT[[#This Row],[Hora Inicio]])</f>
        <v>0</v>
      </c>
      <c r="B785" s="116"/>
      <c r="C785" s="115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Inicio]]=Z784,TAB_HISTORICO_MANUT[[#This Row],[Equipamento]]=AA784,TAB_HISTORICO_MANUT[[#This Row],[Descricao Despacho]]=AD784),0,1)))</f>
        <v/>
      </c>
      <c r="O78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785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78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785" s="107" t="str">
        <f>IF($Q785="","",(TAB_HISTORICO_MANUT[[#This Row],[Hora Final]]-TAB_HISTORICO_MANUT[[#This Row],[Hora Inicio]])*24)</f>
        <v/>
      </c>
      <c r="S78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785" s="109" t="str">
        <f>IF(AND(TAB_HISTORICO_MANUT[[#This Row],[EXPURGO Mãe]]="SIM",TAB_HISTORICO_MANUT[[#This Row],[Tipo]]="MÃE"),"EXP.MAE",IF(TAB_HISTORICO_MANUT[[#This Row],[EXPURGO Mãe]]="NÃO","NÃO EXP.MAE",T784))</f>
        <v>NÃO EXP.MAE</v>
      </c>
      <c r="U78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785" s="110">
        <f>IF(TAB_HISTORICO_MANUT[[#This Row],[EXPURGO Filhas]]="SIM",MAX(TAB_HISTORICO_MANUT[[#This Row],[Hora Final]]-TAB_HISTORICO_MANUT[[#This Row],[Hora Inicio]],0),0)</f>
        <v>2.0839999997406267E-2</v>
      </c>
      <c r="W78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8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85" s="117">
        <v>46064.350689999999</v>
      </c>
      <c r="Z785" s="118">
        <v>46064.371529999997</v>
      </c>
      <c r="AA785" s="119" t="s">
        <v>228</v>
      </c>
      <c r="AB785" s="119">
        <v>202601729918</v>
      </c>
      <c r="AC785" s="115" t="s">
        <v>204</v>
      </c>
      <c r="AD785" s="117" t="s">
        <v>144</v>
      </c>
      <c r="AE785" s="117" t="s">
        <v>231</v>
      </c>
      <c r="AF785" s="88" t="s">
        <v>767</v>
      </c>
      <c r="AG785" s="123">
        <f>IF(TAB_HISTORICO_MANUT[[#This Row],[Hora Inicio]]="","",MONTH(TAB_HISTORICO_MANUT[[#This Row],[Hora Inicio]]))</f>
        <v>2</v>
      </c>
      <c r="AH785" s="120" t="s">
        <v>550</v>
      </c>
      <c r="AI785" s="115" t="s">
        <v>22</v>
      </c>
      <c r="AJ785" s="115" t="s">
        <v>235</v>
      </c>
      <c r="AK785" s="115" t="s">
        <v>557</v>
      </c>
      <c r="AL785" s="115" t="s">
        <v>354</v>
      </c>
      <c r="AM785" s="121" t="s">
        <v>355</v>
      </c>
      <c r="AN785" s="115" t="s">
        <v>215</v>
      </c>
      <c r="AO785" s="115" t="s">
        <v>546</v>
      </c>
      <c r="AP785" s="115" t="s">
        <v>547</v>
      </c>
    </row>
    <row r="786" spans="1:42" ht="50.1" customHeight="1" x14ac:dyDescent="0.25">
      <c r="A786" s="43">
        <f>MONTH(TAB_HISTORICO_MANUT[[#This Row],[Hora Final]])-MONTH(TAB_HISTORICO_MANUT[[#This Row],[Hora Inicio]])</f>
        <v>0</v>
      </c>
      <c r="B786" s="42"/>
      <c r="C786" s="43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Inicio]]=Z785,TAB_HISTORICO_MANUT[[#This Row],[Equipamento]]=AA785,TAB_HISTORICO_MANUT[[#This Row],[Descricao Despacho]]=AD785),0,1)))</f>
        <v>1</v>
      </c>
      <c r="O78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78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8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86" s="50">
        <f>IF($Q786="","",(TAB_HISTORICO_MANUT[[#This Row],[Hora Final]]-TAB_HISTORICO_MANUT[[#This Row],[Hora Inicio]])*24)</f>
        <v>1.379444444377441</v>
      </c>
      <c r="S78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86" s="54" t="str">
        <f>IF(AND(TAB_HISTORICO_MANUT[[#This Row],[EXPURGO Mãe]]="SIM",TAB_HISTORICO_MANUT[[#This Row],[Tipo]]="MÃE"),"EXP.MAE",IF(TAB_HISTORICO_MANUT[[#This Row],[EXPURGO Mãe]]="NÃO","NÃO EXP.MAE",T785))</f>
        <v>NÃO EXP.MAE</v>
      </c>
      <c r="U78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86" s="56">
        <f>IF(TAB_HISTORICO_MANUT[[#This Row],[EXPURGO Filhas]]="SIM",MAX(TAB_HISTORICO_MANUT[[#This Row],[Hora Final]]-TAB_HISTORICO_MANUT[[#This Row],[Hora Inicio]],0),0)</f>
        <v>0</v>
      </c>
      <c r="W78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8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86" s="46">
        <v>46065.134942129633</v>
      </c>
      <c r="Z786" s="118">
        <v>46065.192418981482</v>
      </c>
      <c r="AA786" s="48" t="s">
        <v>228</v>
      </c>
      <c r="AB786" s="48">
        <v>202601729918</v>
      </c>
      <c r="AC786" s="43" t="s">
        <v>204</v>
      </c>
      <c r="AD786" s="46" t="s">
        <v>144</v>
      </c>
      <c r="AE786" s="46" t="s">
        <v>172</v>
      </c>
      <c r="AF786" s="88" t="s">
        <v>210</v>
      </c>
      <c r="AG786" s="105">
        <f>IF(TAB_HISTORICO_MANUT[[#This Row],[Hora Inicio]]="","",MONTH(TAB_HISTORICO_MANUT[[#This Row],[Hora Inicio]]))</f>
        <v>2</v>
      </c>
      <c r="AH786" s="120" t="s">
        <v>552</v>
      </c>
      <c r="AI786" s="115" t="s">
        <v>22</v>
      </c>
      <c r="AJ786" s="115" t="s">
        <v>277</v>
      </c>
      <c r="AK786" s="43" t="s">
        <v>458</v>
      </c>
      <c r="AL786" s="43" t="s">
        <v>479</v>
      </c>
      <c r="AM786" s="114" t="s">
        <v>280</v>
      </c>
      <c r="AN786" s="43" t="s">
        <v>215</v>
      </c>
      <c r="AO786" s="43" t="s">
        <v>408</v>
      </c>
      <c r="AP786" s="43" t="s">
        <v>548</v>
      </c>
    </row>
    <row r="787" spans="1:42" ht="50.1" customHeight="1" x14ac:dyDescent="0.25">
      <c r="A787" s="115">
        <f>MONTH(TAB_HISTORICO_MANUT[[#This Row],[Hora Final]])-MONTH(TAB_HISTORICO_MANUT[[#This Row],[Hora Inicio]])</f>
        <v>0</v>
      </c>
      <c r="B787" s="116"/>
      <c r="C787" s="115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Inicio]]=Z786,TAB_HISTORICO_MANUT[[#This Row],[Equipamento]]=AA786,TAB_HISTORICO_MANUT[[#This Row],[Descricao Despacho]]=AD786),0,1)))</f>
        <v>1</v>
      </c>
      <c r="O78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78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8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87" s="107">
        <f>IF($Q787="","",(TAB_HISTORICO_MANUT[[#This Row],[Hora Final]]-TAB_HISTORICO_MANUT[[#This Row],[Hora Inicio]])*24)</f>
        <v>64.569444444437977</v>
      </c>
      <c r="S78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87" s="109" t="str">
        <f>IF(AND(TAB_HISTORICO_MANUT[[#This Row],[EXPURGO Mãe]]="SIM",TAB_HISTORICO_MANUT[[#This Row],[Tipo]]="MÃE"),"EXP.MAE",IF(TAB_HISTORICO_MANUT[[#This Row],[EXPURGO Mãe]]="NÃO","NÃO EXP.MAE",T786))</f>
        <v>NÃO EXP.MAE</v>
      </c>
      <c r="U78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87" s="110">
        <f>IF(TAB_HISTORICO_MANUT[[#This Row],[EXPURGO Filhas]]="SIM",MAX(TAB_HISTORICO_MANUT[[#This Row],[Hora Final]]-TAB_HISTORICO_MANUT[[#This Row],[Hora Inicio]],0),0)</f>
        <v>0</v>
      </c>
      <c r="W78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8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87" s="117">
        <v>46065.77275462963</v>
      </c>
      <c r="Z787" s="118">
        <v>46068.463148148148</v>
      </c>
      <c r="AA787" s="119" t="s">
        <v>228</v>
      </c>
      <c r="AB787" s="119">
        <v>202601729918</v>
      </c>
      <c r="AC787" s="115" t="s">
        <v>204</v>
      </c>
      <c r="AD787" s="117" t="s">
        <v>144</v>
      </c>
      <c r="AE787" s="117" t="s">
        <v>172</v>
      </c>
      <c r="AF787" s="122" t="s">
        <v>210</v>
      </c>
      <c r="AG787" s="123">
        <f>IF(TAB_HISTORICO_MANUT[[#This Row],[Hora Inicio]]="","",MONTH(TAB_HISTORICO_MANUT[[#This Row],[Hora Inicio]]))</f>
        <v>2</v>
      </c>
      <c r="AH787" s="120" t="s">
        <v>553</v>
      </c>
      <c r="AI787" s="115" t="s">
        <v>22</v>
      </c>
      <c r="AJ787" s="115" t="s">
        <v>235</v>
      </c>
      <c r="AK787" s="115" t="s">
        <v>559</v>
      </c>
      <c r="AL787" s="115" t="s">
        <v>354</v>
      </c>
      <c r="AM787" s="121" t="s">
        <v>355</v>
      </c>
      <c r="AN787" s="115"/>
      <c r="AO787" s="115"/>
      <c r="AP787" s="115"/>
    </row>
    <row r="788" spans="1:42" ht="50.1" customHeight="1" x14ac:dyDescent="0.25">
      <c r="A788" s="43">
        <f>MONTH(TAB_HISTORICO_MANUT[[#This Row],[Hora Final]])-MONTH(TAB_HISTORICO_MANUT[[#This Row],[Hora Inicio]])</f>
        <v>0</v>
      </c>
      <c r="B788" s="42"/>
      <c r="C788" s="43"/>
      <c r="D788" s="42"/>
      <c r="E788" s="42"/>
      <c r="F788" s="42"/>
      <c r="G788" s="42"/>
      <c r="H788" s="42"/>
      <c r="I788" s="42"/>
      <c r="J788" s="42"/>
      <c r="K788" s="42"/>
      <c r="L788" s="42"/>
      <c r="M788" s="42" t="s">
        <v>99</v>
      </c>
      <c r="N788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Inicio]]=Z787,TAB_HISTORICO_MANUT[[#This Row],[Equipamento]]=AA787,TAB_HISTORICO_MANUT[[#This Row],[Descricao Despacho]]=AD787),0,1)))</f>
        <v/>
      </c>
      <c r="O78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788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78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788" s="50" t="str">
        <f>IF($Q788="","",(TAB_HISTORICO_MANUT[[#This Row],[Hora Final]]-TAB_HISTORICO_MANUT[[#This Row],[Hora Inicio]])*24)</f>
        <v/>
      </c>
      <c r="S78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788" s="54" t="str">
        <f>IF(AND(TAB_HISTORICO_MANUT[[#This Row],[EXPURGO Mãe]]="SIM",TAB_HISTORICO_MANUT[[#This Row],[Tipo]]="MÃE"),"EXP.MAE",IF(TAB_HISTORICO_MANUT[[#This Row],[EXPURGO Mãe]]="NÃO","NÃO EXP.MAE",T787))</f>
        <v>NÃO EXP.MAE</v>
      </c>
      <c r="U78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88" s="56">
        <f>IF(TAB_HISTORICO_MANUT[[#This Row],[EXPURGO Filhas]]="SIM",MAX(TAB_HISTORICO_MANUT[[#This Row],[Hora Final]]-TAB_HISTORICO_MANUT[[#This Row],[Hora Inicio]],0),0)</f>
        <v>0</v>
      </c>
      <c r="W78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8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88" s="46">
        <v>46065.925000000003</v>
      </c>
      <c r="Z788" s="47">
        <v>46065.966666666667</v>
      </c>
      <c r="AA788" s="48" t="s">
        <v>228</v>
      </c>
      <c r="AB788" s="48">
        <v>202601729918</v>
      </c>
      <c r="AC788" s="43" t="s">
        <v>204</v>
      </c>
      <c r="AD788" s="46" t="s">
        <v>144</v>
      </c>
      <c r="AE788" s="46" t="s">
        <v>233</v>
      </c>
      <c r="AF788" s="88" t="s">
        <v>767</v>
      </c>
      <c r="AG788" s="105">
        <f>IF(TAB_HISTORICO_MANUT[[#This Row],[Hora Inicio]]="","",MONTH(TAB_HISTORICO_MANUT[[#This Row],[Hora Inicio]]))</f>
        <v>2</v>
      </c>
      <c r="AH788" s="58" t="s">
        <v>553</v>
      </c>
      <c r="AI788" s="43" t="s">
        <v>22</v>
      </c>
      <c r="AJ788" s="43" t="s">
        <v>235</v>
      </c>
      <c r="AK788" s="43" t="s">
        <v>559</v>
      </c>
      <c r="AL788" s="43" t="s">
        <v>354</v>
      </c>
      <c r="AM788" s="114" t="s">
        <v>355</v>
      </c>
      <c r="AN788" s="43"/>
      <c r="AO788" s="43"/>
      <c r="AP788" s="43"/>
    </row>
    <row r="789" spans="1:42" ht="50.1" customHeight="1" x14ac:dyDescent="0.25">
      <c r="A789" s="115">
        <f>MONTH(TAB_HISTORICO_MANUT[[#This Row],[Hora Final]])-MONTH(TAB_HISTORICO_MANUT[[#This Row],[Hora Inicio]])</f>
        <v>0</v>
      </c>
      <c r="B789" s="116"/>
      <c r="C789" s="115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Inicio]]=Z788,TAB_HISTORICO_MANUT[[#This Row],[Equipamento]]=AA788,TAB_HISTORICO_MANUT[[#This Row],[Descricao Despacho]]=AD788),0,1)))</f>
        <v/>
      </c>
      <c r="O78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789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78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789" s="107" t="str">
        <f>IF($Q789="","",(TAB_HISTORICO_MANUT[[#This Row],[Hora Final]]-TAB_HISTORICO_MANUT[[#This Row],[Hora Inicio]])*24)</f>
        <v/>
      </c>
      <c r="S78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789" s="109" t="str">
        <f>IF(AND(TAB_HISTORICO_MANUT[[#This Row],[EXPURGO Mãe]]="SIM",TAB_HISTORICO_MANUT[[#This Row],[Tipo]]="MÃE"),"EXP.MAE",IF(TAB_HISTORICO_MANUT[[#This Row],[EXPURGO Mãe]]="NÃO","NÃO EXP.MAE",T788))</f>
        <v>NÃO EXP.MAE</v>
      </c>
      <c r="U78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789" s="110">
        <f>IF(TAB_HISTORICO_MANUT[[#This Row],[EXPURGO Filhas]]="SIM",MAX(TAB_HISTORICO_MANUT[[#This Row],[Hora Final]]-TAB_HISTORICO_MANUT[[#This Row],[Hora Inicio]],0),0)</f>
        <v>5.4163333334145136E-2</v>
      </c>
      <c r="W78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8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89" s="117">
        <v>46065.966666666667</v>
      </c>
      <c r="Z789" s="118">
        <v>46066.020830000001</v>
      </c>
      <c r="AA789" s="119" t="s">
        <v>228</v>
      </c>
      <c r="AB789" s="119">
        <v>202601729918</v>
      </c>
      <c r="AC789" s="115" t="s">
        <v>204</v>
      </c>
      <c r="AD789" s="117" t="s">
        <v>144</v>
      </c>
      <c r="AE789" s="117" t="s">
        <v>233</v>
      </c>
      <c r="AF789" s="122" t="s">
        <v>767</v>
      </c>
      <c r="AG789" s="123">
        <f>IF(TAB_HISTORICO_MANUT[[#This Row],[Hora Inicio]]="","",MONTH(TAB_HISTORICO_MANUT[[#This Row],[Hora Inicio]]))</f>
        <v>2</v>
      </c>
      <c r="AH789" s="120" t="s">
        <v>553</v>
      </c>
      <c r="AI789" s="115" t="s">
        <v>22</v>
      </c>
      <c r="AJ789" s="115" t="s">
        <v>235</v>
      </c>
      <c r="AK789" s="115" t="s">
        <v>559</v>
      </c>
      <c r="AL789" s="115" t="s">
        <v>354</v>
      </c>
      <c r="AM789" s="121" t="s">
        <v>355</v>
      </c>
      <c r="AN789" s="115"/>
      <c r="AO789" s="115"/>
      <c r="AP789" s="115"/>
    </row>
    <row r="790" spans="1:42" ht="50.1" customHeight="1" x14ac:dyDescent="0.25">
      <c r="A790" s="115">
        <f>MONTH(TAB_HISTORICO_MANUT[[#This Row],[Hora Final]])-MONTH(TAB_HISTORICO_MANUT[[#This Row],[Hora Inicio]])</f>
        <v>0</v>
      </c>
      <c r="B790" s="116"/>
      <c r="C790" s="115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Inicio]]=Z789,TAB_HISTORICO_MANUT[[#This Row],[Equipamento]]=AA789,TAB_HISTORICO_MANUT[[#This Row],[Descricao Despacho]]=AD789),0,1)))</f>
        <v/>
      </c>
      <c r="O79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790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79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790" s="107" t="str">
        <f>IF($Q790="","",(TAB_HISTORICO_MANUT[[#This Row],[Hora Final]]-TAB_HISTORICO_MANUT[[#This Row],[Hora Inicio]])*24)</f>
        <v/>
      </c>
      <c r="S79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790" s="109" t="str">
        <f>IF(AND(TAB_HISTORICO_MANUT[[#This Row],[EXPURGO Mãe]]="SIM",TAB_HISTORICO_MANUT[[#This Row],[Tipo]]="MÃE"),"EXP.MAE",IF(TAB_HISTORICO_MANUT[[#This Row],[EXPURGO Mãe]]="NÃO","NÃO EXP.MAE",T789))</f>
        <v>NÃO EXP.MAE</v>
      </c>
      <c r="U79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790" s="110">
        <f>IF(TAB_HISTORICO_MANUT[[#This Row],[EXPURGO Filhas]]="SIM",MAX(TAB_HISTORICO_MANUT[[#This Row],[Hora Final]]-TAB_HISTORICO_MANUT[[#This Row],[Hora Inicio]],0),0)</f>
        <v>0.14374999999563443</v>
      </c>
      <c r="W79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9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90" s="117">
        <v>46066.022920000003</v>
      </c>
      <c r="Z790" s="118">
        <v>46066.166669999999</v>
      </c>
      <c r="AA790" s="119" t="s">
        <v>228</v>
      </c>
      <c r="AB790" s="119">
        <v>202601729918</v>
      </c>
      <c r="AC790" s="115" t="s">
        <v>204</v>
      </c>
      <c r="AD790" s="117" t="s">
        <v>144</v>
      </c>
      <c r="AE790" s="117" t="s">
        <v>780</v>
      </c>
      <c r="AF790" s="122" t="s">
        <v>767</v>
      </c>
      <c r="AG790" s="123">
        <f>IF(TAB_HISTORICO_MANUT[[#This Row],[Hora Inicio]]="","",MONTH(TAB_HISTORICO_MANUT[[#This Row],[Hora Inicio]]))</f>
        <v>2</v>
      </c>
      <c r="AH790" s="120" t="s">
        <v>553</v>
      </c>
      <c r="AI790" s="115" t="s">
        <v>22</v>
      </c>
      <c r="AJ790" s="115" t="s">
        <v>235</v>
      </c>
      <c r="AK790" s="115" t="s">
        <v>559</v>
      </c>
      <c r="AL790" s="115" t="s">
        <v>354</v>
      </c>
      <c r="AM790" s="121" t="s">
        <v>355</v>
      </c>
      <c r="AN790" s="115"/>
      <c r="AO790" s="115"/>
      <c r="AP790" s="115"/>
    </row>
    <row r="791" spans="1:42" ht="50.1" customHeight="1" x14ac:dyDescent="0.25">
      <c r="A791" s="43">
        <f>MONTH(TAB_HISTORICO_MANUT[[#This Row],[Hora Final]])-MONTH(TAB_HISTORICO_MANUT[[#This Row],[Hora Inicio]])</f>
        <v>0</v>
      </c>
      <c r="B791" s="42"/>
      <c r="C791" s="43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Inicio]]=Z790,TAB_HISTORICO_MANUT[[#This Row],[Equipamento]]=AA790,TAB_HISTORICO_MANUT[[#This Row],[Descricao Despacho]]=AD790),0,1)))</f>
        <v/>
      </c>
      <c r="O79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791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79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791" s="50" t="str">
        <f>IF($Q791="","",(TAB_HISTORICO_MANUT[[#This Row],[Hora Final]]-TAB_HISTORICO_MANUT[[#This Row],[Hora Inicio]])*24)</f>
        <v/>
      </c>
      <c r="S79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791" s="54" t="str">
        <f>IF(AND(TAB_HISTORICO_MANUT[[#This Row],[EXPURGO Mãe]]="SIM",TAB_HISTORICO_MANUT[[#This Row],[Tipo]]="MÃE"),"EXP.MAE",IF(TAB_HISTORICO_MANUT[[#This Row],[EXPURGO Mãe]]="NÃO","NÃO EXP.MAE",T790))</f>
        <v>NÃO EXP.MAE</v>
      </c>
      <c r="U79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791" s="56">
        <f>IF(TAB_HISTORICO_MANUT[[#This Row],[EXPURGO Filhas]]="SIM",MAX(TAB_HISTORICO_MANUT[[#This Row],[Hora Final]]-TAB_HISTORICO_MANUT[[#This Row],[Hora Inicio]],0),0)</f>
        <v>8.3333333335758653E-2</v>
      </c>
      <c r="W79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9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91" s="46">
        <v>46066.166666666664</v>
      </c>
      <c r="Z791" s="47">
        <v>46066.25</v>
      </c>
      <c r="AA791" s="48" t="s">
        <v>228</v>
      </c>
      <c r="AB791" s="48">
        <v>202601729918</v>
      </c>
      <c r="AC791" s="43" t="s">
        <v>204</v>
      </c>
      <c r="AD791" s="46" t="s">
        <v>144</v>
      </c>
      <c r="AE791" s="46" t="s">
        <v>780</v>
      </c>
      <c r="AF791" s="88" t="s">
        <v>767</v>
      </c>
      <c r="AG791" s="105">
        <f>IF(TAB_HISTORICO_MANUT[[#This Row],[Hora Inicio]]="","",MONTH(TAB_HISTORICO_MANUT[[#This Row],[Hora Inicio]]))</f>
        <v>2</v>
      </c>
      <c r="AH791" s="58" t="s">
        <v>553</v>
      </c>
      <c r="AI791" s="43" t="s">
        <v>22</v>
      </c>
      <c r="AJ791" s="43" t="s">
        <v>235</v>
      </c>
      <c r="AK791" s="43" t="s">
        <v>559</v>
      </c>
      <c r="AL791" s="43" t="s">
        <v>354</v>
      </c>
      <c r="AM791" s="43" t="s">
        <v>355</v>
      </c>
      <c r="AN791" s="43"/>
      <c r="AO791" s="43"/>
      <c r="AP791" s="43"/>
    </row>
    <row r="792" spans="1:42" ht="50.1" customHeight="1" x14ac:dyDescent="0.25">
      <c r="A792" s="115">
        <f>MONTH(TAB_HISTORICO_MANUT[[#This Row],[Hora Final]])-MONTH(TAB_HISTORICO_MANUT[[#This Row],[Hora Inicio]])</f>
        <v>0</v>
      </c>
      <c r="B792" s="116"/>
      <c r="C792" s="115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Inicio]]=Z791,TAB_HISTORICO_MANUT[[#This Row],[Equipamento]]=AA791,TAB_HISTORICO_MANUT[[#This Row],[Descricao Despacho]]=AD791),0,1)))</f>
        <v/>
      </c>
      <c r="O79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792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79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792" s="107" t="str">
        <f>IF($Q792="","",(TAB_HISTORICO_MANUT[[#This Row],[Hora Final]]-TAB_HISTORICO_MANUT[[#This Row],[Hora Inicio]])*24)</f>
        <v/>
      </c>
      <c r="S79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792" s="109" t="str">
        <f>IF(AND(TAB_HISTORICO_MANUT[[#This Row],[EXPURGO Mãe]]="SIM",TAB_HISTORICO_MANUT[[#This Row],[Tipo]]="MÃE"),"EXP.MAE",IF(TAB_HISTORICO_MANUT[[#This Row],[EXPURGO Mãe]]="NÃO","NÃO EXP.MAE",T791))</f>
        <v>NÃO EXP.MAE</v>
      </c>
      <c r="U79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792" s="110">
        <f>IF(TAB_HISTORICO_MANUT[[#This Row],[EXPURGO Filhas]]="SIM",MAX(TAB_HISTORICO_MANUT[[#This Row],[Hora Final]]-TAB_HISTORICO_MANUT[[#This Row],[Hora Inicio]],0),0)</f>
        <v>8.3333333335758653E-2</v>
      </c>
      <c r="W79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9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92" s="117">
        <v>46066.4375</v>
      </c>
      <c r="Z792" s="118">
        <v>46066.520833333336</v>
      </c>
      <c r="AA792" s="119" t="s">
        <v>228</v>
      </c>
      <c r="AB792" s="119">
        <v>202601729918</v>
      </c>
      <c r="AC792" s="115" t="s">
        <v>204</v>
      </c>
      <c r="AD792" s="117" t="s">
        <v>144</v>
      </c>
      <c r="AE792" s="117" t="s">
        <v>231</v>
      </c>
      <c r="AF792" s="122" t="s">
        <v>767</v>
      </c>
      <c r="AG792" s="123">
        <f>IF(TAB_HISTORICO_MANUT[[#This Row],[Hora Inicio]]="","",MONTH(TAB_HISTORICO_MANUT[[#This Row],[Hora Inicio]]))</f>
        <v>2</v>
      </c>
      <c r="AH792" s="120" t="s">
        <v>553</v>
      </c>
      <c r="AI792" s="115" t="s">
        <v>22</v>
      </c>
      <c r="AJ792" s="115" t="s">
        <v>235</v>
      </c>
      <c r="AK792" s="115" t="s">
        <v>559</v>
      </c>
      <c r="AL792" s="115" t="s">
        <v>354</v>
      </c>
      <c r="AM792" s="121" t="s">
        <v>355</v>
      </c>
      <c r="AN792" s="115"/>
      <c r="AO792" s="115"/>
      <c r="AP792" s="115"/>
    </row>
    <row r="793" spans="1:42" ht="50.1" customHeight="1" x14ac:dyDescent="0.25">
      <c r="A793" s="115">
        <f>MONTH(TAB_HISTORICO_MANUT[[#This Row],[Hora Final]])-MONTH(TAB_HISTORICO_MANUT[[#This Row],[Hora Inicio]])</f>
        <v>0</v>
      </c>
      <c r="B793" s="116"/>
      <c r="C793" s="115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Inicio]]=Z792,TAB_HISTORICO_MANUT[[#This Row],[Equipamento]]=AA792,TAB_HISTORICO_MANUT[[#This Row],[Descricao Despacho]]=AD792),0,1)))</f>
        <v/>
      </c>
      <c r="O79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793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79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793" s="107" t="str">
        <f>IF($Q793="","",(TAB_HISTORICO_MANUT[[#This Row],[Hora Final]]-TAB_HISTORICO_MANUT[[#This Row],[Hora Inicio]])*24)</f>
        <v/>
      </c>
      <c r="S79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793" s="109" t="str">
        <f>IF(AND(TAB_HISTORICO_MANUT[[#This Row],[EXPURGO Mãe]]="SIM",TAB_HISTORICO_MANUT[[#This Row],[Tipo]]="MÃE"),"EXP.MAE",IF(TAB_HISTORICO_MANUT[[#This Row],[EXPURGO Mãe]]="NÃO","NÃO EXP.MAE",T792))</f>
        <v>NÃO EXP.MAE</v>
      </c>
      <c r="U79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793" s="110">
        <f>IF(TAB_HISTORICO_MANUT[[#This Row],[EXPURGO Filhas]]="SIM",MAX(TAB_HISTORICO_MANUT[[#This Row],[Hora Final]]-TAB_HISTORICO_MANUT[[#This Row],[Hora Inicio]],0),0)</f>
        <v>7.6388888890505768E-2</v>
      </c>
      <c r="W79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9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93" s="117">
        <v>46067.673611111109</v>
      </c>
      <c r="Z793" s="118">
        <v>46067.75</v>
      </c>
      <c r="AA793" s="119" t="s">
        <v>228</v>
      </c>
      <c r="AB793" s="119">
        <v>202601729918</v>
      </c>
      <c r="AC793" s="115" t="s">
        <v>204</v>
      </c>
      <c r="AD793" s="117" t="s">
        <v>144</v>
      </c>
      <c r="AE793" s="117" t="s">
        <v>765</v>
      </c>
      <c r="AF793" s="122" t="s">
        <v>767</v>
      </c>
      <c r="AG793" s="123">
        <f>IF(TAB_HISTORICO_MANUT[[#This Row],[Hora Inicio]]="","",MONTH(TAB_HISTORICO_MANUT[[#This Row],[Hora Inicio]]))</f>
        <v>2</v>
      </c>
      <c r="AH793" s="120" t="s">
        <v>553</v>
      </c>
      <c r="AI793" s="115" t="s">
        <v>22</v>
      </c>
      <c r="AJ793" s="115" t="s">
        <v>235</v>
      </c>
      <c r="AK793" s="115" t="s">
        <v>559</v>
      </c>
      <c r="AL793" s="115" t="s">
        <v>354</v>
      </c>
      <c r="AM793" s="121" t="s">
        <v>355</v>
      </c>
      <c r="AN793" s="115"/>
      <c r="AO793" s="115"/>
      <c r="AP793" s="115"/>
    </row>
    <row r="794" spans="1:42" ht="50.1" customHeight="1" x14ac:dyDescent="0.25">
      <c r="A794" s="115">
        <f>MONTH(TAB_HISTORICO_MANUT[[#This Row],[Hora Final]])-MONTH(TAB_HISTORICO_MANUT[[#This Row],[Hora Inicio]])</f>
        <v>0</v>
      </c>
      <c r="B794" s="116"/>
      <c r="C794" s="115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Inicio]]=Z793,TAB_HISTORICO_MANUT[[#This Row],[Equipamento]]=AA793,TAB_HISTORICO_MANUT[[#This Row],[Descricao Despacho]]=AD793),0,1)))</f>
        <v/>
      </c>
      <c r="O79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794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79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794" s="107" t="str">
        <f>IF($Q794="","",(TAB_HISTORICO_MANUT[[#This Row],[Hora Final]]-TAB_HISTORICO_MANUT[[#This Row],[Hora Inicio]])*24)</f>
        <v/>
      </c>
      <c r="S79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794" s="109" t="str">
        <f>IF(AND(TAB_HISTORICO_MANUT[[#This Row],[EXPURGO Mãe]]="SIM",TAB_HISTORICO_MANUT[[#This Row],[Tipo]]="MÃE"),"EXP.MAE",IF(TAB_HISTORICO_MANUT[[#This Row],[EXPURGO Mãe]]="NÃO","NÃO EXP.MAE",T793))</f>
        <v>NÃO EXP.MAE</v>
      </c>
      <c r="U79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794" s="110">
        <f>IF(TAB_HISTORICO_MANUT[[#This Row],[EXPURGO Filhas]]="SIM",MAX(TAB_HISTORICO_MANUT[[#This Row],[Hora Final]]-TAB_HISTORICO_MANUT[[#This Row],[Hora Inicio]],0),0)</f>
        <v>0.14860999999655178</v>
      </c>
      <c r="W79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9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94" s="117">
        <v>46067.75</v>
      </c>
      <c r="Z794" s="118">
        <v>46067.898609999997</v>
      </c>
      <c r="AA794" s="119" t="s">
        <v>228</v>
      </c>
      <c r="AB794" s="119">
        <v>202601729918</v>
      </c>
      <c r="AC794" s="115" t="s">
        <v>204</v>
      </c>
      <c r="AD794" s="117" t="s">
        <v>144</v>
      </c>
      <c r="AE794" s="117" t="s">
        <v>177</v>
      </c>
      <c r="AF794" s="122" t="s">
        <v>767</v>
      </c>
      <c r="AG794" s="123">
        <f>IF(TAB_HISTORICO_MANUT[[#This Row],[Hora Inicio]]="","",MONTH(TAB_HISTORICO_MANUT[[#This Row],[Hora Inicio]]))</f>
        <v>2</v>
      </c>
      <c r="AH794" s="120" t="s">
        <v>553</v>
      </c>
      <c r="AI794" s="115" t="s">
        <v>22</v>
      </c>
      <c r="AJ794" s="115" t="s">
        <v>235</v>
      </c>
      <c r="AK794" s="115" t="s">
        <v>559</v>
      </c>
      <c r="AL794" s="115" t="s">
        <v>354</v>
      </c>
      <c r="AM794" s="121" t="s">
        <v>355</v>
      </c>
      <c r="AN794" s="115"/>
      <c r="AO794" s="115"/>
      <c r="AP794" s="115"/>
    </row>
    <row r="795" spans="1:42" ht="50.1" customHeight="1" x14ac:dyDescent="0.25">
      <c r="A795" s="115">
        <f>MONTH(TAB_HISTORICO_MANUT[[#This Row],[Hora Final]])-MONTH(TAB_HISTORICO_MANUT[[#This Row],[Hora Inicio]])</f>
        <v>0</v>
      </c>
      <c r="B795" s="116"/>
      <c r="C795" s="115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Inicio]]=Z794,TAB_HISTORICO_MANUT[[#This Row],[Equipamento]]=AA794,TAB_HISTORICO_MANUT[[#This Row],[Descricao Despacho]]=AD794),0,1)))</f>
        <v/>
      </c>
      <c r="O79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795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79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795" s="107" t="str">
        <f>IF($Q795="","",(TAB_HISTORICO_MANUT[[#This Row],[Hora Final]]-TAB_HISTORICO_MANUT[[#This Row],[Hora Inicio]])*24)</f>
        <v/>
      </c>
      <c r="S79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795" s="109" t="str">
        <f>IF(AND(TAB_HISTORICO_MANUT[[#This Row],[EXPURGO Mãe]]="SIM",TAB_HISTORICO_MANUT[[#This Row],[Tipo]]="MÃE"),"EXP.MAE",IF(TAB_HISTORICO_MANUT[[#This Row],[EXPURGO Mãe]]="NÃO","NÃO EXP.MAE",T794))</f>
        <v>NÃO EXP.MAE</v>
      </c>
      <c r="U79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795" s="110">
        <f>IF(TAB_HISTORICO_MANUT[[#This Row],[EXPURGO Filhas]]="SIM",MAX(TAB_HISTORICO_MANUT[[#This Row],[Hora Final]]-TAB_HISTORICO_MANUT[[#This Row],[Hora Inicio]],0),0)</f>
        <v>7.8480000003764872E-2</v>
      </c>
      <c r="W79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9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95" s="117">
        <v>46067.945829999997</v>
      </c>
      <c r="Z795" s="47">
        <v>46068.024310000001</v>
      </c>
      <c r="AA795" s="119" t="s">
        <v>228</v>
      </c>
      <c r="AB795" s="119">
        <v>202601729918</v>
      </c>
      <c r="AC795" s="115" t="s">
        <v>204</v>
      </c>
      <c r="AD795" s="117" t="s">
        <v>144</v>
      </c>
      <c r="AE795" s="117" t="s">
        <v>177</v>
      </c>
      <c r="AF795" s="122" t="s">
        <v>767</v>
      </c>
      <c r="AG795" s="123">
        <f>IF(TAB_HISTORICO_MANUT[[#This Row],[Hora Inicio]]="","",MONTH(TAB_HISTORICO_MANUT[[#This Row],[Hora Inicio]]))</f>
        <v>2</v>
      </c>
      <c r="AH795" s="120" t="s">
        <v>553</v>
      </c>
      <c r="AI795" s="115" t="s">
        <v>22</v>
      </c>
      <c r="AJ795" s="115" t="s">
        <v>235</v>
      </c>
      <c r="AK795" s="115" t="s">
        <v>559</v>
      </c>
      <c r="AL795" s="115" t="s">
        <v>354</v>
      </c>
      <c r="AM795" s="121" t="s">
        <v>355</v>
      </c>
      <c r="AN795" s="115"/>
      <c r="AO795" s="115"/>
      <c r="AP795" s="115"/>
    </row>
    <row r="796" spans="1:42" ht="50.1" customHeight="1" x14ac:dyDescent="0.25">
      <c r="A796" s="43">
        <f>MONTH(TAB_HISTORICO_MANUT[[#This Row],[Hora Final]])-MONTH(TAB_HISTORICO_MANUT[[#This Row],[Hora Inicio]])</f>
        <v>0</v>
      </c>
      <c r="B796" s="42"/>
      <c r="C796" s="43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Inicio]]=Z795,TAB_HISTORICO_MANUT[[#This Row],[Equipamento]]=AA795,TAB_HISTORICO_MANUT[[#This Row],[Descricao Despacho]]=AD795),0,1)))</f>
        <v>1</v>
      </c>
      <c r="O79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79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9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796" s="50">
        <f>IF($Q796="","",(TAB_HISTORICO_MANUT[[#This Row],[Hora Final]]-TAB_HISTORICO_MANUT[[#This Row],[Hora Inicio]])*24)</f>
        <v>1.3025000001071021</v>
      </c>
      <c r="S79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96" s="54" t="str">
        <f>IF(AND(TAB_HISTORICO_MANUT[[#This Row],[EXPURGO Mãe]]="SIM",TAB_HISTORICO_MANUT[[#This Row],[Tipo]]="MÃE"),"EXP.MAE",IF(TAB_HISTORICO_MANUT[[#This Row],[EXPURGO Mãe]]="NÃO","NÃO EXP.MAE",T795))</f>
        <v>NÃO EXP.MAE</v>
      </c>
      <c r="U79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96" s="56">
        <f>IF(TAB_HISTORICO_MANUT[[#This Row],[EXPURGO Filhas]]="SIM",MAX(TAB_HISTORICO_MANUT[[#This Row],[Hora Final]]-TAB_HISTORICO_MANUT[[#This Row],[Hora Inicio]],0),0)</f>
        <v>0</v>
      </c>
      <c r="W79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9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96" s="46">
        <v>46068.618796296294</v>
      </c>
      <c r="Z796" s="47">
        <v>46068.673067129632</v>
      </c>
      <c r="AA796" s="48" t="s">
        <v>228</v>
      </c>
      <c r="AB796" s="48">
        <v>202601729918</v>
      </c>
      <c r="AC796" s="43" t="s">
        <v>211</v>
      </c>
      <c r="AD796" s="46" t="s">
        <v>144</v>
      </c>
      <c r="AE796" s="46" t="s">
        <v>213</v>
      </c>
      <c r="AF796" s="88" t="s">
        <v>210</v>
      </c>
      <c r="AG796" s="105">
        <f>IF(TAB_HISTORICO_MANUT[[#This Row],[Hora Inicio]]="","",MONTH(TAB_HISTORICO_MANUT[[#This Row],[Hora Inicio]]))</f>
        <v>2</v>
      </c>
      <c r="AH796" s="58" t="s">
        <v>590</v>
      </c>
      <c r="AI796" s="43" t="s">
        <v>21</v>
      </c>
      <c r="AJ796" s="43" t="s">
        <v>298</v>
      </c>
      <c r="AK796" s="43" t="s">
        <v>291</v>
      </c>
      <c r="AL796" s="43" t="s">
        <v>292</v>
      </c>
      <c r="AM796" s="114" t="s">
        <v>294</v>
      </c>
      <c r="AN796" s="43" t="s">
        <v>217</v>
      </c>
      <c r="AO796" s="43" t="s">
        <v>576</v>
      </c>
      <c r="AP796" s="43" t="s">
        <v>577</v>
      </c>
    </row>
    <row r="797" spans="1:42" ht="50.1" customHeight="1" x14ac:dyDescent="0.25">
      <c r="A797" s="43">
        <f>MONTH(TAB_HISTORICO_MANUT[[#This Row],[Hora Final]])-MONTH(TAB_HISTORICO_MANUT[[#This Row],[Hora Inicio]])</f>
        <v>0</v>
      </c>
      <c r="B797" s="42"/>
      <c r="C797" s="43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Inicio]]=Z796,TAB_HISTORICO_MANUT[[#This Row],[Equipamento]]=AA796,TAB_HISTORICO_MANUT[[#This Row],[Descricao Despacho]]=AD796),0,1)))</f>
        <v>1</v>
      </c>
      <c r="O79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797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9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97" s="50">
        <f>IF($Q797="","",(TAB_HISTORICO_MANUT[[#This Row],[Hora Final]]-TAB_HISTORICO_MANUT[[#This Row],[Hora Inicio]])*24)</f>
        <v>0.17500000004656613</v>
      </c>
      <c r="S79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97" s="54" t="str">
        <f>IF(AND(TAB_HISTORICO_MANUT[[#This Row],[EXPURGO Mãe]]="SIM",TAB_HISTORICO_MANUT[[#This Row],[Tipo]]="MÃE"),"EXP.MAE",IF(TAB_HISTORICO_MANUT[[#This Row],[EXPURGO Mãe]]="NÃO","NÃO EXP.MAE",T796))</f>
        <v>NÃO EXP.MAE</v>
      </c>
      <c r="U79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97" s="56">
        <f>IF(TAB_HISTORICO_MANUT[[#This Row],[EXPURGO Filhas]]="SIM",MAX(TAB_HISTORICO_MANUT[[#This Row],[Hora Final]]-TAB_HISTORICO_MANUT[[#This Row],[Hora Inicio]],0),0)</f>
        <v>0</v>
      </c>
      <c r="W79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9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97" s="46">
        <v>46068.825474537036</v>
      </c>
      <c r="Z797" s="47">
        <v>46068.832766203705</v>
      </c>
      <c r="AA797" s="48" t="s">
        <v>228</v>
      </c>
      <c r="AB797" s="48">
        <v>202601729918</v>
      </c>
      <c r="AC797" s="43" t="s">
        <v>204</v>
      </c>
      <c r="AD797" s="46" t="s">
        <v>144</v>
      </c>
      <c r="AE797" s="46" t="s">
        <v>172</v>
      </c>
      <c r="AF797" s="88" t="s">
        <v>210</v>
      </c>
      <c r="AG797" s="105">
        <f>IF(TAB_HISTORICO_MANUT[[#This Row],[Hora Inicio]]="","",MONTH(TAB_HISTORICO_MANUT[[#This Row],[Hora Inicio]]))</f>
        <v>2</v>
      </c>
      <c r="AH797" s="120" t="s">
        <v>591</v>
      </c>
      <c r="AI797" s="115" t="s">
        <v>24</v>
      </c>
      <c r="AJ797" s="115" t="s">
        <v>423</v>
      </c>
      <c r="AK797" s="43" t="s">
        <v>422</v>
      </c>
      <c r="AL797" s="43" t="s">
        <v>279</v>
      </c>
      <c r="AM797" s="114" t="s">
        <v>280</v>
      </c>
      <c r="AN797" s="43" t="s">
        <v>217</v>
      </c>
      <c r="AO797" s="43" t="s">
        <v>573</v>
      </c>
      <c r="AP797" s="43" t="s">
        <v>218</v>
      </c>
    </row>
    <row r="798" spans="1:42" ht="50.1" customHeight="1" x14ac:dyDescent="0.25">
      <c r="A798" s="43">
        <f>MONTH(TAB_HISTORICO_MANUT[[#This Row],[Hora Final]])-MONTH(TAB_HISTORICO_MANUT[[#This Row],[Hora Inicio]])</f>
        <v>0</v>
      </c>
      <c r="B798" s="42"/>
      <c r="C798" s="43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Inicio]]=Z797,TAB_HISTORICO_MANUT[[#This Row],[Equipamento]]=AA797,TAB_HISTORICO_MANUT[[#This Row],[Descricao Despacho]]=AD797),0,1)))</f>
        <v>1</v>
      </c>
      <c r="O79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HIDRAULICO</v>
      </c>
      <c r="P798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9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98" s="50">
        <f>IF($Q798="","",(TAB_HISTORICO_MANUT[[#This Row],[Hora Final]]-TAB_HISTORICO_MANUT[[#This Row],[Hora Inicio]])*24)</f>
        <v>0.77555555559229106</v>
      </c>
      <c r="S79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98" s="54" t="str">
        <f>IF(AND(TAB_HISTORICO_MANUT[[#This Row],[EXPURGO Mãe]]="SIM",TAB_HISTORICO_MANUT[[#This Row],[Tipo]]="MÃE"),"EXP.MAE",IF(TAB_HISTORICO_MANUT[[#This Row],[EXPURGO Mãe]]="NÃO","NÃO EXP.MAE",T797))</f>
        <v>NÃO EXP.MAE</v>
      </c>
      <c r="U79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98" s="56">
        <f>IF(TAB_HISTORICO_MANUT[[#This Row],[EXPURGO Filhas]]="SIM",MAX(TAB_HISTORICO_MANUT[[#This Row],[Hora Final]]-TAB_HISTORICO_MANUT[[#This Row],[Hora Inicio]],0),0)</f>
        <v>0</v>
      </c>
      <c r="W79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9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98" s="46">
        <v>46069.41810185185</v>
      </c>
      <c r="Z798" s="47">
        <v>46069.450416666667</v>
      </c>
      <c r="AA798" s="48" t="s">
        <v>228</v>
      </c>
      <c r="AB798" s="48">
        <v>202601729918</v>
      </c>
      <c r="AC798" s="43" t="s">
        <v>204</v>
      </c>
      <c r="AD798" s="46" t="s">
        <v>144</v>
      </c>
      <c r="AE798" s="46" t="s">
        <v>172</v>
      </c>
      <c r="AF798" s="88" t="s">
        <v>210</v>
      </c>
      <c r="AG798" s="105">
        <f>IF(TAB_HISTORICO_MANUT[[#This Row],[Hora Inicio]]="","",MONTH(TAB_HISTORICO_MANUT[[#This Row],[Hora Inicio]]))</f>
        <v>2</v>
      </c>
      <c r="AH798" s="58" t="s">
        <v>594</v>
      </c>
      <c r="AI798" s="43" t="s">
        <v>149</v>
      </c>
      <c r="AJ798" s="43" t="s">
        <v>423</v>
      </c>
      <c r="AK798" s="43" t="s">
        <v>422</v>
      </c>
      <c r="AL798" s="43" t="s">
        <v>279</v>
      </c>
      <c r="AM798" s="114" t="s">
        <v>280</v>
      </c>
      <c r="AN798" s="43" t="s">
        <v>217</v>
      </c>
      <c r="AO798" s="43" t="s">
        <v>405</v>
      </c>
      <c r="AP798" s="43" t="s">
        <v>581</v>
      </c>
    </row>
    <row r="799" spans="1:42" ht="50.1" customHeight="1" x14ac:dyDescent="0.25">
      <c r="A799" s="115">
        <f>MONTH(TAB_HISTORICO_MANUT[[#This Row],[Hora Final]])-MONTH(TAB_HISTORICO_MANUT[[#This Row],[Hora Inicio]])</f>
        <v>0</v>
      </c>
      <c r="B799" s="116"/>
      <c r="C799" s="115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Inicio]]=Z798,TAB_HISTORICO_MANUT[[#This Row],[Equipamento]]=AA798,TAB_HISTORICO_MANUT[[#This Row],[Descricao Despacho]]=AD798),0,1)))</f>
        <v>1</v>
      </c>
      <c r="O79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79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79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799" s="107">
        <f>IF($Q799="","",(TAB_HISTORICO_MANUT[[#This Row],[Hora Final]]-TAB_HISTORICO_MANUT[[#This Row],[Hora Inicio]])*24)</f>
        <v>0.5088888889295049</v>
      </c>
      <c r="S79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799" s="109" t="str">
        <f>IF(AND(TAB_HISTORICO_MANUT[[#This Row],[EXPURGO Mãe]]="SIM",TAB_HISTORICO_MANUT[[#This Row],[Tipo]]="MÃE"),"EXP.MAE",IF(TAB_HISTORICO_MANUT[[#This Row],[EXPURGO Mãe]]="NÃO","NÃO EXP.MAE",T798))</f>
        <v>NÃO EXP.MAE</v>
      </c>
      <c r="U79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799" s="110">
        <f>IF(TAB_HISTORICO_MANUT[[#This Row],[EXPURGO Filhas]]="SIM",MAX(TAB_HISTORICO_MANUT[[#This Row],[Hora Final]]-TAB_HISTORICO_MANUT[[#This Row],[Hora Inicio]],0),0)</f>
        <v>0</v>
      </c>
      <c r="W79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79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799" s="117">
        <v>46073.790243055555</v>
      </c>
      <c r="Z799" s="118">
        <v>46073.81144675926</v>
      </c>
      <c r="AA799" s="119" t="s">
        <v>228</v>
      </c>
      <c r="AB799" s="119">
        <v>202601729918</v>
      </c>
      <c r="AC799" s="115" t="s">
        <v>204</v>
      </c>
      <c r="AD799" s="117" t="s">
        <v>144</v>
      </c>
      <c r="AE799" s="117" t="s">
        <v>172</v>
      </c>
      <c r="AF799" s="122" t="s">
        <v>210</v>
      </c>
      <c r="AG799" s="123">
        <f>IF(TAB_HISTORICO_MANUT[[#This Row],[Hora Inicio]]="","",MONTH(TAB_HISTORICO_MANUT[[#This Row],[Hora Inicio]]))</f>
        <v>2</v>
      </c>
      <c r="AH799" s="120" t="s">
        <v>605</v>
      </c>
      <c r="AI799" s="115" t="s">
        <v>24</v>
      </c>
      <c r="AJ799" s="115" t="s">
        <v>423</v>
      </c>
      <c r="AK799" s="115" t="s">
        <v>422</v>
      </c>
      <c r="AL799" s="115" t="s">
        <v>279</v>
      </c>
      <c r="AM799" s="115" t="s">
        <v>280</v>
      </c>
      <c r="AN799" s="115" t="s">
        <v>217</v>
      </c>
      <c r="AO799" s="115" t="s">
        <v>419</v>
      </c>
      <c r="AP799" s="115" t="s">
        <v>420</v>
      </c>
    </row>
    <row r="800" spans="1:42" ht="50.1" customHeight="1" x14ac:dyDescent="0.25">
      <c r="A800" s="115">
        <f>MONTH(TAB_HISTORICO_MANUT[[#This Row],[Hora Final]])-MONTH(TAB_HISTORICO_MANUT[[#This Row],[Hora Inicio]])</f>
        <v>0</v>
      </c>
      <c r="B800" s="116"/>
      <c r="C800" s="115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Inicio]]=Z799,TAB_HISTORICO_MANUT[[#This Row],[Equipamento]]=AA799,TAB_HISTORICO_MANUT[[#This Row],[Descricao Despacho]]=AD799),0,1)))</f>
        <v>1</v>
      </c>
      <c r="O80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80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80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800" s="107">
        <f>IF($Q800="","",(TAB_HISTORICO_MANUT[[#This Row],[Hora Final]]-TAB_HISTORICO_MANUT[[#This Row],[Hora Inicio]])*24)</f>
        <v>0.4002777777495794</v>
      </c>
      <c r="S80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00" s="109" t="str">
        <f>IF(AND(TAB_HISTORICO_MANUT[[#This Row],[EXPURGO Mãe]]="SIM",TAB_HISTORICO_MANUT[[#This Row],[Tipo]]="MÃE"),"EXP.MAE",IF(TAB_HISTORICO_MANUT[[#This Row],[EXPURGO Mãe]]="NÃO","NÃO EXP.MAE",T799))</f>
        <v>NÃO EXP.MAE</v>
      </c>
      <c r="U80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00" s="110">
        <f>IF(TAB_HISTORICO_MANUT[[#This Row],[EXPURGO Filhas]]="SIM",MAX(TAB_HISTORICO_MANUT[[#This Row],[Hora Final]]-TAB_HISTORICO_MANUT[[#This Row],[Hora Inicio]],0),0)</f>
        <v>0</v>
      </c>
      <c r="W80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0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00" s="117">
        <v>46074.434224537035</v>
      </c>
      <c r="Z800" s="118">
        <v>46074.450902777775</v>
      </c>
      <c r="AA800" s="119" t="s">
        <v>228</v>
      </c>
      <c r="AB800" s="119">
        <v>202601729918</v>
      </c>
      <c r="AC800" s="115" t="s">
        <v>205</v>
      </c>
      <c r="AD800" s="117" t="s">
        <v>145</v>
      </c>
      <c r="AE800" s="117" t="s">
        <v>173</v>
      </c>
      <c r="AF800" s="122" t="s">
        <v>210</v>
      </c>
      <c r="AG800" s="123">
        <f>IF(TAB_HISTORICO_MANUT[[#This Row],[Hora Inicio]]="","",MONTH(TAB_HISTORICO_MANUT[[#This Row],[Hora Inicio]]))</f>
        <v>2</v>
      </c>
      <c r="AH800" s="120" t="s">
        <v>326</v>
      </c>
      <c r="AI800" s="115" t="s">
        <v>21</v>
      </c>
      <c r="AJ800" s="115"/>
      <c r="AK800" s="115"/>
      <c r="AL800" s="115"/>
      <c r="AM800" s="121"/>
      <c r="AN800" s="115"/>
      <c r="AO800" s="115"/>
      <c r="AP800" s="115"/>
    </row>
    <row r="801" spans="1:42" ht="50.1" customHeight="1" x14ac:dyDescent="0.25">
      <c r="A801" s="43">
        <f>MONTH(TAB_HISTORICO_MANUT[[#This Row],[Hora Final]])-MONTH(TAB_HISTORICO_MANUT[[#This Row],[Hora Inicio]])</f>
        <v>0</v>
      </c>
      <c r="B801" s="42"/>
      <c r="C801" s="43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Inicio]]=Z800,TAB_HISTORICO_MANUT[[#This Row],[Equipamento]]=AA800,TAB_HISTORICO_MANUT[[#This Row],[Descricao Despacho]]=AD800),0,1)))</f>
        <v>1</v>
      </c>
      <c r="O80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80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0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801" s="107">
        <f>IF($Q801="","",(TAB_HISTORICO_MANUT[[#This Row],[Hora Final]]-TAB_HISTORICO_MANUT[[#This Row],[Hora Inicio]])*24)</f>
        <v>3.6744444445939735</v>
      </c>
      <c r="S80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01" s="109" t="str">
        <f>IF(AND(TAB_HISTORICO_MANUT[[#This Row],[EXPURGO Mãe]]="SIM",TAB_HISTORICO_MANUT[[#This Row],[Tipo]]="MÃE"),"EXP.MAE",IF(TAB_HISTORICO_MANUT[[#This Row],[EXPURGO Mãe]]="NÃO","NÃO EXP.MAE",T800))</f>
        <v>NÃO EXP.MAE</v>
      </c>
      <c r="U80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01" s="110">
        <f>IF(TAB_HISTORICO_MANUT[[#This Row],[EXPURGO Filhas]]="SIM",MAX(TAB_HISTORICO_MANUT[[#This Row],[Hora Final]]-TAB_HISTORICO_MANUT[[#This Row],[Hora Inicio]],0),0)</f>
        <v>0</v>
      </c>
      <c r="W80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0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01" s="46">
        <v>46075.406018518515</v>
      </c>
      <c r="Z801" s="118">
        <v>46075.559120370373</v>
      </c>
      <c r="AA801" s="48" t="s">
        <v>228</v>
      </c>
      <c r="AB801" s="48">
        <v>202601729918</v>
      </c>
      <c r="AC801" s="43" t="s">
        <v>204</v>
      </c>
      <c r="AD801" s="46" t="s">
        <v>144</v>
      </c>
      <c r="AE801" s="46" t="s">
        <v>172</v>
      </c>
      <c r="AF801" s="88" t="s">
        <v>210</v>
      </c>
      <c r="AG801" s="123">
        <f>IF(TAB_HISTORICO_MANUT[[#This Row],[Hora Inicio]]="","",MONTH(TAB_HISTORICO_MANUT[[#This Row],[Hora Inicio]]))</f>
        <v>2</v>
      </c>
      <c r="AH801" s="120" t="s">
        <v>607</v>
      </c>
      <c r="AI801" s="115" t="s">
        <v>24</v>
      </c>
      <c r="AJ801" s="115" t="s">
        <v>423</v>
      </c>
      <c r="AK801" s="115" t="s">
        <v>422</v>
      </c>
      <c r="AL801" s="115" t="s">
        <v>279</v>
      </c>
      <c r="AM801" s="115" t="s">
        <v>280</v>
      </c>
      <c r="AN801" s="43" t="s">
        <v>217</v>
      </c>
      <c r="AO801" s="43" t="s">
        <v>405</v>
      </c>
      <c r="AP801" s="43" t="s">
        <v>403</v>
      </c>
    </row>
    <row r="802" spans="1:42" ht="50.1" customHeight="1" x14ac:dyDescent="0.25">
      <c r="A802" s="43">
        <f>MONTH(TAB_HISTORICO_MANUT[[#This Row],[Hora Final]])-MONTH(TAB_HISTORICO_MANUT[[#This Row],[Hora Inicio]])</f>
        <v>0</v>
      </c>
      <c r="B802" s="42"/>
      <c r="C802" s="43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Inicio]]=Z801,TAB_HISTORICO_MANUT[[#This Row],[Equipamento]]=AA801,TAB_HISTORICO_MANUT[[#This Row],[Descricao Despacho]]=AD801),0,1)))</f>
        <v/>
      </c>
      <c r="O80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02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0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02" s="50" t="str">
        <f>IF($Q802="","",(TAB_HISTORICO_MANUT[[#This Row],[Hora Final]]-TAB_HISTORICO_MANUT[[#This Row],[Hora Inicio]])*24)</f>
        <v/>
      </c>
      <c r="S80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02" s="54" t="str">
        <f>IF(AND(TAB_HISTORICO_MANUT[[#This Row],[EXPURGO Mãe]]="SIM",TAB_HISTORICO_MANUT[[#This Row],[Tipo]]="MÃE"),"EXP.MAE",IF(TAB_HISTORICO_MANUT[[#This Row],[EXPURGO Mãe]]="NÃO","NÃO EXP.MAE",T801))</f>
        <v>NÃO EXP.MAE</v>
      </c>
      <c r="U80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02" s="56">
        <f>IF(TAB_HISTORICO_MANUT[[#This Row],[EXPURGO Filhas]]="SIM",MAX(TAB_HISTORICO_MANUT[[#This Row],[Hora Final]]-TAB_HISTORICO_MANUT[[#This Row],[Hora Inicio]],0),0)</f>
        <v>0.15208333333430346</v>
      </c>
      <c r="W80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0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02" s="46">
        <v>46075.406018518515</v>
      </c>
      <c r="Z802" s="47">
        <v>46075.55810185185</v>
      </c>
      <c r="AA802" s="48" t="s">
        <v>228</v>
      </c>
      <c r="AB802" s="48">
        <v>202601729918</v>
      </c>
      <c r="AC802" s="43" t="s">
        <v>204</v>
      </c>
      <c r="AD802" s="46" t="s">
        <v>144</v>
      </c>
      <c r="AE802" s="46" t="s">
        <v>765</v>
      </c>
      <c r="AF802" s="88" t="s">
        <v>767</v>
      </c>
      <c r="AG802" s="105">
        <f>IF(TAB_HISTORICO_MANUT[[#This Row],[Hora Inicio]]="","",MONTH(TAB_HISTORICO_MANUT[[#This Row],[Hora Inicio]]))</f>
        <v>2</v>
      </c>
      <c r="AH802" s="58" t="s">
        <v>607</v>
      </c>
      <c r="AI802" s="43" t="s">
        <v>24</v>
      </c>
      <c r="AJ802" s="43" t="s">
        <v>423</v>
      </c>
      <c r="AK802" s="43" t="s">
        <v>422</v>
      </c>
      <c r="AL802" s="43" t="s">
        <v>279</v>
      </c>
      <c r="AM802" s="43" t="s">
        <v>280</v>
      </c>
      <c r="AN802" s="43" t="s">
        <v>217</v>
      </c>
      <c r="AO802" s="43" t="s">
        <v>405</v>
      </c>
      <c r="AP802" s="43" t="s">
        <v>403</v>
      </c>
    </row>
    <row r="803" spans="1:42" ht="50.1" customHeight="1" x14ac:dyDescent="0.25">
      <c r="A803" s="43">
        <f>MONTH(TAB_HISTORICO_MANUT[[#This Row],[Hora Final]])-MONTH(TAB_HISTORICO_MANUT[[#This Row],[Hora Inicio]])</f>
        <v>0</v>
      </c>
      <c r="B803" s="42"/>
      <c r="C803" s="43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Inicio]]=Z802,TAB_HISTORICO_MANUT[[#This Row],[Equipamento]]=AA802,TAB_HISTORICO_MANUT[[#This Row],[Descricao Despacho]]=AD802),0,1)))</f>
        <v>1</v>
      </c>
      <c r="O80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803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80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803" s="50">
        <f>IF($Q803="","",(TAB_HISTORICO_MANUT[[#This Row],[Hora Final]]-TAB_HISTORICO_MANUT[[#This Row],[Hora Inicio]])*24)</f>
        <v>0.77361111104255542</v>
      </c>
      <c r="S80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03" s="54" t="str">
        <f>IF(AND(TAB_HISTORICO_MANUT[[#This Row],[EXPURGO Mãe]]="SIM",TAB_HISTORICO_MANUT[[#This Row],[Tipo]]="MÃE"),"EXP.MAE",IF(TAB_HISTORICO_MANUT[[#This Row],[EXPURGO Mãe]]="NÃO","NÃO EXP.MAE",T802))</f>
        <v>NÃO EXP.MAE</v>
      </c>
      <c r="U80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03" s="56">
        <f>IF(TAB_HISTORICO_MANUT[[#This Row],[EXPURGO Filhas]]="SIM",MAX(TAB_HISTORICO_MANUT[[#This Row],[Hora Final]]-TAB_HISTORICO_MANUT[[#This Row],[Hora Inicio]],0),0)</f>
        <v>0</v>
      </c>
      <c r="W80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0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03" s="46">
        <v>46078.131238425929</v>
      </c>
      <c r="Z803" s="47">
        <v>46078.163472222222</v>
      </c>
      <c r="AA803" s="48" t="s">
        <v>228</v>
      </c>
      <c r="AB803" s="48">
        <v>202601729918</v>
      </c>
      <c r="AC803" s="43" t="s">
        <v>205</v>
      </c>
      <c r="AD803" s="46" t="s">
        <v>145</v>
      </c>
      <c r="AE803" s="46" t="s">
        <v>173</v>
      </c>
      <c r="AF803" s="88" t="s">
        <v>210</v>
      </c>
      <c r="AG803" s="105">
        <f>IF(TAB_HISTORICO_MANUT[[#This Row],[Hora Inicio]]="","",MONTH(TAB_HISTORICO_MANUT[[#This Row],[Hora Inicio]]))</f>
        <v>2</v>
      </c>
      <c r="AH803" s="120" t="s">
        <v>625</v>
      </c>
      <c r="AI803" s="115" t="s">
        <v>21</v>
      </c>
      <c r="AJ803" s="115"/>
      <c r="AK803" s="43"/>
      <c r="AL803" s="43"/>
      <c r="AM803" s="114"/>
      <c r="AN803" s="43"/>
      <c r="AO803" s="43"/>
      <c r="AP803" s="43"/>
    </row>
    <row r="804" spans="1:42" ht="50.1" customHeight="1" x14ac:dyDescent="0.25">
      <c r="A804" s="115">
        <f>MONTH(TAB_HISTORICO_MANUT[[#This Row],[Hora Final]])-MONTH(TAB_HISTORICO_MANUT[[#This Row],[Hora Inicio]])</f>
        <v>0</v>
      </c>
      <c r="B804" s="116"/>
      <c r="C804" s="115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Inicio]]=Z803,TAB_HISTORICO_MANUT[[#This Row],[Equipamento]]=AA803,TAB_HISTORICO_MANUT[[#This Row],[Descricao Despacho]]=AD803),0,1)))</f>
        <v>1</v>
      </c>
      <c r="O80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80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0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804" s="107">
        <f>IF($Q804="","",(TAB_HISTORICO_MANUT[[#This Row],[Hora Final]]-TAB_HISTORICO_MANUT[[#This Row],[Hora Inicio]])*24)</f>
        <v>1.3883333334233612</v>
      </c>
      <c r="S80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04" s="109" t="str">
        <f>IF(AND(TAB_HISTORICO_MANUT[[#This Row],[EXPURGO Mãe]]="SIM",TAB_HISTORICO_MANUT[[#This Row],[Tipo]]="MÃE"),"EXP.MAE",IF(TAB_HISTORICO_MANUT[[#This Row],[EXPURGO Mãe]]="NÃO","NÃO EXP.MAE",T803))</f>
        <v>NÃO EXP.MAE</v>
      </c>
      <c r="U80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04" s="110">
        <f>IF(TAB_HISTORICO_MANUT[[#This Row],[EXPURGO Filhas]]="SIM",MAX(TAB_HISTORICO_MANUT[[#This Row],[Hora Final]]-TAB_HISTORICO_MANUT[[#This Row],[Hora Inicio]],0),0)</f>
        <v>0</v>
      </c>
      <c r="W80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0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04" s="117">
        <v>46078.787777777776</v>
      </c>
      <c r="Z804" s="118">
        <v>46078.845625000002</v>
      </c>
      <c r="AA804" s="119" t="s">
        <v>228</v>
      </c>
      <c r="AB804" s="119">
        <v>202601729918</v>
      </c>
      <c r="AC804" s="115" t="s">
        <v>204</v>
      </c>
      <c r="AD804" s="117" t="s">
        <v>144</v>
      </c>
      <c r="AE804" s="117" t="s">
        <v>172</v>
      </c>
      <c r="AF804" s="122" t="s">
        <v>210</v>
      </c>
      <c r="AG804" s="123">
        <f>IF(TAB_HISTORICO_MANUT[[#This Row],[Hora Inicio]]="","",MONTH(TAB_HISTORICO_MANUT[[#This Row],[Hora Inicio]]))</f>
        <v>2</v>
      </c>
      <c r="AH804" s="120" t="s">
        <v>626</v>
      </c>
      <c r="AI804" s="115" t="s">
        <v>24</v>
      </c>
      <c r="AJ804" s="115" t="s">
        <v>423</v>
      </c>
      <c r="AK804" s="115" t="s">
        <v>422</v>
      </c>
      <c r="AL804" s="115" t="s">
        <v>279</v>
      </c>
      <c r="AM804" s="121" t="s">
        <v>280</v>
      </c>
      <c r="AN804" s="115" t="s">
        <v>217</v>
      </c>
      <c r="AO804" s="115" t="s">
        <v>419</v>
      </c>
      <c r="AP804" s="115" t="s">
        <v>420</v>
      </c>
    </row>
    <row r="805" spans="1:42" ht="50.1" customHeight="1" x14ac:dyDescent="0.25">
      <c r="A805" s="115">
        <f>MONTH(TAB_HISTORICO_MANUT[[#This Row],[Hora Final]])-MONTH(TAB_HISTORICO_MANUT[[#This Row],[Hora Inicio]])</f>
        <v>0</v>
      </c>
      <c r="B805" s="116"/>
      <c r="C805" s="115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 t="s">
        <v>99</v>
      </c>
      <c r="N80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Inicio]]=Z804,TAB_HISTORICO_MANUT[[#This Row],[Equipamento]]=AA804,TAB_HISTORICO_MANUT[[#This Row],[Descricao Despacho]]=AD804),0,1)))</f>
        <v>1</v>
      </c>
      <c r="O80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80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80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805" s="107">
        <f>IF($Q805="","",(TAB_HISTORICO_MANUT[[#This Row],[Hora Final]]-TAB_HISTORICO_MANUT[[#This Row],[Hora Inicio]])*24)</f>
        <v>0.34333333326503634</v>
      </c>
      <c r="S80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05" s="109" t="str">
        <f>IF(AND(TAB_HISTORICO_MANUT[[#This Row],[EXPURGO Mãe]]="SIM",TAB_HISTORICO_MANUT[[#This Row],[Tipo]]="MÃE"),"EXP.MAE",IF(TAB_HISTORICO_MANUT[[#This Row],[EXPURGO Mãe]]="NÃO","NÃO EXP.MAE",T804))</f>
        <v>NÃO EXP.MAE</v>
      </c>
      <c r="U80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05" s="110">
        <f>IF(TAB_HISTORICO_MANUT[[#This Row],[EXPURGO Filhas]]="SIM",MAX(TAB_HISTORICO_MANUT[[#This Row],[Hora Final]]-TAB_HISTORICO_MANUT[[#This Row],[Hora Inicio]],0),0)</f>
        <v>0</v>
      </c>
      <c r="W80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0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05" s="117">
        <v>46080.044490740744</v>
      </c>
      <c r="Z805" s="118">
        <v>46080.058796296296</v>
      </c>
      <c r="AA805" s="119" t="s">
        <v>228</v>
      </c>
      <c r="AB805" s="119">
        <v>202601729918</v>
      </c>
      <c r="AC805" s="115" t="s">
        <v>300</v>
      </c>
      <c r="AD805" s="117" t="s">
        <v>146</v>
      </c>
      <c r="AE805" s="117" t="s">
        <v>178</v>
      </c>
      <c r="AF805" s="122" t="s">
        <v>210</v>
      </c>
      <c r="AG805" s="123">
        <f>IF(TAB_HISTORICO_MANUT[[#This Row],[Hora Inicio]]="","",MONTH(TAB_HISTORICO_MANUT[[#This Row],[Hora Inicio]]))</f>
        <v>2</v>
      </c>
      <c r="AH805" s="120" t="s">
        <v>650</v>
      </c>
      <c r="AI805" s="115" t="s">
        <v>340</v>
      </c>
      <c r="AJ805" s="115" t="s">
        <v>436</v>
      </c>
      <c r="AK805" s="115"/>
      <c r="AL805" s="115"/>
      <c r="AM805" s="121"/>
      <c r="AN805" s="115"/>
      <c r="AO805" s="115"/>
      <c r="AP805" s="115"/>
    </row>
    <row r="806" spans="1:42" ht="50.1" customHeight="1" x14ac:dyDescent="0.25">
      <c r="A806" s="43">
        <f>MONTH(TAB_HISTORICO_MANUT[[#This Row],[Hora Final]])-MONTH(TAB_HISTORICO_MANUT[[#This Row],[Hora Inicio]])</f>
        <v>0</v>
      </c>
      <c r="B806" s="42"/>
      <c r="C806" s="43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Inicio]]=Z805,TAB_HISTORICO_MANUT[[#This Row],[Equipamento]]=AA805,TAB_HISTORICO_MANUT[[#This Row],[Descricao Despacho]]=AD805),0,1)))</f>
        <v>0</v>
      </c>
      <c r="O80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806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80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806" s="50">
        <f>IF($Q806="","",(TAB_HISTORICO_MANUT[[#This Row],[Hora Final]]-TAB_HISTORICO_MANUT[[#This Row],[Hora Inicio]])*24)</f>
        <v>3.9186111110611819</v>
      </c>
      <c r="S80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06" s="54" t="str">
        <f>IF(AND(TAB_HISTORICO_MANUT[[#This Row],[EXPURGO Mãe]]="SIM",TAB_HISTORICO_MANUT[[#This Row],[Tipo]]="MÃE"),"EXP.MAE",IF(TAB_HISTORICO_MANUT[[#This Row],[EXPURGO Mãe]]="NÃO","NÃO EXP.MAE",T805))</f>
        <v>NÃO EXP.MAE</v>
      </c>
      <c r="U80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06" s="56">
        <f>IF(TAB_HISTORICO_MANUT[[#This Row],[EXPURGO Filhas]]="SIM",MAX(TAB_HISTORICO_MANUT[[#This Row],[Hora Final]]-TAB_HISTORICO_MANUT[[#This Row],[Hora Inicio]],0),0)</f>
        <v>0</v>
      </c>
      <c r="W80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0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06" s="46">
        <v>46080.058796296296</v>
      </c>
      <c r="Z806" s="47">
        <v>46080.222071759257</v>
      </c>
      <c r="AA806" s="48" t="s">
        <v>228</v>
      </c>
      <c r="AB806" s="48">
        <v>202601729918</v>
      </c>
      <c r="AC806" s="43" t="s">
        <v>301</v>
      </c>
      <c r="AD806" s="46" t="s">
        <v>146</v>
      </c>
      <c r="AE806" s="46" t="s">
        <v>310</v>
      </c>
      <c r="AF806" s="88" t="s">
        <v>210</v>
      </c>
      <c r="AG806" s="105">
        <f>IF(TAB_HISTORICO_MANUT[[#This Row],[Hora Inicio]]="","",MONTH(TAB_HISTORICO_MANUT[[#This Row],[Hora Inicio]]))</f>
        <v>2</v>
      </c>
      <c r="AH806" s="58" t="s">
        <v>650</v>
      </c>
      <c r="AI806" s="43" t="s">
        <v>340</v>
      </c>
      <c r="AJ806" s="43" t="s">
        <v>436</v>
      </c>
      <c r="AK806" s="43"/>
      <c r="AL806" s="43"/>
      <c r="AM806" s="114"/>
      <c r="AN806" s="43"/>
      <c r="AO806" s="43"/>
      <c r="AP806" s="43"/>
    </row>
    <row r="807" spans="1:42" ht="50.1" customHeight="1" x14ac:dyDescent="0.25">
      <c r="A807" s="43">
        <f>MONTH(TAB_HISTORICO_MANUT[[#This Row],[Hora Final]])-MONTH(TAB_HISTORICO_MANUT[[#This Row],[Hora Inicio]])</f>
        <v>0</v>
      </c>
      <c r="B807" s="42"/>
      <c r="C807" s="43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Inicio]]=Z806,TAB_HISTORICO_MANUT[[#This Row],[Equipamento]]=AA806,TAB_HISTORICO_MANUT[[#This Row],[Descricao Despacho]]=AD806),0,1)))</f>
        <v>1</v>
      </c>
      <c r="O80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807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0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807" s="50">
        <f>IF($Q807="","",(TAB_HISTORICO_MANUT[[#This Row],[Hora Final]]-TAB_HISTORICO_MANUT[[#This Row],[Hora Inicio]])*24)</f>
        <v>1.9058333332068287</v>
      </c>
      <c r="S80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07" s="54" t="str">
        <f>IF(AND(TAB_HISTORICO_MANUT[[#This Row],[EXPURGO Mãe]]="SIM",TAB_HISTORICO_MANUT[[#This Row],[Tipo]]="MÃE"),"EXP.MAE",IF(TAB_HISTORICO_MANUT[[#This Row],[EXPURGO Mãe]]="NÃO","NÃO EXP.MAE",T806))</f>
        <v>NÃO EXP.MAE</v>
      </c>
      <c r="U80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07" s="56">
        <f>IF(TAB_HISTORICO_MANUT[[#This Row],[EXPURGO Filhas]]="SIM",MAX(TAB_HISTORICO_MANUT[[#This Row],[Hora Final]]-TAB_HISTORICO_MANUT[[#This Row],[Hora Inicio]],0),0)</f>
        <v>0</v>
      </c>
      <c r="W80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0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07" s="46">
        <v>46080.763831018521</v>
      </c>
      <c r="Z807" s="47">
        <v>46080.843240740738</v>
      </c>
      <c r="AA807" s="48" t="s">
        <v>228</v>
      </c>
      <c r="AB807" s="48">
        <v>202601729918</v>
      </c>
      <c r="AC807" s="43" t="s">
        <v>204</v>
      </c>
      <c r="AD807" s="46" t="s">
        <v>144</v>
      </c>
      <c r="AE807" s="46" t="s">
        <v>172</v>
      </c>
      <c r="AF807" s="88" t="s">
        <v>210</v>
      </c>
      <c r="AG807" s="105">
        <f>IF(TAB_HISTORICO_MANUT[[#This Row],[Hora Inicio]]="","",MONTH(TAB_HISTORICO_MANUT[[#This Row],[Hora Inicio]]))</f>
        <v>2</v>
      </c>
      <c r="AH807" s="58" t="s">
        <v>631</v>
      </c>
      <c r="AI807" s="43" t="s">
        <v>24</v>
      </c>
      <c r="AJ807" s="43" t="s">
        <v>423</v>
      </c>
      <c r="AK807" s="43" t="s">
        <v>422</v>
      </c>
      <c r="AL807" s="43" t="s">
        <v>279</v>
      </c>
      <c r="AM807" s="114" t="s">
        <v>280</v>
      </c>
      <c r="AN807" s="43" t="s">
        <v>217</v>
      </c>
      <c r="AO807" s="43" t="s">
        <v>419</v>
      </c>
      <c r="AP807" s="43" t="s">
        <v>420</v>
      </c>
    </row>
    <row r="808" spans="1:42" ht="50.1" customHeight="1" x14ac:dyDescent="0.25">
      <c r="A808" s="115">
        <f>MONTH(TAB_HISTORICO_MANUT[[#This Row],[Hora Final]])-MONTH(TAB_HISTORICO_MANUT[[#This Row],[Hora Inicio]])</f>
        <v>0</v>
      </c>
      <c r="B808" s="116"/>
      <c r="C808" s="115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Inicio]]=Z807,TAB_HISTORICO_MANUT[[#This Row],[Equipamento]]=AA807,TAB_HISTORICO_MANUT[[#This Row],[Descricao Despacho]]=AD807),0,1)))</f>
        <v>1</v>
      </c>
      <c r="O80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80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80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808" s="107">
        <f>IF($Q808="","",(TAB_HISTORICO_MANUT[[#This Row],[Hora Final]]-TAB_HISTORICO_MANUT[[#This Row],[Hora Inicio]])*24)</f>
        <v>2.0480555556714535</v>
      </c>
      <c r="S80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08" s="109" t="str">
        <f>IF(AND(TAB_HISTORICO_MANUT[[#This Row],[EXPURGO Mãe]]="SIM",TAB_HISTORICO_MANUT[[#This Row],[Tipo]]="MÃE"),"EXP.MAE",IF(TAB_HISTORICO_MANUT[[#This Row],[EXPURGO Mãe]]="NÃO","NÃO EXP.MAE",T807))</f>
        <v>NÃO EXP.MAE</v>
      </c>
      <c r="U80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08" s="110">
        <f>IF(TAB_HISTORICO_MANUT[[#This Row],[EXPURGO Filhas]]="SIM",MAX(TAB_HISTORICO_MANUT[[#This Row],[Hora Final]]-TAB_HISTORICO_MANUT[[#This Row],[Hora Inicio]],0),0)</f>
        <v>0</v>
      </c>
      <c r="W80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0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08" s="117">
        <v>46080.915949074071</v>
      </c>
      <c r="Z808" s="118">
        <v>46081.001284722224</v>
      </c>
      <c r="AA808" s="119" t="s">
        <v>228</v>
      </c>
      <c r="AB808" s="119">
        <v>202601729918</v>
      </c>
      <c r="AC808" s="115" t="s">
        <v>363</v>
      </c>
      <c r="AD808" s="117" t="s">
        <v>145</v>
      </c>
      <c r="AE808" s="117" t="s">
        <v>359</v>
      </c>
      <c r="AF808" s="122" t="s">
        <v>210</v>
      </c>
      <c r="AG808" s="123">
        <f>IF(TAB_HISTORICO_MANUT[[#This Row],[Hora Inicio]]="","",MONTH(TAB_HISTORICO_MANUT[[#This Row],[Hora Inicio]]))</f>
        <v>2</v>
      </c>
      <c r="AH808" s="120" t="s">
        <v>383</v>
      </c>
      <c r="AI808" s="43" t="s">
        <v>25</v>
      </c>
      <c r="AJ808" s="43"/>
      <c r="AK808" s="43"/>
      <c r="AL808" s="43"/>
      <c r="AM808" s="114"/>
      <c r="AN808" s="115"/>
      <c r="AO808" s="115"/>
      <c r="AP808" s="115"/>
    </row>
    <row r="809" spans="1:42" ht="50.1" customHeight="1" x14ac:dyDescent="0.25">
      <c r="A809" s="43">
        <f>MONTH(TAB_HISTORICO_MANUT[[#This Row],[Hora Final]])-MONTH(TAB_HISTORICO_MANUT[[#This Row],[Hora Inicio]])</f>
        <v>0</v>
      </c>
      <c r="B809" s="42"/>
      <c r="C809" s="43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Inicio]]=Z808,TAB_HISTORICO_MANUT[[#This Row],[Equipamento]]=AA808,TAB_HISTORICO_MANUT[[#This Row],[Descricao Despacho]]=AD808),0,1)))</f>
        <v>1</v>
      </c>
      <c r="O80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DE FREIO</v>
      </c>
      <c r="P809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0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809" s="50">
        <f>IF($Q809="","",(TAB_HISTORICO_MANUT[[#This Row],[Hora Final]]-TAB_HISTORICO_MANUT[[#This Row],[Hora Inicio]])*24)</f>
        <v>378.15833333332557</v>
      </c>
      <c r="S80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09" s="54" t="str">
        <f>IF(AND(TAB_HISTORICO_MANUT[[#This Row],[EXPURGO Mãe]]="SIM",TAB_HISTORICO_MANUT[[#This Row],[Tipo]]="MÃE"),"EXP.MAE",IF(TAB_HISTORICO_MANUT[[#This Row],[EXPURGO Mãe]]="NÃO","NÃO EXP.MAE",T808))</f>
        <v>NÃO EXP.MAE</v>
      </c>
      <c r="U80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09" s="56">
        <f>IF(TAB_HISTORICO_MANUT[[#This Row],[EXPURGO Filhas]]="SIM",MAX(TAB_HISTORICO_MANUT[[#This Row],[Hora Final]]-TAB_HISTORICO_MANUT[[#This Row],[Hora Inicio]],0),0)</f>
        <v>0</v>
      </c>
      <c r="W80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0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09" s="46">
        <v>46082.52553240741</v>
      </c>
      <c r="Z809" s="47">
        <v>46098.282129629632</v>
      </c>
      <c r="AA809" s="48" t="s">
        <v>228</v>
      </c>
      <c r="AB809" s="48">
        <v>202601729918</v>
      </c>
      <c r="AC809" s="43" t="s">
        <v>204</v>
      </c>
      <c r="AD809" s="46" t="s">
        <v>144</v>
      </c>
      <c r="AE809" s="46" t="s">
        <v>172</v>
      </c>
      <c r="AF809" s="88" t="s">
        <v>210</v>
      </c>
      <c r="AG809" s="105">
        <f>IF(TAB_HISTORICO_MANUT[[#This Row],[Hora Inicio]]="","",MONTH(TAB_HISTORICO_MANUT[[#This Row],[Hora Inicio]]))</f>
        <v>3</v>
      </c>
      <c r="AH809" s="58" t="s">
        <v>654</v>
      </c>
      <c r="AI809" s="43" t="s">
        <v>46</v>
      </c>
      <c r="AJ809" s="43" t="s">
        <v>295</v>
      </c>
      <c r="AK809" s="43" t="s">
        <v>295</v>
      </c>
      <c r="AL809" s="43" t="s">
        <v>275</v>
      </c>
      <c r="AM809" s="114" t="s">
        <v>276</v>
      </c>
      <c r="AN809" s="43"/>
      <c r="AO809" s="43"/>
      <c r="AP809" s="43"/>
    </row>
    <row r="810" spans="1:42" ht="50.1" customHeight="1" x14ac:dyDescent="0.25">
      <c r="A810" s="115">
        <f>MONTH(TAB_HISTORICO_MANUT[[#This Row],[Hora Final]])-MONTH(TAB_HISTORICO_MANUT[[#This Row],[Hora Inicio]])</f>
        <v>0</v>
      </c>
      <c r="B810" s="116"/>
      <c r="C810" s="115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 t="s">
        <v>99</v>
      </c>
      <c r="N810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Inicio]]=Z809,TAB_HISTORICO_MANUT[[#This Row],[Equipamento]]=AA809,TAB_HISTORICO_MANUT[[#This Row],[Descricao Despacho]]=AD809),0,1)))</f>
        <v/>
      </c>
      <c r="O81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10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1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10" s="107" t="str">
        <f>IF($Q810="","",(TAB_HISTORICO_MANUT[[#This Row],[Hora Final]]-TAB_HISTORICO_MANUT[[#This Row],[Hora Inicio]])*24)</f>
        <v/>
      </c>
      <c r="S81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10" s="109" t="str">
        <f>IF(AND(TAB_HISTORICO_MANUT[[#This Row],[EXPURGO Mãe]]="SIM",TAB_HISTORICO_MANUT[[#This Row],[Tipo]]="MÃE"),"EXP.MAE",IF(TAB_HISTORICO_MANUT[[#This Row],[EXPURGO Mãe]]="NÃO","NÃO EXP.MAE",T809))</f>
        <v>NÃO EXP.MAE</v>
      </c>
      <c r="U81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10" s="110">
        <f>IF(TAB_HISTORICO_MANUT[[#This Row],[EXPURGO Filhas]]="SIM",MAX(TAB_HISTORICO_MANUT[[#This Row],[Hora Final]]-TAB_HISTORICO_MANUT[[#This Row],[Hora Inicio]],0),0)</f>
        <v>0</v>
      </c>
      <c r="W81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1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10" s="117">
        <v>46083.549305555556</v>
      </c>
      <c r="Z810" s="118">
        <v>46083.59097222222</v>
      </c>
      <c r="AA810" s="119" t="s">
        <v>228</v>
      </c>
      <c r="AB810" s="119">
        <v>202601729918</v>
      </c>
      <c r="AC810" s="115" t="s">
        <v>204</v>
      </c>
      <c r="AD810" s="117" t="s">
        <v>144</v>
      </c>
      <c r="AE810" s="117" t="s">
        <v>233</v>
      </c>
      <c r="AF810" s="122" t="s">
        <v>767</v>
      </c>
      <c r="AG810" s="123">
        <f>IF(TAB_HISTORICO_MANUT[[#This Row],[Hora Inicio]]="","",MONTH(TAB_HISTORICO_MANUT[[#This Row],[Hora Inicio]]))</f>
        <v>3</v>
      </c>
      <c r="AH810" s="120" t="s">
        <v>654</v>
      </c>
      <c r="AI810" s="115" t="s">
        <v>46</v>
      </c>
      <c r="AJ810" s="115" t="s">
        <v>295</v>
      </c>
      <c r="AK810" s="115" t="s">
        <v>295</v>
      </c>
      <c r="AL810" s="115" t="s">
        <v>275</v>
      </c>
      <c r="AM810" s="121" t="s">
        <v>276</v>
      </c>
      <c r="AN810" s="115"/>
      <c r="AO810" s="115"/>
      <c r="AP810" s="115"/>
    </row>
    <row r="811" spans="1:42" ht="50.1" customHeight="1" x14ac:dyDescent="0.25">
      <c r="A811" s="115">
        <f>MONTH(TAB_HISTORICO_MANUT[[#This Row],[Hora Final]])-MONTH(TAB_HISTORICO_MANUT[[#This Row],[Hora Inicio]])</f>
        <v>0</v>
      </c>
      <c r="B811" s="116"/>
      <c r="C811" s="115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Inicio]]=Z810,TAB_HISTORICO_MANUT[[#This Row],[Equipamento]]=AA810,TAB_HISTORICO_MANUT[[#This Row],[Descricao Despacho]]=AD810),0,1)))</f>
        <v/>
      </c>
      <c r="O81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11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1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11" s="107" t="str">
        <f>IF($Q811="","",(TAB_HISTORICO_MANUT[[#This Row],[Hora Final]]-TAB_HISTORICO_MANUT[[#This Row],[Hora Inicio]])*24)</f>
        <v/>
      </c>
      <c r="S81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11" s="109" t="str">
        <f>IF(AND(TAB_HISTORICO_MANUT[[#This Row],[EXPURGO Mãe]]="SIM",TAB_HISTORICO_MANUT[[#This Row],[Tipo]]="MÃE"),"EXP.MAE",IF(TAB_HISTORICO_MANUT[[#This Row],[EXPURGO Mãe]]="NÃO","NÃO EXP.MAE",T810))</f>
        <v>NÃO EXP.MAE</v>
      </c>
      <c r="U81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11" s="110">
        <f>IF(TAB_HISTORICO_MANUT[[#This Row],[EXPURGO Filhas]]="SIM",MAX(TAB_HISTORICO_MANUT[[#This Row],[Hora Final]]-TAB_HISTORICO_MANUT[[#This Row],[Hora Inicio]],0),0)</f>
        <v>5.8333333334303461E-2</v>
      </c>
      <c r="W81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1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11" s="117">
        <v>46083.59097222222</v>
      </c>
      <c r="Z811" s="118">
        <v>46083.649305555555</v>
      </c>
      <c r="AA811" s="119" t="s">
        <v>228</v>
      </c>
      <c r="AB811" s="119">
        <v>202601729918</v>
      </c>
      <c r="AC811" s="115" t="s">
        <v>204</v>
      </c>
      <c r="AD811" s="117" t="s">
        <v>144</v>
      </c>
      <c r="AE811" s="117" t="s">
        <v>233</v>
      </c>
      <c r="AF811" s="122" t="s">
        <v>767</v>
      </c>
      <c r="AG811" s="123">
        <f>IF(TAB_HISTORICO_MANUT[[#This Row],[Hora Inicio]]="","",MONTH(TAB_HISTORICO_MANUT[[#This Row],[Hora Inicio]]))</f>
        <v>3</v>
      </c>
      <c r="AH811" s="120" t="s">
        <v>654</v>
      </c>
      <c r="AI811" s="115" t="s">
        <v>46</v>
      </c>
      <c r="AJ811" s="115" t="s">
        <v>295</v>
      </c>
      <c r="AK811" s="115" t="s">
        <v>295</v>
      </c>
      <c r="AL811" s="115" t="s">
        <v>275</v>
      </c>
      <c r="AM811" s="121" t="s">
        <v>276</v>
      </c>
      <c r="AN811" s="115"/>
      <c r="AO811" s="115"/>
      <c r="AP811" s="115"/>
    </row>
    <row r="812" spans="1:42" ht="50.1" customHeight="1" x14ac:dyDescent="0.25">
      <c r="A812" s="115">
        <f>MONTH(TAB_HISTORICO_MANUT[[#This Row],[Hora Final]])-MONTH(TAB_HISTORICO_MANUT[[#This Row],[Hora Inicio]])</f>
        <v>0</v>
      </c>
      <c r="B812" s="116"/>
      <c r="C812" s="115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Inicio]]=Z811,TAB_HISTORICO_MANUT[[#This Row],[Equipamento]]=AA811,TAB_HISTORICO_MANUT[[#This Row],[Descricao Despacho]]=AD811),0,1)))</f>
        <v/>
      </c>
      <c r="O81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12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1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12" s="107" t="str">
        <f>IF($Q812="","",(TAB_HISTORICO_MANUT[[#This Row],[Hora Final]]-TAB_HISTORICO_MANUT[[#This Row],[Hora Inicio]])*24)</f>
        <v/>
      </c>
      <c r="S81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12" s="109" t="str">
        <f>IF(AND(TAB_HISTORICO_MANUT[[#This Row],[EXPURGO Mãe]]="SIM",TAB_HISTORICO_MANUT[[#This Row],[Tipo]]="MÃE"),"EXP.MAE",IF(TAB_HISTORICO_MANUT[[#This Row],[EXPURGO Mãe]]="NÃO","NÃO EXP.MAE",T811))</f>
        <v>NÃO EXP.MAE</v>
      </c>
      <c r="U81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12" s="110">
        <f>IF(TAB_HISTORICO_MANUT[[#This Row],[EXPURGO Filhas]]="SIM",MAX(TAB_HISTORICO_MANUT[[#This Row],[Hora Final]]-TAB_HISTORICO_MANUT[[#This Row],[Hora Inicio]],0),0)</f>
        <v>0.16666666667151731</v>
      </c>
      <c r="W81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1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12" s="117">
        <v>46084.041666666664</v>
      </c>
      <c r="Z812" s="118">
        <v>46084.208333333336</v>
      </c>
      <c r="AA812" s="119" t="s">
        <v>228</v>
      </c>
      <c r="AB812" s="119">
        <v>202601729918</v>
      </c>
      <c r="AC812" s="115" t="s">
        <v>204</v>
      </c>
      <c r="AD812" s="117" t="s">
        <v>144</v>
      </c>
      <c r="AE812" s="117" t="s">
        <v>780</v>
      </c>
      <c r="AF812" s="122" t="s">
        <v>767</v>
      </c>
      <c r="AG812" s="123">
        <f>IF(TAB_HISTORICO_MANUT[[#This Row],[Hora Inicio]]="","",MONTH(TAB_HISTORICO_MANUT[[#This Row],[Hora Inicio]]))</f>
        <v>3</v>
      </c>
      <c r="AH812" s="120" t="s">
        <v>654</v>
      </c>
      <c r="AI812" s="115" t="s">
        <v>46</v>
      </c>
      <c r="AJ812" s="115" t="s">
        <v>295</v>
      </c>
      <c r="AK812" s="115" t="s">
        <v>295</v>
      </c>
      <c r="AL812" s="115" t="s">
        <v>275</v>
      </c>
      <c r="AM812" s="121" t="s">
        <v>276</v>
      </c>
      <c r="AN812" s="115"/>
      <c r="AO812" s="115"/>
      <c r="AP812" s="115"/>
    </row>
    <row r="813" spans="1:42" ht="50.1" customHeight="1" x14ac:dyDescent="0.25">
      <c r="A813" s="115">
        <f>MONTH(TAB_HISTORICO_MANUT[[#This Row],[Hora Final]])-MONTH(TAB_HISTORICO_MANUT[[#This Row],[Hora Inicio]])</f>
        <v>0</v>
      </c>
      <c r="B813" s="116"/>
      <c r="C813" s="115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Inicio]]=Z812,TAB_HISTORICO_MANUT[[#This Row],[Equipamento]]=AA812,TAB_HISTORICO_MANUT[[#This Row],[Descricao Despacho]]=AD812),0,1)))</f>
        <v/>
      </c>
      <c r="O81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13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1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13" s="107" t="str">
        <f>IF($Q813="","",(TAB_HISTORICO_MANUT[[#This Row],[Hora Final]]-TAB_HISTORICO_MANUT[[#This Row],[Hora Inicio]])*24)</f>
        <v/>
      </c>
      <c r="S81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13" s="109" t="str">
        <f>IF(AND(TAB_HISTORICO_MANUT[[#This Row],[EXPURGO Mãe]]="SIM",TAB_HISTORICO_MANUT[[#This Row],[Tipo]]="MÃE"),"EXP.MAE",IF(TAB_HISTORICO_MANUT[[#This Row],[EXPURGO Mãe]]="NÃO","NÃO EXP.MAE",T812))</f>
        <v>NÃO EXP.MAE</v>
      </c>
      <c r="U81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13" s="110">
        <f>IF(TAB_HISTORICO_MANUT[[#This Row],[EXPURGO Filhas]]="SIM",MAX(TAB_HISTORICO_MANUT[[#This Row],[Hora Final]]-TAB_HISTORICO_MANUT[[#This Row],[Hora Inicio]],0),0)</f>
        <v>8.3333333335758653E-2</v>
      </c>
      <c r="W81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1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13" s="117">
        <v>46087.25</v>
      </c>
      <c r="Z813" s="118">
        <v>46087.333333333336</v>
      </c>
      <c r="AA813" s="119" t="s">
        <v>228</v>
      </c>
      <c r="AB813" s="119">
        <v>202601729918</v>
      </c>
      <c r="AC813" s="115" t="s">
        <v>204</v>
      </c>
      <c r="AD813" s="117" t="s">
        <v>144</v>
      </c>
      <c r="AE813" s="117" t="s">
        <v>787</v>
      </c>
      <c r="AF813" s="122" t="s">
        <v>767</v>
      </c>
      <c r="AG813" s="123">
        <f>IF(TAB_HISTORICO_MANUT[[#This Row],[Hora Inicio]]="","",MONTH(TAB_HISTORICO_MANUT[[#This Row],[Hora Inicio]]))</f>
        <v>3</v>
      </c>
      <c r="AH813" s="120" t="s">
        <v>654</v>
      </c>
      <c r="AI813" s="115" t="s">
        <v>46</v>
      </c>
      <c r="AJ813" s="115" t="s">
        <v>295</v>
      </c>
      <c r="AK813" s="115" t="s">
        <v>295</v>
      </c>
      <c r="AL813" s="115" t="s">
        <v>275</v>
      </c>
      <c r="AM813" s="121" t="s">
        <v>276</v>
      </c>
      <c r="AN813" s="115"/>
      <c r="AO813" s="115"/>
      <c r="AP813" s="115"/>
    </row>
    <row r="814" spans="1:42" ht="50.1" customHeight="1" x14ac:dyDescent="0.25">
      <c r="A814" s="43">
        <f>MONTH(TAB_HISTORICO_MANUT[[#This Row],[Hora Final]])-MONTH(TAB_HISTORICO_MANUT[[#This Row],[Hora Inicio]])</f>
        <v>0</v>
      </c>
      <c r="B814" s="42"/>
      <c r="C814" s="43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Inicio]]=Z813,TAB_HISTORICO_MANUT[[#This Row],[Equipamento]]=AA813,TAB_HISTORICO_MANUT[[#This Row],[Descricao Despacho]]=AD813),0,1)))</f>
        <v/>
      </c>
      <c r="O81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14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1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14" s="50" t="str">
        <f>IF($Q814="","",(TAB_HISTORICO_MANUT[[#This Row],[Hora Final]]-TAB_HISTORICO_MANUT[[#This Row],[Hora Inicio]])*24)</f>
        <v/>
      </c>
      <c r="S81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14" s="54" t="str">
        <f>IF(AND(TAB_HISTORICO_MANUT[[#This Row],[EXPURGO Mãe]]="SIM",TAB_HISTORICO_MANUT[[#This Row],[Tipo]]="MÃE"),"EXP.MAE",IF(TAB_HISTORICO_MANUT[[#This Row],[EXPURGO Mãe]]="NÃO","NÃO EXP.MAE",T813))</f>
        <v>NÃO EXP.MAE</v>
      </c>
      <c r="U81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14" s="56">
        <f>IF(TAB_HISTORICO_MANUT[[#This Row],[EXPURGO Filhas]]="SIM",MAX(TAB_HISTORICO_MANUT[[#This Row],[Hora Final]]-TAB_HISTORICO_MANUT[[#This Row],[Hora Inicio]],0),0)</f>
        <v>6.25E-2</v>
      </c>
      <c r="W81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1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14" s="46">
        <v>46087.6875</v>
      </c>
      <c r="Z814" s="47">
        <v>46087.75</v>
      </c>
      <c r="AA814" s="48" t="s">
        <v>228</v>
      </c>
      <c r="AB814" s="48">
        <v>202601729918</v>
      </c>
      <c r="AC814" s="43" t="s">
        <v>204</v>
      </c>
      <c r="AD814" s="46" t="s">
        <v>144</v>
      </c>
      <c r="AE814" s="46" t="s">
        <v>772</v>
      </c>
      <c r="AF814" s="88" t="s">
        <v>767</v>
      </c>
      <c r="AG814" s="105">
        <f>IF(TAB_HISTORICO_MANUT[[#This Row],[Hora Inicio]]="","",MONTH(TAB_HISTORICO_MANUT[[#This Row],[Hora Inicio]]))</f>
        <v>3</v>
      </c>
      <c r="AH814" s="58" t="s">
        <v>654</v>
      </c>
      <c r="AI814" s="43" t="s">
        <v>46</v>
      </c>
      <c r="AJ814" s="43" t="s">
        <v>295</v>
      </c>
      <c r="AK814" s="43" t="s">
        <v>295</v>
      </c>
      <c r="AL814" s="43" t="s">
        <v>275</v>
      </c>
      <c r="AM814" s="114" t="s">
        <v>276</v>
      </c>
      <c r="AN814" s="43"/>
      <c r="AO814" s="43"/>
      <c r="AP814" s="43"/>
    </row>
    <row r="815" spans="1:42" ht="50.1" customHeight="1" x14ac:dyDescent="0.25">
      <c r="A815" s="115">
        <f>MONTH(TAB_HISTORICO_MANUT[[#This Row],[Hora Final]])-MONTH(TAB_HISTORICO_MANUT[[#This Row],[Hora Inicio]])</f>
        <v>0</v>
      </c>
      <c r="B815" s="116"/>
      <c r="C815" s="115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 t="s">
        <v>98</v>
      </c>
      <c r="N815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Inicio]]=Z814,TAB_HISTORICO_MANUT[[#This Row],[Equipamento]]=AA814,TAB_HISTORICO_MANUT[[#This Row],[Descricao Despacho]]=AD814),0,1)))</f>
        <v/>
      </c>
      <c r="O81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15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1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15" s="107" t="str">
        <f>IF($Q815="","",(TAB_HISTORICO_MANUT[[#This Row],[Hora Final]]-TAB_HISTORICO_MANUT[[#This Row],[Hora Inicio]])*24)</f>
        <v/>
      </c>
      <c r="S81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15" s="109" t="str">
        <f>IF(AND(TAB_HISTORICO_MANUT[[#This Row],[EXPURGO Mãe]]="SIM",TAB_HISTORICO_MANUT[[#This Row],[Tipo]]="MÃE"),"EXP.MAE",IF(TAB_HISTORICO_MANUT[[#This Row],[EXPURGO Mãe]]="NÃO","NÃO EXP.MAE",T814))</f>
        <v>NÃO EXP.MAE</v>
      </c>
      <c r="U81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15" s="110">
        <f>IF(TAB_HISTORICO_MANUT[[#This Row],[EXPURGO Filhas]]="SIM",MAX(TAB_HISTORICO_MANUT[[#This Row],[Hora Final]]-TAB_HISTORICO_MANUT[[#This Row],[Hora Inicio]],0),0)</f>
        <v>2.484722222223354</v>
      </c>
      <c r="W81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1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15" s="117">
        <v>46087.75</v>
      </c>
      <c r="Z815" s="118">
        <v>46090.234722222223</v>
      </c>
      <c r="AA815" s="119" t="s">
        <v>228</v>
      </c>
      <c r="AB815" s="119">
        <v>202601729918</v>
      </c>
      <c r="AC815" s="115" t="s">
        <v>204</v>
      </c>
      <c r="AD815" s="117" t="s">
        <v>144</v>
      </c>
      <c r="AE815" s="117" t="s">
        <v>172</v>
      </c>
      <c r="AF815" s="122" t="s">
        <v>767</v>
      </c>
      <c r="AG815" s="123">
        <f>IF(TAB_HISTORICO_MANUT[[#This Row],[Hora Inicio]]="","",MONTH(TAB_HISTORICO_MANUT[[#This Row],[Hora Inicio]]))</f>
        <v>3</v>
      </c>
      <c r="AH815" s="120" t="s">
        <v>922</v>
      </c>
      <c r="AI815" s="115" t="s">
        <v>46</v>
      </c>
      <c r="AJ815" s="115" t="s">
        <v>295</v>
      </c>
      <c r="AK815" s="115" t="s">
        <v>295</v>
      </c>
      <c r="AL815" s="115" t="s">
        <v>275</v>
      </c>
      <c r="AM815" s="121" t="s">
        <v>276</v>
      </c>
      <c r="AN815" s="115"/>
      <c r="AO815" s="115"/>
      <c r="AP815" s="115"/>
    </row>
    <row r="816" spans="1:42" ht="50.1" customHeight="1" x14ac:dyDescent="0.25">
      <c r="A816" s="43">
        <f>MONTH(TAB_HISTORICO_MANUT[[#This Row],[Hora Final]])-MONTH(TAB_HISTORICO_MANUT[[#This Row],[Hora Inicio]])</f>
        <v>0</v>
      </c>
      <c r="B816" s="42"/>
      <c r="C816" s="43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Inicio]]=Z815,TAB_HISTORICO_MANUT[[#This Row],[Equipamento]]=AA815,TAB_HISTORICO_MANUT[[#This Row],[Descricao Despacho]]=AD815),0,1)))</f>
        <v/>
      </c>
      <c r="O81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16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1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16" s="50" t="str">
        <f>IF($Q816="","",(TAB_HISTORICO_MANUT[[#This Row],[Hora Final]]-TAB_HISTORICO_MANUT[[#This Row],[Hora Inicio]])*24)</f>
        <v/>
      </c>
      <c r="S81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16" s="54" t="str">
        <f>IF(AND(TAB_HISTORICO_MANUT[[#This Row],[EXPURGO Mãe]]="SIM",TAB_HISTORICO_MANUT[[#This Row],[Tipo]]="MÃE"),"EXP.MAE",IF(TAB_HISTORICO_MANUT[[#This Row],[EXPURGO Mãe]]="NÃO","NÃO EXP.MAE",T815))</f>
        <v>NÃO EXP.MAE</v>
      </c>
      <c r="U81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16" s="56">
        <f>IF(TAB_HISTORICO_MANUT[[#This Row],[EXPURGO Filhas]]="SIM",MAX(TAB_HISTORICO_MANUT[[#This Row],[Hora Final]]-TAB_HISTORICO_MANUT[[#This Row],[Hora Inicio]],0),0)</f>
        <v>4.1666666664241347E-2</v>
      </c>
      <c r="W81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1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16" s="46">
        <v>46090.375</v>
      </c>
      <c r="Z816" s="47">
        <v>46090.416666666664</v>
      </c>
      <c r="AA816" s="48" t="s">
        <v>228</v>
      </c>
      <c r="AB816" s="48">
        <v>202601729918</v>
      </c>
      <c r="AC816" s="43" t="s">
        <v>204</v>
      </c>
      <c r="AD816" s="46" t="s">
        <v>144</v>
      </c>
      <c r="AE816" s="46" t="s">
        <v>768</v>
      </c>
      <c r="AF816" s="88" t="s">
        <v>767</v>
      </c>
      <c r="AG816" s="105">
        <f>IF(TAB_HISTORICO_MANUT[[#This Row],[Hora Inicio]]="","",MONTH(TAB_HISTORICO_MANUT[[#This Row],[Hora Inicio]]))</f>
        <v>3</v>
      </c>
      <c r="AH816" s="58" t="s">
        <v>654</v>
      </c>
      <c r="AI816" s="115" t="s">
        <v>46</v>
      </c>
      <c r="AJ816" s="43" t="s">
        <v>295</v>
      </c>
      <c r="AK816" s="43" t="s">
        <v>295</v>
      </c>
      <c r="AL816" s="43" t="s">
        <v>275</v>
      </c>
      <c r="AM816" s="114" t="s">
        <v>276</v>
      </c>
      <c r="AN816" s="43"/>
      <c r="AO816" s="43"/>
      <c r="AP816" s="43"/>
    </row>
    <row r="817" spans="1:42" ht="50.1" customHeight="1" x14ac:dyDescent="0.25">
      <c r="A817" s="115">
        <f>MONTH(TAB_HISTORICO_MANUT[[#This Row],[Hora Final]])-MONTH(TAB_HISTORICO_MANUT[[#This Row],[Hora Inicio]])</f>
        <v>0</v>
      </c>
      <c r="B817" s="116"/>
      <c r="C817" s="115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Inicio]]=Z816,TAB_HISTORICO_MANUT[[#This Row],[Equipamento]]=AA816,TAB_HISTORICO_MANUT[[#This Row],[Descricao Despacho]]=AD816),0,1)))</f>
        <v/>
      </c>
      <c r="O81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17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1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17" s="107" t="str">
        <f>IF($Q817="","",(TAB_HISTORICO_MANUT[[#This Row],[Hora Final]]-TAB_HISTORICO_MANUT[[#This Row],[Hora Inicio]])*24)</f>
        <v/>
      </c>
      <c r="S81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17" s="109" t="str">
        <f>IF(AND(TAB_HISTORICO_MANUT[[#This Row],[EXPURGO Mãe]]="SIM",TAB_HISTORICO_MANUT[[#This Row],[Tipo]]="MÃE"),"EXP.MAE",IF(TAB_HISTORICO_MANUT[[#This Row],[EXPURGO Mãe]]="NÃO","NÃO EXP.MAE",T816))</f>
        <v>NÃO EXP.MAE</v>
      </c>
      <c r="U81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17" s="110">
        <f>IF(TAB_HISTORICO_MANUT[[#This Row],[EXPURGO Filhas]]="SIM",MAX(TAB_HISTORICO_MANUT[[#This Row],[Hora Final]]-TAB_HISTORICO_MANUT[[#This Row],[Hora Inicio]],0),0)</f>
        <v>3.7499999998544808E-2</v>
      </c>
      <c r="W81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1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17" s="117">
        <v>46096.863194444442</v>
      </c>
      <c r="Z817" s="118">
        <v>46096.900694444441</v>
      </c>
      <c r="AA817" s="119" t="s">
        <v>228</v>
      </c>
      <c r="AB817" s="119">
        <v>202601729918</v>
      </c>
      <c r="AC817" s="115" t="s">
        <v>204</v>
      </c>
      <c r="AD817" s="117" t="s">
        <v>144</v>
      </c>
      <c r="AE817" s="117" t="s">
        <v>768</v>
      </c>
      <c r="AF817" s="122" t="s">
        <v>767</v>
      </c>
      <c r="AG817" s="123">
        <f>IF(TAB_HISTORICO_MANUT[[#This Row],[Hora Inicio]]="","",MONTH(TAB_HISTORICO_MANUT[[#This Row],[Hora Inicio]]))</f>
        <v>3</v>
      </c>
      <c r="AH817" s="120" t="s">
        <v>654</v>
      </c>
      <c r="AI817" s="115" t="s">
        <v>46</v>
      </c>
      <c r="AJ817" s="115" t="s">
        <v>295</v>
      </c>
      <c r="AK817" s="115" t="s">
        <v>295</v>
      </c>
      <c r="AL817" s="115" t="s">
        <v>275</v>
      </c>
      <c r="AM817" s="115" t="s">
        <v>276</v>
      </c>
      <c r="AN817" s="115"/>
      <c r="AO817" s="115"/>
      <c r="AP817" s="115"/>
    </row>
    <row r="818" spans="1:42" ht="50.1" customHeight="1" x14ac:dyDescent="0.25">
      <c r="A818" s="115">
        <f>MONTH(TAB_HISTORICO_MANUT[[#This Row],[Hora Final]])-MONTH(TAB_HISTORICO_MANUT[[#This Row],[Hora Inicio]])</f>
        <v>0</v>
      </c>
      <c r="B818" s="116"/>
      <c r="C818" s="115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Inicio]]=Z817,TAB_HISTORICO_MANUT[[#This Row],[Equipamento]]=AA817,TAB_HISTORICO_MANUT[[#This Row],[Descricao Despacho]]=AD817),0,1)))</f>
        <v/>
      </c>
      <c r="O81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18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1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18" s="107" t="str">
        <f>IF($Q818="","",(TAB_HISTORICO_MANUT[[#This Row],[Hora Final]]-TAB_HISTORICO_MANUT[[#This Row],[Hora Inicio]])*24)</f>
        <v/>
      </c>
      <c r="S81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18" s="109" t="str">
        <f>IF(AND(TAB_HISTORICO_MANUT[[#This Row],[EXPURGO Mãe]]="SIM",TAB_HISTORICO_MANUT[[#This Row],[Tipo]]="MÃE"),"EXP.MAE",IF(TAB_HISTORICO_MANUT[[#This Row],[EXPURGO Mãe]]="NÃO","NÃO EXP.MAE",T817))</f>
        <v>NÃO EXP.MAE</v>
      </c>
      <c r="U81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18" s="110">
        <f>IF(TAB_HISTORICO_MANUT[[#This Row],[EXPURGO Filhas]]="SIM",MAX(TAB_HISTORICO_MANUT[[#This Row],[Hora Final]]-TAB_HISTORICO_MANUT[[#This Row],[Hora Inicio]],0),0)</f>
        <v>4.1666666664241347E-2</v>
      </c>
      <c r="W81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1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18" s="117">
        <v>46097.895833333336</v>
      </c>
      <c r="Z818" s="118">
        <v>46097.9375</v>
      </c>
      <c r="AA818" s="119" t="s">
        <v>228</v>
      </c>
      <c r="AB818" s="119">
        <v>202601729918</v>
      </c>
      <c r="AC818" s="115" t="s">
        <v>204</v>
      </c>
      <c r="AD818" s="117" t="s">
        <v>144</v>
      </c>
      <c r="AE818" s="117" t="s">
        <v>768</v>
      </c>
      <c r="AF818" s="122" t="s">
        <v>767</v>
      </c>
      <c r="AG818" s="123">
        <f>IF(TAB_HISTORICO_MANUT[[#This Row],[Hora Inicio]]="","",MONTH(TAB_HISTORICO_MANUT[[#This Row],[Hora Inicio]]))</f>
        <v>3</v>
      </c>
      <c r="AH818" s="120" t="s">
        <v>654</v>
      </c>
      <c r="AI818" s="115" t="s">
        <v>46</v>
      </c>
      <c r="AJ818" s="115" t="s">
        <v>295</v>
      </c>
      <c r="AK818" s="115" t="s">
        <v>295</v>
      </c>
      <c r="AL818" s="115" t="s">
        <v>275</v>
      </c>
      <c r="AM818" s="115" t="s">
        <v>276</v>
      </c>
      <c r="AN818" s="115"/>
      <c r="AO818" s="115"/>
      <c r="AP818" s="115"/>
    </row>
    <row r="819" spans="1:42" ht="50.1" customHeight="1" x14ac:dyDescent="0.25">
      <c r="A819" s="43">
        <f>MONTH(TAB_HISTORICO_MANUT[[#This Row],[Hora Final]])-MONTH(TAB_HISTORICO_MANUT[[#This Row],[Hora Inicio]])</f>
        <v>0</v>
      </c>
      <c r="B819" s="42"/>
      <c r="C819" s="43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Inicio]]=Z818,TAB_HISTORICO_MANUT[[#This Row],[Equipamento]]=AA818,TAB_HISTORICO_MANUT[[#This Row],[Descricao Despacho]]=AD818),0,1)))</f>
        <v/>
      </c>
      <c r="O81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19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1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19" s="50" t="str">
        <f>IF($Q819="","",(TAB_HISTORICO_MANUT[[#This Row],[Hora Final]]-TAB_HISTORICO_MANUT[[#This Row],[Hora Inicio]])*24)</f>
        <v/>
      </c>
      <c r="S81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19" s="54" t="str">
        <f>IF(AND(TAB_HISTORICO_MANUT[[#This Row],[EXPURGO Mãe]]="SIM",TAB_HISTORICO_MANUT[[#This Row],[Tipo]]="MÃE"),"EXP.MAE",IF(TAB_HISTORICO_MANUT[[#This Row],[EXPURGO Mãe]]="NÃO","NÃO EXP.MAE",T818))</f>
        <v>NÃO EXP.MAE</v>
      </c>
      <c r="U81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19" s="56">
        <f>IF(TAB_HISTORICO_MANUT[[#This Row],[EXPURGO Filhas]]="SIM",MAX(TAB_HISTORICO_MANUT[[#This Row],[Hora Final]]-TAB_HISTORICO_MANUT[[#This Row],[Hora Inicio]],0),0)</f>
        <v>0.10416666666424135</v>
      </c>
      <c r="W81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1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19" s="46">
        <v>46097.958333333336</v>
      </c>
      <c r="Z819" s="47">
        <v>46098.0625</v>
      </c>
      <c r="AA819" s="48" t="s">
        <v>228</v>
      </c>
      <c r="AB819" s="48">
        <v>202601729918</v>
      </c>
      <c r="AC819" s="43" t="s">
        <v>204</v>
      </c>
      <c r="AD819" s="46" t="s">
        <v>144</v>
      </c>
      <c r="AE819" s="46" t="s">
        <v>765</v>
      </c>
      <c r="AF819" s="88" t="s">
        <v>767</v>
      </c>
      <c r="AG819" s="105">
        <f>IF(TAB_HISTORICO_MANUT[[#This Row],[Hora Inicio]]="","",MONTH(TAB_HISTORICO_MANUT[[#This Row],[Hora Inicio]]))</f>
        <v>3</v>
      </c>
      <c r="AH819" s="58" t="s">
        <v>654</v>
      </c>
      <c r="AI819" s="115" t="s">
        <v>46</v>
      </c>
      <c r="AJ819" s="115" t="s">
        <v>295</v>
      </c>
      <c r="AK819" s="115" t="s">
        <v>295</v>
      </c>
      <c r="AL819" s="115" t="s">
        <v>275</v>
      </c>
      <c r="AM819" s="121" t="s">
        <v>276</v>
      </c>
      <c r="AN819" s="43"/>
      <c r="AO819" s="43"/>
      <c r="AP819" s="43"/>
    </row>
    <row r="820" spans="1:42" ht="50.1" customHeight="1" x14ac:dyDescent="0.25">
      <c r="A820" s="115">
        <f>MONTH(TAB_HISTORICO_MANUT[[#This Row],[Hora Final]])-MONTH(TAB_HISTORICO_MANUT[[#This Row],[Hora Inicio]])</f>
        <v>0</v>
      </c>
      <c r="B820" s="116"/>
      <c r="C820" s="115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 t="s">
        <v>99</v>
      </c>
      <c r="N82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Inicio]]=Z819,TAB_HISTORICO_MANUT[[#This Row],[Equipamento]]=AA819,TAB_HISTORICO_MANUT[[#This Row],[Descricao Despacho]]=AD819),0,1)))</f>
        <v>1</v>
      </c>
      <c r="O82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82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82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820" s="107">
        <f>IF($Q820="","",(TAB_HISTORICO_MANUT[[#This Row],[Hora Final]]-TAB_HISTORICO_MANUT[[#This Row],[Hora Inicio]])*24)</f>
        <v>5.2027777777402662</v>
      </c>
      <c r="S82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20" s="109" t="str">
        <f>IF(AND(TAB_HISTORICO_MANUT[[#This Row],[EXPURGO Mãe]]="SIM",TAB_HISTORICO_MANUT[[#This Row],[Tipo]]="MÃE"),"EXP.MAE",IF(TAB_HISTORICO_MANUT[[#This Row],[EXPURGO Mãe]]="NÃO","NÃO EXP.MAE",T819))</f>
        <v>NÃO EXP.MAE</v>
      </c>
      <c r="U82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20" s="110">
        <f>IF(TAB_HISTORICO_MANUT[[#This Row],[EXPURGO Filhas]]="SIM",MAX(TAB_HISTORICO_MANUT[[#This Row],[Hora Final]]-TAB_HISTORICO_MANUT[[#This Row],[Hora Inicio]],0),0)</f>
        <v>0</v>
      </c>
      <c r="W82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2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20" s="117">
        <v>46098.282129629632</v>
      </c>
      <c r="Z820" s="118">
        <v>46098.498912037037</v>
      </c>
      <c r="AA820" s="119" t="s">
        <v>228</v>
      </c>
      <c r="AB820" s="119">
        <v>202601729918</v>
      </c>
      <c r="AC820" s="115" t="s">
        <v>734</v>
      </c>
      <c r="AD820" s="117" t="s">
        <v>146</v>
      </c>
      <c r="AE820" s="117" t="s">
        <v>191</v>
      </c>
      <c r="AF820" s="122" t="s">
        <v>210</v>
      </c>
      <c r="AG820" s="123">
        <f>IF(TAB_HISTORICO_MANUT[[#This Row],[Hora Inicio]]="","",MONTH(TAB_HISTORICO_MANUT[[#This Row],[Hora Inicio]]))</f>
        <v>3</v>
      </c>
      <c r="AH820" s="120"/>
      <c r="AI820" s="115" t="s">
        <v>21</v>
      </c>
      <c r="AJ820" s="115" t="s">
        <v>21</v>
      </c>
      <c r="AK820" s="115" t="s">
        <v>21</v>
      </c>
      <c r="AL820" s="115" t="s">
        <v>21</v>
      </c>
      <c r="AM820" s="121" t="s">
        <v>21</v>
      </c>
      <c r="AN820" s="115"/>
      <c r="AO820" s="115"/>
      <c r="AP820" s="115"/>
    </row>
    <row r="821" spans="1:42" ht="50.1" customHeight="1" x14ac:dyDescent="0.25">
      <c r="A821" s="43">
        <f>MONTH(TAB_HISTORICO_MANUT[[#This Row],[Hora Final]])-MONTH(TAB_HISTORICO_MANUT[[#This Row],[Hora Inicio]])</f>
        <v>0</v>
      </c>
      <c r="B821" s="42"/>
      <c r="C821" s="43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Inicio]]=Z820,TAB_HISTORICO_MANUT[[#This Row],[Equipamento]]=AA820,TAB_HISTORICO_MANUT[[#This Row],[Descricao Despacho]]=AD820),0,1)))</f>
        <v>1</v>
      </c>
      <c r="O82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821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82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821" s="50">
        <f>IF($Q821="","",(TAB_HISTORICO_MANUT[[#This Row],[Hora Final]]-TAB_HISTORICO_MANUT[[#This Row],[Hora Inicio]])*24)</f>
        <v>1.0247222221805714</v>
      </c>
      <c r="S82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821" s="54" t="str">
        <f>IF(AND(TAB_HISTORICO_MANUT[[#This Row],[EXPURGO Mãe]]="SIM",TAB_HISTORICO_MANUT[[#This Row],[Tipo]]="MÃE"),"EXP.MAE",IF(TAB_HISTORICO_MANUT[[#This Row],[EXPURGO Mãe]]="NÃO","NÃO EXP.MAE",T820))</f>
        <v>EXP.MAE</v>
      </c>
      <c r="U82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21" s="56">
        <f>IF(TAB_HISTORICO_MANUT[[#This Row],[EXPURGO Filhas]]="SIM",MAX(TAB_HISTORICO_MANUT[[#This Row],[Hora Final]]-TAB_HISTORICO_MANUT[[#This Row],[Hora Inicio]],0),0)</f>
        <v>0</v>
      </c>
      <c r="W82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2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21" s="46">
        <v>46098.580069444448</v>
      </c>
      <c r="Z821" s="47">
        <v>46098.622766203705</v>
      </c>
      <c r="AA821" s="48" t="s">
        <v>228</v>
      </c>
      <c r="AB821" s="48">
        <v>202601729918</v>
      </c>
      <c r="AC821" s="43" t="s">
        <v>735</v>
      </c>
      <c r="AD821" s="46" t="s">
        <v>146</v>
      </c>
      <c r="AE821" s="46" t="s">
        <v>732</v>
      </c>
      <c r="AF821" s="88" t="s">
        <v>210</v>
      </c>
      <c r="AG821" s="105">
        <f>IF(TAB_HISTORICO_MANUT[[#This Row],[Hora Inicio]]="","",MONTH(TAB_HISTORICO_MANUT[[#This Row],[Hora Inicio]]))</f>
        <v>3</v>
      </c>
      <c r="AH821" s="120" t="s">
        <v>743</v>
      </c>
      <c r="AI821" s="115" t="s">
        <v>82</v>
      </c>
      <c r="AJ821" s="115" t="s">
        <v>82</v>
      </c>
      <c r="AK821" s="115" t="s">
        <v>82</v>
      </c>
      <c r="AL821" s="115" t="s">
        <v>82</v>
      </c>
      <c r="AM821" s="121" t="s">
        <v>82</v>
      </c>
      <c r="AN821" s="43"/>
      <c r="AO821" s="43"/>
      <c r="AP821" s="43"/>
    </row>
    <row r="822" spans="1:42" ht="50.1" customHeight="1" x14ac:dyDescent="0.25">
      <c r="A822" s="43">
        <f>MONTH(TAB_HISTORICO_MANUT[[#This Row],[Hora Final]])-MONTH(TAB_HISTORICO_MANUT[[#This Row],[Hora Inicio]])</f>
        <v>0</v>
      </c>
      <c r="B822" s="42"/>
      <c r="C822" s="43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Inicio]]=Z821,TAB_HISTORICO_MANUT[[#This Row],[Equipamento]]=AA821,TAB_HISTORICO_MANUT[[#This Row],[Descricao Despacho]]=AD821),0,1)))</f>
        <v>1</v>
      </c>
      <c r="O82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AR CONDICIONADO</v>
      </c>
      <c r="P822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2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822" s="50">
        <f>IF($Q822="","",(TAB_HISTORICO_MANUT[[#This Row],[Hora Final]]-TAB_HISTORICO_MANUT[[#This Row],[Hora Inicio]])*24)</f>
        <v>1.9266666666953824</v>
      </c>
      <c r="S82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22" s="54" t="str">
        <f>IF(AND(TAB_HISTORICO_MANUT[[#This Row],[EXPURGO Mãe]]="SIM",TAB_HISTORICO_MANUT[[#This Row],[Tipo]]="MÃE"),"EXP.MAE",IF(TAB_HISTORICO_MANUT[[#This Row],[EXPURGO Mãe]]="NÃO","NÃO EXP.MAE",T821))</f>
        <v>NÃO EXP.MAE</v>
      </c>
      <c r="U82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22" s="56">
        <f>IF(TAB_HISTORICO_MANUT[[#This Row],[EXPURGO Filhas]]="SIM",MAX(TAB_HISTORICO_MANUT[[#This Row],[Hora Final]]-TAB_HISTORICO_MANUT[[#This Row],[Hora Inicio]],0),0)</f>
        <v>0</v>
      </c>
      <c r="W82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2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22" s="46">
        <v>46098.798043981478</v>
      </c>
      <c r="Z822" s="47">
        <v>46098.878321759257</v>
      </c>
      <c r="AA822" s="48" t="s">
        <v>228</v>
      </c>
      <c r="AB822" s="48">
        <v>202601729918</v>
      </c>
      <c r="AC822" s="43" t="s">
        <v>204</v>
      </c>
      <c r="AD822" s="46" t="s">
        <v>144</v>
      </c>
      <c r="AE822" s="46" t="s">
        <v>172</v>
      </c>
      <c r="AF822" s="88" t="s">
        <v>210</v>
      </c>
      <c r="AG822" s="105">
        <f>IF(TAB_HISTORICO_MANUT[[#This Row],[Hora Inicio]]="","",MONTH(TAB_HISTORICO_MANUT[[#This Row],[Hora Inicio]]))</f>
        <v>3</v>
      </c>
      <c r="AH822" s="120" t="s">
        <v>745</v>
      </c>
      <c r="AI822" s="115" t="s">
        <v>37</v>
      </c>
      <c r="AJ822" s="115" t="s">
        <v>273</v>
      </c>
      <c r="AK822" s="115" t="s">
        <v>543</v>
      </c>
      <c r="AL822" s="115" t="s">
        <v>479</v>
      </c>
      <c r="AM822" s="121" t="s">
        <v>541</v>
      </c>
      <c r="AN822" s="43" t="s">
        <v>215</v>
      </c>
      <c r="AO822" s="43" t="s">
        <v>216</v>
      </c>
      <c r="AP822" s="43" t="s">
        <v>669</v>
      </c>
    </row>
    <row r="823" spans="1:42" ht="50.1" customHeight="1" x14ac:dyDescent="0.25">
      <c r="A823" s="115">
        <f>MONTH(TAB_HISTORICO_MANUT[[#This Row],[Hora Final]])-MONTH(TAB_HISTORICO_MANUT[[#This Row],[Hora Inicio]])</f>
        <v>0</v>
      </c>
      <c r="B823" s="116"/>
      <c r="C823" s="115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Inicio]]=Z822,TAB_HISTORICO_MANUT[[#This Row],[Equipamento]]=AA822,TAB_HISTORICO_MANUT[[#This Row],[Descricao Despacho]]=AD822),0,1)))</f>
        <v>1</v>
      </c>
      <c r="O82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82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82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823" s="107">
        <f>IF($Q823="","",(TAB_HISTORICO_MANUT[[#This Row],[Hora Final]]-TAB_HISTORICO_MANUT[[#This Row],[Hora Inicio]])*24)</f>
        <v>0.53611111122881994</v>
      </c>
      <c r="S82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23" s="109" t="str">
        <f>IF(AND(TAB_HISTORICO_MANUT[[#This Row],[EXPURGO Mãe]]="SIM",TAB_HISTORICO_MANUT[[#This Row],[Tipo]]="MÃE"),"EXP.MAE",IF(TAB_HISTORICO_MANUT[[#This Row],[EXPURGO Mãe]]="NÃO","NÃO EXP.MAE",T822))</f>
        <v>NÃO EXP.MAE</v>
      </c>
      <c r="U82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23" s="110">
        <f>IF(TAB_HISTORICO_MANUT[[#This Row],[EXPURGO Filhas]]="SIM",MAX(TAB_HISTORICO_MANUT[[#This Row],[Hora Final]]-TAB_HISTORICO_MANUT[[#This Row],[Hora Inicio]],0),0)</f>
        <v>0</v>
      </c>
      <c r="W82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2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23" s="117">
        <v>46098.982685185183</v>
      </c>
      <c r="Z823" s="118">
        <v>46099.005023148151</v>
      </c>
      <c r="AA823" s="119" t="s">
        <v>228</v>
      </c>
      <c r="AB823" s="119">
        <v>202601729918</v>
      </c>
      <c r="AC823" s="115" t="s">
        <v>481</v>
      </c>
      <c r="AD823" s="117" t="s">
        <v>146</v>
      </c>
      <c r="AE823" s="117" t="s">
        <v>480</v>
      </c>
      <c r="AF823" s="122" t="s">
        <v>210</v>
      </c>
      <c r="AG823" s="123">
        <f>IF(TAB_HISTORICO_MANUT[[#This Row],[Hora Inicio]]="","",MONTH(TAB_HISTORICO_MANUT[[#This Row],[Hora Inicio]]))</f>
        <v>3</v>
      </c>
      <c r="AH823" s="120"/>
      <c r="AI823" s="115" t="s">
        <v>21</v>
      </c>
      <c r="AJ823" s="115" t="s">
        <v>21</v>
      </c>
      <c r="AK823" s="115" t="s">
        <v>21</v>
      </c>
      <c r="AL823" s="115" t="s">
        <v>21</v>
      </c>
      <c r="AM823" s="121" t="s">
        <v>21</v>
      </c>
      <c r="AN823" s="115"/>
      <c r="AO823" s="115"/>
      <c r="AP823" s="115"/>
    </row>
    <row r="824" spans="1:42" ht="50.1" customHeight="1" x14ac:dyDescent="0.25">
      <c r="A824" s="115">
        <f>MONTH(TAB_HISTORICO_MANUT[[#This Row],[Hora Final]])-MONTH(TAB_HISTORICO_MANUT[[#This Row],[Hora Inicio]])</f>
        <v>0</v>
      </c>
      <c r="B824" s="116"/>
      <c r="C824" s="115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Inicio]]=Z823,TAB_HISTORICO_MANUT[[#This Row],[Equipamento]]=AA823,TAB_HISTORICO_MANUT[[#This Row],[Descricao Despacho]]=AD823),0,1)))</f>
        <v>1</v>
      </c>
      <c r="O82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AR CONDICIONADO</v>
      </c>
      <c r="P82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2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824" s="107">
        <f>IF($Q824="","",(TAB_HISTORICO_MANUT[[#This Row],[Hora Final]]-TAB_HISTORICO_MANUT[[#This Row],[Hora Inicio]])*24)</f>
        <v>0.8663888888549991</v>
      </c>
      <c r="S82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24" s="109" t="str">
        <f>IF(AND(TAB_HISTORICO_MANUT[[#This Row],[EXPURGO Mãe]]="SIM",TAB_HISTORICO_MANUT[[#This Row],[Tipo]]="MÃE"),"EXP.MAE",IF(TAB_HISTORICO_MANUT[[#This Row],[EXPURGO Mãe]]="NÃO","NÃO EXP.MAE",T823))</f>
        <v>NÃO EXP.MAE</v>
      </c>
      <c r="U82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24" s="110">
        <f>IF(TAB_HISTORICO_MANUT[[#This Row],[EXPURGO Filhas]]="SIM",MAX(TAB_HISTORICO_MANUT[[#This Row],[Hora Final]]-TAB_HISTORICO_MANUT[[#This Row],[Hora Inicio]],0),0)</f>
        <v>0</v>
      </c>
      <c r="W82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2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24" s="117">
        <v>46100.366400462961</v>
      </c>
      <c r="Z824" s="118">
        <v>46100.402499999997</v>
      </c>
      <c r="AA824" s="119" t="s">
        <v>228</v>
      </c>
      <c r="AB824" s="119">
        <v>202601729918</v>
      </c>
      <c r="AC824" s="115" t="s">
        <v>204</v>
      </c>
      <c r="AD824" s="117" t="s">
        <v>144</v>
      </c>
      <c r="AE824" s="117" t="s">
        <v>172</v>
      </c>
      <c r="AF824" s="122" t="s">
        <v>210</v>
      </c>
      <c r="AG824" s="123">
        <f>IF(TAB_HISTORICO_MANUT[[#This Row],[Hora Inicio]]="","",MONTH(TAB_HISTORICO_MANUT[[#This Row],[Hora Inicio]]))</f>
        <v>3</v>
      </c>
      <c r="AH824" s="120" t="s">
        <v>748</v>
      </c>
      <c r="AI824" s="115" t="s">
        <v>37</v>
      </c>
      <c r="AJ824" s="115" t="s">
        <v>273</v>
      </c>
      <c r="AK824" s="115" t="s">
        <v>543</v>
      </c>
      <c r="AL824" s="115" t="s">
        <v>479</v>
      </c>
      <c r="AM824" s="121" t="s">
        <v>280</v>
      </c>
      <c r="AN824" s="115" t="s">
        <v>217</v>
      </c>
      <c r="AO824" s="115" t="s">
        <v>216</v>
      </c>
      <c r="AP824" s="115" t="s">
        <v>757</v>
      </c>
    </row>
    <row r="825" spans="1:42" ht="50.1" customHeight="1" x14ac:dyDescent="0.25">
      <c r="A825" s="115">
        <f>MONTH(TAB_HISTORICO_MANUT[[#This Row],[Hora Final]])-MONTH(TAB_HISTORICO_MANUT[[#This Row],[Hora Inicio]])</f>
        <v>0</v>
      </c>
      <c r="B825" s="116"/>
      <c r="C825" s="115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Inicio]]=Z824,TAB_HISTORICO_MANUT[[#This Row],[Equipamento]]=AA824,TAB_HISTORICO_MANUT[[#This Row],[Descricao Despacho]]=AD824),0,1)))</f>
        <v>1</v>
      </c>
      <c r="O82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ELEVAÇÃO</v>
      </c>
      <c r="P82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2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825" s="107">
        <f>IF($Q825="","",(TAB_HISTORICO_MANUT[[#This Row],[Hora Final]]-TAB_HISTORICO_MANUT[[#This Row],[Hora Inicio]])*24)</f>
        <v>63.402777777635492</v>
      </c>
      <c r="S82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25" s="109" t="str">
        <f>IF(AND(TAB_HISTORICO_MANUT[[#This Row],[EXPURGO Mãe]]="SIM",TAB_HISTORICO_MANUT[[#This Row],[Tipo]]="MÃE"),"EXP.MAE",IF(TAB_HISTORICO_MANUT[[#This Row],[EXPURGO Mãe]]="NÃO","NÃO EXP.MAE",T824))</f>
        <v>NÃO EXP.MAE</v>
      </c>
      <c r="U82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25" s="110">
        <f>IF(TAB_HISTORICO_MANUT[[#This Row],[EXPURGO Filhas]]="SIM",MAX(TAB_HISTORICO_MANUT[[#This Row],[Hora Final]]-TAB_HISTORICO_MANUT[[#This Row],[Hora Inicio]],0),0)</f>
        <v>0</v>
      </c>
      <c r="W82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2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25" s="117">
        <v>46100.528240740743</v>
      </c>
      <c r="Z825" s="118">
        <v>46103.170023148145</v>
      </c>
      <c r="AA825" s="119" t="s">
        <v>228</v>
      </c>
      <c r="AB825" s="119">
        <v>202601729918</v>
      </c>
      <c r="AC825" s="115" t="s">
        <v>204</v>
      </c>
      <c r="AD825" s="117" t="s">
        <v>144</v>
      </c>
      <c r="AE825" s="117" t="s">
        <v>172</v>
      </c>
      <c r="AF825" s="122" t="s">
        <v>210</v>
      </c>
      <c r="AG825" s="123">
        <f>IF(TAB_HISTORICO_MANUT[[#This Row],[Hora Inicio]]="","",MONTH(TAB_HISTORICO_MANUT[[#This Row],[Hora Inicio]]))</f>
        <v>3</v>
      </c>
      <c r="AH825" s="120" t="s">
        <v>750</v>
      </c>
      <c r="AI825" s="115" t="s">
        <v>44</v>
      </c>
      <c r="AJ825" s="115" t="s">
        <v>149</v>
      </c>
      <c r="AK825" s="115" t="s">
        <v>528</v>
      </c>
      <c r="AL825" s="115" t="s">
        <v>275</v>
      </c>
      <c r="AM825" s="121" t="s">
        <v>276</v>
      </c>
      <c r="AN825" s="115" t="s">
        <v>217</v>
      </c>
      <c r="AO825" s="115" t="s">
        <v>758</v>
      </c>
      <c r="AP825" s="115" t="s">
        <v>494</v>
      </c>
    </row>
    <row r="826" spans="1:42" ht="50.1" customHeight="1" x14ac:dyDescent="0.25">
      <c r="A826" s="43">
        <f>MONTH(TAB_HISTORICO_MANUT[[#This Row],[Hora Final]])-MONTH(TAB_HISTORICO_MANUT[[#This Row],[Hora Inicio]])</f>
        <v>0</v>
      </c>
      <c r="B826" s="42"/>
      <c r="C826" s="43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Inicio]]=Z825,TAB_HISTORICO_MANUT[[#This Row],[Equipamento]]=AA825,TAB_HISTORICO_MANUT[[#This Row],[Descricao Despacho]]=AD825),0,1)))</f>
        <v/>
      </c>
      <c r="O82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26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2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26" s="50" t="str">
        <f>IF($Q826="","",(TAB_HISTORICO_MANUT[[#This Row],[Hora Final]]-TAB_HISTORICO_MANUT[[#This Row],[Hora Inicio]])*24)</f>
        <v/>
      </c>
      <c r="S82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26" s="54" t="str">
        <f>IF(AND(TAB_HISTORICO_MANUT[[#This Row],[EXPURGO Mãe]]="SIM",TAB_HISTORICO_MANUT[[#This Row],[Tipo]]="MÃE"),"EXP.MAE",IF(TAB_HISTORICO_MANUT[[#This Row],[EXPURGO Mãe]]="NÃO","NÃO EXP.MAE",T825))</f>
        <v>NÃO EXP.MAE</v>
      </c>
      <c r="U82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26" s="56">
        <f>IF(TAB_HISTORICO_MANUT[[#This Row],[EXPURGO Filhas]]="SIM",MAX(TAB_HISTORICO_MANUT[[#This Row],[Hora Final]]-TAB_HISTORICO_MANUT[[#This Row],[Hora Inicio]],0),0)</f>
        <v>2.2916666668606922E-2</v>
      </c>
      <c r="W82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2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26" s="46">
        <v>46100.622916666667</v>
      </c>
      <c r="Z826" s="47">
        <v>46100.645833333336</v>
      </c>
      <c r="AA826" s="48" t="s">
        <v>228</v>
      </c>
      <c r="AB826" s="48">
        <v>202601729918</v>
      </c>
      <c r="AC826" s="43" t="s">
        <v>204</v>
      </c>
      <c r="AD826" s="46" t="s">
        <v>144</v>
      </c>
      <c r="AE826" s="46" t="s">
        <v>772</v>
      </c>
      <c r="AF826" s="88" t="s">
        <v>767</v>
      </c>
      <c r="AG826" s="105">
        <f>IF(TAB_HISTORICO_MANUT[[#This Row],[Hora Inicio]]="","",MONTH(TAB_HISTORICO_MANUT[[#This Row],[Hora Inicio]]))</f>
        <v>3</v>
      </c>
      <c r="AH826" s="58" t="s">
        <v>750</v>
      </c>
      <c r="AI826" s="115" t="s">
        <v>44</v>
      </c>
      <c r="AJ826" s="115" t="s">
        <v>149</v>
      </c>
      <c r="AK826" s="115" t="s">
        <v>528</v>
      </c>
      <c r="AL826" s="115" t="s">
        <v>275</v>
      </c>
      <c r="AM826" s="121" t="s">
        <v>276</v>
      </c>
      <c r="AN826" s="43" t="s">
        <v>217</v>
      </c>
      <c r="AO826" s="43" t="s">
        <v>758</v>
      </c>
      <c r="AP826" s="43" t="s">
        <v>494</v>
      </c>
    </row>
    <row r="827" spans="1:42" ht="50.1" customHeight="1" x14ac:dyDescent="0.25">
      <c r="A827" s="115">
        <f>MONTH(TAB_HISTORICO_MANUT[[#This Row],[Hora Final]])-MONTH(TAB_HISTORICO_MANUT[[#This Row],[Hora Inicio]])</f>
        <v>0</v>
      </c>
      <c r="B827" s="116"/>
      <c r="C827" s="115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Inicio]]=Z826,TAB_HISTORICO_MANUT[[#This Row],[Equipamento]]=AA826,TAB_HISTORICO_MANUT[[#This Row],[Descricao Despacho]]=AD826),0,1)))</f>
        <v/>
      </c>
      <c r="O82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27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2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27" s="107" t="str">
        <f>IF($Q827="","",(TAB_HISTORICO_MANUT[[#This Row],[Hora Final]]-TAB_HISTORICO_MANUT[[#This Row],[Hora Inicio]])*24)</f>
        <v/>
      </c>
      <c r="S82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27" s="109" t="str">
        <f>IF(AND(TAB_HISTORICO_MANUT[[#This Row],[EXPURGO Mãe]]="SIM",TAB_HISTORICO_MANUT[[#This Row],[Tipo]]="MÃE"),"EXP.MAE",IF(TAB_HISTORICO_MANUT[[#This Row],[EXPURGO Mãe]]="NÃO","NÃO EXP.MAE",T826))</f>
        <v>NÃO EXP.MAE</v>
      </c>
      <c r="U82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27" s="110">
        <f>IF(TAB_HISTORICO_MANUT[[#This Row],[EXPURGO Filhas]]="SIM",MAX(TAB_HISTORICO_MANUT[[#This Row],[Hora Final]]-TAB_HISTORICO_MANUT[[#This Row],[Hora Inicio]],0),0)</f>
        <v>2.4305555554747116E-2</v>
      </c>
      <c r="W82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2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27" s="117">
        <v>46101.677083333336</v>
      </c>
      <c r="Z827" s="118">
        <v>46101.701388888891</v>
      </c>
      <c r="AA827" s="119" t="s">
        <v>228</v>
      </c>
      <c r="AB827" s="119">
        <v>202601729918</v>
      </c>
      <c r="AC827" s="115" t="s">
        <v>204</v>
      </c>
      <c r="AD827" s="117" t="s">
        <v>144</v>
      </c>
      <c r="AE827" s="117" t="s">
        <v>231</v>
      </c>
      <c r="AF827" s="122" t="s">
        <v>767</v>
      </c>
      <c r="AG827" s="123">
        <f>IF(TAB_HISTORICO_MANUT[[#This Row],[Hora Inicio]]="","",MONTH(TAB_HISTORICO_MANUT[[#This Row],[Hora Inicio]]))</f>
        <v>3</v>
      </c>
      <c r="AH827" s="120" t="s">
        <v>750</v>
      </c>
      <c r="AI827" s="115" t="s">
        <v>44</v>
      </c>
      <c r="AJ827" s="115" t="s">
        <v>149</v>
      </c>
      <c r="AK827" s="115" t="s">
        <v>528</v>
      </c>
      <c r="AL827" s="115" t="s">
        <v>275</v>
      </c>
      <c r="AM827" s="121" t="s">
        <v>276</v>
      </c>
      <c r="AN827" s="115" t="s">
        <v>217</v>
      </c>
      <c r="AO827" s="115" t="s">
        <v>758</v>
      </c>
      <c r="AP827" s="115" t="s">
        <v>494</v>
      </c>
    </row>
    <row r="828" spans="1:42" ht="50.1" customHeight="1" x14ac:dyDescent="0.25">
      <c r="A828" s="115">
        <f>MONTH(TAB_HISTORICO_MANUT[[#This Row],[Hora Final]])-MONTH(TAB_HISTORICO_MANUT[[#This Row],[Hora Inicio]])</f>
        <v>0</v>
      </c>
      <c r="B828" s="116"/>
      <c r="C828" s="115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Inicio]]=Z827,TAB_HISTORICO_MANUT[[#This Row],[Equipamento]]=AA827,TAB_HISTORICO_MANUT[[#This Row],[Descricao Despacho]]=AD827),0,1)))</f>
        <v/>
      </c>
      <c r="O82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28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2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28" s="107" t="str">
        <f>IF($Q828="","",(TAB_HISTORICO_MANUT[[#This Row],[Hora Final]]-TAB_HISTORICO_MANUT[[#This Row],[Hora Inicio]])*24)</f>
        <v/>
      </c>
      <c r="S82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28" s="109" t="str">
        <f>IF(AND(TAB_HISTORICO_MANUT[[#This Row],[EXPURGO Mãe]]="SIM",TAB_HISTORICO_MANUT[[#This Row],[Tipo]]="MÃE"),"EXP.MAE",IF(TAB_HISTORICO_MANUT[[#This Row],[EXPURGO Mãe]]="NÃO","NÃO EXP.MAE",T827))</f>
        <v>NÃO EXP.MAE</v>
      </c>
      <c r="U82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28" s="110">
        <f>IF(TAB_HISTORICO_MANUT[[#This Row],[EXPURGO Filhas]]="SIM",MAX(TAB_HISTORICO_MANUT[[#This Row],[Hora Final]]-TAB_HISTORICO_MANUT[[#This Row],[Hora Inicio]],0),0)</f>
        <v>6.25E-2</v>
      </c>
      <c r="W82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2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28" s="117">
        <v>46102.375</v>
      </c>
      <c r="Z828" s="118">
        <v>46102.4375</v>
      </c>
      <c r="AA828" s="119" t="s">
        <v>228</v>
      </c>
      <c r="AB828" s="119">
        <v>202601729918</v>
      </c>
      <c r="AC828" s="115" t="s">
        <v>204</v>
      </c>
      <c r="AD828" s="117" t="s">
        <v>144</v>
      </c>
      <c r="AE828" s="117" t="s">
        <v>765</v>
      </c>
      <c r="AF828" s="122" t="s">
        <v>767</v>
      </c>
      <c r="AG828" s="123">
        <f>IF(TAB_HISTORICO_MANUT[[#This Row],[Hora Inicio]]="","",MONTH(TAB_HISTORICO_MANUT[[#This Row],[Hora Inicio]]))</f>
        <v>3</v>
      </c>
      <c r="AH828" s="120" t="s">
        <v>750</v>
      </c>
      <c r="AI828" s="115" t="s">
        <v>44</v>
      </c>
      <c r="AJ828" s="115" t="s">
        <v>149</v>
      </c>
      <c r="AK828" s="115" t="s">
        <v>528</v>
      </c>
      <c r="AL828" s="115" t="s">
        <v>275</v>
      </c>
      <c r="AM828" s="121" t="s">
        <v>276</v>
      </c>
      <c r="AN828" s="115" t="s">
        <v>217</v>
      </c>
      <c r="AO828" s="115" t="s">
        <v>758</v>
      </c>
      <c r="AP828" s="115" t="s">
        <v>494</v>
      </c>
    </row>
    <row r="829" spans="1:42" ht="50.1" customHeight="1" x14ac:dyDescent="0.25">
      <c r="A829" s="115">
        <f>MONTH(TAB_HISTORICO_MANUT[[#This Row],[Hora Final]])-MONTH(TAB_HISTORICO_MANUT[[#This Row],[Hora Inicio]])</f>
        <v>0</v>
      </c>
      <c r="B829" s="116"/>
      <c r="C829" s="115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Inicio]]=Z828,TAB_HISTORICO_MANUT[[#This Row],[Equipamento]]=AA828,TAB_HISTORICO_MANUT[[#This Row],[Descricao Despacho]]=AD828),0,1)))</f>
        <v>1</v>
      </c>
      <c r="O82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82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2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829" s="107">
        <f>IF($Q829="","",(TAB_HISTORICO_MANUT[[#This Row],[Hora Final]]-TAB_HISTORICO_MANUT[[#This Row],[Hora Inicio]])*24)</f>
        <v>2.3644444444798864</v>
      </c>
      <c r="S82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29" s="109" t="str">
        <f>IF(AND(TAB_HISTORICO_MANUT[[#This Row],[EXPURGO Mãe]]="SIM",TAB_HISTORICO_MANUT[[#This Row],[Tipo]]="MÃE"),"EXP.MAE",IF(TAB_HISTORICO_MANUT[[#This Row],[EXPURGO Mãe]]="NÃO","NÃO EXP.MAE",T828))</f>
        <v>NÃO EXP.MAE</v>
      </c>
      <c r="U82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29" s="110">
        <f>IF(TAB_HISTORICO_MANUT[[#This Row],[EXPURGO Filhas]]="SIM",MAX(TAB_HISTORICO_MANUT[[#This Row],[Hora Final]]-TAB_HISTORICO_MANUT[[#This Row],[Hora Inicio]],0),0)</f>
        <v>0</v>
      </c>
      <c r="W82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2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29" s="117">
        <v>46103.227870370371</v>
      </c>
      <c r="Z829" s="118">
        <v>46103.326388888891</v>
      </c>
      <c r="AA829" s="119" t="s">
        <v>228</v>
      </c>
      <c r="AB829" s="119">
        <v>202601729918</v>
      </c>
      <c r="AC829" s="115" t="s">
        <v>211</v>
      </c>
      <c r="AD829" s="117" t="s">
        <v>144</v>
      </c>
      <c r="AE829" s="117" t="s">
        <v>213</v>
      </c>
      <c r="AF829" s="122" t="s">
        <v>210</v>
      </c>
      <c r="AG829" s="123">
        <f>IF(TAB_HISTORICO_MANUT[[#This Row],[Hora Inicio]]="","",MONTH(TAB_HISTORICO_MANUT[[#This Row],[Hora Inicio]]))</f>
        <v>3</v>
      </c>
      <c r="AH829" s="120" t="s">
        <v>754</v>
      </c>
      <c r="AI829" s="115" t="s">
        <v>21</v>
      </c>
      <c r="AJ829" s="115" t="s">
        <v>764</v>
      </c>
      <c r="AK829" s="115" t="s">
        <v>291</v>
      </c>
      <c r="AL829" s="115" t="s">
        <v>292</v>
      </c>
      <c r="AM829" s="121" t="s">
        <v>294</v>
      </c>
      <c r="AN829" s="115" t="s">
        <v>229</v>
      </c>
      <c r="AO829" s="115" t="s">
        <v>761</v>
      </c>
      <c r="AP829" s="115" t="s">
        <v>242</v>
      </c>
    </row>
    <row r="830" spans="1:42" ht="50.1" customHeight="1" x14ac:dyDescent="0.25">
      <c r="A830" s="115">
        <f>MONTH(TAB_HISTORICO_MANUT[[#This Row],[Hora Final]])-MONTH(TAB_HISTORICO_MANUT[[#This Row],[Hora Inicio]])</f>
        <v>0</v>
      </c>
      <c r="B830" s="116"/>
      <c r="C830" s="115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Inicio]]=Z829,TAB_HISTORICO_MANUT[[#This Row],[Equipamento]]=AA829,TAB_HISTORICO_MANUT[[#This Row],[Descricao Despacho]]=AD829),0,1)))</f>
        <v>1</v>
      </c>
      <c r="O83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83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3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830" s="107">
        <f>IF($Q830="","",(TAB_HISTORICO_MANUT[[#This Row],[Hora Final]]-TAB_HISTORICO_MANUT[[#This Row],[Hora Inicio]])*24)</f>
        <v>4.9447222221060656</v>
      </c>
      <c r="S83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30" s="109" t="str">
        <f>IF(AND(TAB_HISTORICO_MANUT[[#This Row],[EXPURGO Mãe]]="SIM",TAB_HISTORICO_MANUT[[#This Row],[Tipo]]="MÃE"),"EXP.MAE",IF(TAB_HISTORICO_MANUT[[#This Row],[EXPURGO Mãe]]="NÃO","NÃO EXP.MAE",T829))</f>
        <v>NÃO EXP.MAE</v>
      </c>
      <c r="U83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30" s="110">
        <f>IF(TAB_HISTORICO_MANUT[[#This Row],[EXPURGO Filhas]]="SIM",MAX(TAB_HISTORICO_MANUT[[#This Row],[Hora Final]]-TAB_HISTORICO_MANUT[[#This Row],[Hora Inicio]],0),0)</f>
        <v>0</v>
      </c>
      <c r="W83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3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30" s="117">
        <v>46103.701388888891</v>
      </c>
      <c r="Z830" s="118">
        <v>46103.907418981478</v>
      </c>
      <c r="AA830" s="119" t="s">
        <v>228</v>
      </c>
      <c r="AB830" s="119">
        <v>202601729918</v>
      </c>
      <c r="AC830" s="115">
        <v>9000</v>
      </c>
      <c r="AD830" s="117" t="s">
        <v>144</v>
      </c>
      <c r="AE830" s="117" t="s">
        <v>172</v>
      </c>
      <c r="AF830" s="122" t="s">
        <v>210</v>
      </c>
      <c r="AG830" s="123">
        <f>IF(TAB_HISTORICO_MANUT[[#This Row],[Hora Inicio]]="","",MONTH(TAB_HISTORICO_MANUT[[#This Row],[Hora Inicio]]))</f>
        <v>3</v>
      </c>
      <c r="AH830" s="120" t="s">
        <v>850</v>
      </c>
      <c r="AI830" s="115" t="s">
        <v>22</v>
      </c>
      <c r="AJ830" s="115" t="s">
        <v>614</v>
      </c>
      <c r="AK830" s="115" t="s">
        <v>543</v>
      </c>
      <c r="AL830" s="115" t="s">
        <v>275</v>
      </c>
      <c r="AM830" s="121" t="s">
        <v>276</v>
      </c>
      <c r="AN830" s="115"/>
      <c r="AO830" s="115"/>
      <c r="AP830" s="115"/>
    </row>
    <row r="831" spans="1:42" ht="50.1" customHeight="1" x14ac:dyDescent="0.25">
      <c r="A831" s="115">
        <f>MONTH(TAB_HISTORICO_MANUT[[#This Row],[Hora Final]])-MONTH(TAB_HISTORICO_MANUT[[#This Row],[Hora Inicio]])</f>
        <v>0</v>
      </c>
      <c r="B831" s="116"/>
      <c r="C831" s="115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Inicio]]=Z830,TAB_HISTORICO_MANUT[[#This Row],[Equipamento]]=AA830,TAB_HISTORICO_MANUT[[#This Row],[Descricao Despacho]]=AD830),0,1)))</f>
        <v>1</v>
      </c>
      <c r="O83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83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3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831" s="107">
        <f>IF($Q831="","",(TAB_HISTORICO_MANUT[[#This Row],[Hora Final]]-TAB_HISTORICO_MANUT[[#This Row],[Hora Inicio]])*24)</f>
        <v>4.18611111107748</v>
      </c>
      <c r="S83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31" s="109" t="str">
        <f>IF(AND(TAB_HISTORICO_MANUT[[#This Row],[EXPURGO Mãe]]="SIM",TAB_HISTORICO_MANUT[[#This Row],[Tipo]]="MÃE"),"EXP.MAE",IF(TAB_HISTORICO_MANUT[[#This Row],[EXPURGO Mãe]]="NÃO","NÃO EXP.MAE",T830))</f>
        <v>NÃO EXP.MAE</v>
      </c>
      <c r="U83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31" s="110">
        <f>IF(TAB_HISTORICO_MANUT[[#This Row],[EXPURGO Filhas]]="SIM",MAX(TAB_HISTORICO_MANUT[[#This Row],[Hora Final]]-TAB_HISTORICO_MANUT[[#This Row],[Hora Inicio]],0),0)</f>
        <v>0</v>
      </c>
      <c r="W83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3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31" s="117">
        <v>46104.284502314818</v>
      </c>
      <c r="Z831" s="118">
        <v>46104.458923611113</v>
      </c>
      <c r="AA831" s="119" t="s">
        <v>228</v>
      </c>
      <c r="AB831" s="119">
        <v>202601729918</v>
      </c>
      <c r="AC831" s="115" t="s">
        <v>204</v>
      </c>
      <c r="AD831" s="117" t="s">
        <v>144</v>
      </c>
      <c r="AE831" s="117" t="s">
        <v>172</v>
      </c>
      <c r="AF831" s="122" t="s">
        <v>210</v>
      </c>
      <c r="AG831" s="123">
        <f>IF(TAB_HISTORICO_MANUT[[#This Row],[Hora Inicio]]="","",MONTH(TAB_HISTORICO_MANUT[[#This Row],[Hora Inicio]]))</f>
        <v>3</v>
      </c>
      <c r="AH831" s="120" t="s">
        <v>799</v>
      </c>
      <c r="AI831" s="115" t="s">
        <v>22</v>
      </c>
      <c r="AJ831" s="115" t="s">
        <v>614</v>
      </c>
      <c r="AK831" s="115" t="s">
        <v>543</v>
      </c>
      <c r="AL831" s="115" t="s">
        <v>275</v>
      </c>
      <c r="AM831" s="121" t="s">
        <v>276</v>
      </c>
      <c r="AN831" s="115" t="s">
        <v>215</v>
      </c>
      <c r="AO831" s="115" t="s">
        <v>222</v>
      </c>
      <c r="AP831" s="115" t="s">
        <v>794</v>
      </c>
    </row>
    <row r="832" spans="1:42" ht="50.1" customHeight="1" x14ac:dyDescent="0.25">
      <c r="A832" s="115">
        <f>MONTH(TAB_HISTORICO_MANUT[[#This Row],[Hora Final]])-MONTH(TAB_HISTORICO_MANUT[[#This Row],[Hora Inicio]])</f>
        <v>0</v>
      </c>
      <c r="B832" s="116"/>
      <c r="C832" s="115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Inicio]]=Z831,TAB_HISTORICO_MANUT[[#This Row],[Equipamento]]=AA831,TAB_HISTORICO_MANUT[[#This Row],[Descricao Despacho]]=AD831),0,1)))</f>
        <v>1</v>
      </c>
      <c r="O83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83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3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832" s="107">
        <f>IF($Q832="","",(TAB_HISTORICO_MANUT[[#This Row],[Hora Final]]-TAB_HISTORICO_MANUT[[#This Row],[Hora Inicio]])*24)</f>
        <v>6.748333333292976</v>
      </c>
      <c r="S83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32" s="109" t="str">
        <f>IF(AND(TAB_HISTORICO_MANUT[[#This Row],[EXPURGO Mãe]]="SIM",TAB_HISTORICO_MANUT[[#This Row],[Tipo]]="MÃE"),"EXP.MAE",IF(TAB_HISTORICO_MANUT[[#This Row],[EXPURGO Mãe]]="NÃO","NÃO EXP.MAE",T831))</f>
        <v>NÃO EXP.MAE</v>
      </c>
      <c r="U83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32" s="110">
        <f>IF(TAB_HISTORICO_MANUT[[#This Row],[EXPURGO Filhas]]="SIM",MAX(TAB_HISTORICO_MANUT[[#This Row],[Hora Final]]-TAB_HISTORICO_MANUT[[#This Row],[Hora Inicio]],0),0)</f>
        <v>0</v>
      </c>
      <c r="W83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3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32" s="117">
        <v>46104.656180555554</v>
      </c>
      <c r="Z832" s="118">
        <v>46104.937361111108</v>
      </c>
      <c r="AA832" s="119" t="s">
        <v>228</v>
      </c>
      <c r="AB832" s="119">
        <v>202601729918</v>
      </c>
      <c r="AC832" s="115" t="s">
        <v>204</v>
      </c>
      <c r="AD832" s="117" t="s">
        <v>144</v>
      </c>
      <c r="AE832" s="117" t="s">
        <v>172</v>
      </c>
      <c r="AF832" s="122" t="s">
        <v>210</v>
      </c>
      <c r="AG832" s="123">
        <f>IF(TAB_HISTORICO_MANUT[[#This Row],[Hora Inicio]]="","",MONTH(TAB_HISTORICO_MANUT[[#This Row],[Hora Inicio]]))</f>
        <v>3</v>
      </c>
      <c r="AH832" s="120" t="s">
        <v>800</v>
      </c>
      <c r="AI832" s="115" t="s">
        <v>22</v>
      </c>
      <c r="AJ832" s="115" t="s">
        <v>614</v>
      </c>
      <c r="AK832" s="115" t="s">
        <v>543</v>
      </c>
      <c r="AL832" s="115" t="s">
        <v>275</v>
      </c>
      <c r="AM832" s="115" t="s">
        <v>276</v>
      </c>
      <c r="AN832" s="115" t="s">
        <v>217</v>
      </c>
      <c r="AO832" s="115" t="s">
        <v>349</v>
      </c>
      <c r="AP832" s="115" t="s">
        <v>319</v>
      </c>
    </row>
    <row r="833" spans="1:42" ht="50.1" customHeight="1" x14ac:dyDescent="0.25">
      <c r="A833" s="115">
        <f>MONTH(TAB_HISTORICO_MANUT[[#This Row],[Hora Final]])-MONTH(TAB_HISTORICO_MANUT[[#This Row],[Hora Inicio]])</f>
        <v>0</v>
      </c>
      <c r="B833" s="116"/>
      <c r="C833" s="115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Inicio]]=Z832,TAB_HISTORICO_MANUT[[#This Row],[Equipamento]]=AA832,TAB_HISTORICO_MANUT[[#This Row],[Descricao Despacho]]=AD832),0,1)))</f>
        <v/>
      </c>
      <c r="O83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33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3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33" s="107" t="str">
        <f>IF($Q833="","",(TAB_HISTORICO_MANUT[[#This Row],[Hora Final]]-TAB_HISTORICO_MANUT[[#This Row],[Hora Inicio]])*24)</f>
        <v/>
      </c>
      <c r="S83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33" s="109" t="str">
        <f>IF(AND(TAB_HISTORICO_MANUT[[#This Row],[EXPURGO Mãe]]="SIM",TAB_HISTORICO_MANUT[[#This Row],[Tipo]]="MÃE"),"EXP.MAE",IF(TAB_HISTORICO_MANUT[[#This Row],[EXPURGO Mãe]]="NÃO","NÃO EXP.MAE",T832))</f>
        <v>NÃO EXP.MAE</v>
      </c>
      <c r="U83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33" s="110">
        <f>IF(TAB_HISTORICO_MANUT[[#This Row],[EXPURGO Filhas]]="SIM",MAX(TAB_HISTORICO_MANUT[[#This Row],[Hora Final]]-TAB_HISTORICO_MANUT[[#This Row],[Hora Inicio]],0),0)</f>
        <v>2.0833333328482695E-2</v>
      </c>
      <c r="W83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3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33" s="117">
        <v>46104.708333333336</v>
      </c>
      <c r="Z833" s="118">
        <v>46104.729166666664</v>
      </c>
      <c r="AA833" s="119" t="s">
        <v>228</v>
      </c>
      <c r="AB833" s="119">
        <v>202601729918</v>
      </c>
      <c r="AC833" s="115" t="s">
        <v>204</v>
      </c>
      <c r="AD833" s="117" t="s">
        <v>144</v>
      </c>
      <c r="AE833" s="117" t="s">
        <v>772</v>
      </c>
      <c r="AF833" s="122" t="s">
        <v>767</v>
      </c>
      <c r="AG833" s="123">
        <f>IF(TAB_HISTORICO_MANUT[[#This Row],[Hora Inicio]]="","",MONTH(TAB_HISTORICO_MANUT[[#This Row],[Hora Inicio]]))</f>
        <v>3</v>
      </c>
      <c r="AH833" s="120" t="s">
        <v>800</v>
      </c>
      <c r="AI833" s="115" t="s">
        <v>22</v>
      </c>
      <c r="AJ833" s="115" t="s">
        <v>614</v>
      </c>
      <c r="AK833" s="115" t="s">
        <v>543</v>
      </c>
      <c r="AL833" s="115" t="s">
        <v>275</v>
      </c>
      <c r="AM833" s="121" t="s">
        <v>276</v>
      </c>
      <c r="AN833" s="115" t="s">
        <v>217</v>
      </c>
      <c r="AO833" s="115" t="s">
        <v>349</v>
      </c>
      <c r="AP833" s="115" t="s">
        <v>319</v>
      </c>
    </row>
    <row r="834" spans="1:42" ht="50.1" customHeight="1" x14ac:dyDescent="0.25">
      <c r="A834" s="43">
        <f>MONTH(TAB_HISTORICO_MANUT[[#This Row],[Hora Final]])-MONTH(TAB_HISTORICO_MANUT[[#This Row],[Hora Inicio]])</f>
        <v>0</v>
      </c>
      <c r="B834" s="42"/>
      <c r="C834" s="43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Inicio]]=Z833,TAB_HISTORICO_MANUT[[#This Row],[Equipamento]]=AA833,TAB_HISTORICO_MANUT[[#This Row],[Descricao Despacho]]=AD833),0,1)))</f>
        <v>1</v>
      </c>
      <c r="O83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DE FREIO</v>
      </c>
      <c r="P834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3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834" s="50">
        <f>IF($Q834="","",(TAB_HISTORICO_MANUT[[#This Row],[Hora Final]]-TAB_HISTORICO_MANUT[[#This Row],[Hora Inicio]])*24)</f>
        <v>146.17638888896909</v>
      </c>
      <c r="S83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34" s="54" t="str">
        <f>IF(AND(TAB_HISTORICO_MANUT[[#This Row],[EXPURGO Mãe]]="SIM",TAB_HISTORICO_MANUT[[#This Row],[Tipo]]="MÃE"),"EXP.MAE",IF(TAB_HISTORICO_MANUT[[#This Row],[EXPURGO Mãe]]="NÃO","NÃO EXP.MAE",T833))</f>
        <v>NÃO EXP.MAE</v>
      </c>
      <c r="U83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34" s="56">
        <f>IF(TAB_HISTORICO_MANUT[[#This Row],[EXPURGO Filhas]]="SIM",MAX(TAB_HISTORICO_MANUT[[#This Row],[Hora Final]]-TAB_HISTORICO_MANUT[[#This Row],[Hora Inicio]],0),0)</f>
        <v>0</v>
      </c>
      <c r="W83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3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34" s="46">
        <v>46105.103055555555</v>
      </c>
      <c r="Z834" s="47">
        <v>46111.193738425929</v>
      </c>
      <c r="AA834" s="48" t="s">
        <v>228</v>
      </c>
      <c r="AB834" s="48">
        <v>202601729918</v>
      </c>
      <c r="AC834" s="43" t="s">
        <v>204</v>
      </c>
      <c r="AD834" s="46" t="s">
        <v>144</v>
      </c>
      <c r="AE834" s="46" t="s">
        <v>172</v>
      </c>
      <c r="AF834" s="88" t="s">
        <v>210</v>
      </c>
      <c r="AG834" s="105">
        <f>IF(TAB_HISTORICO_MANUT[[#This Row],[Hora Inicio]]="","",MONTH(TAB_HISTORICO_MANUT[[#This Row],[Hora Inicio]]))</f>
        <v>3</v>
      </c>
      <c r="AH834" s="58" t="s">
        <v>804</v>
      </c>
      <c r="AI834" s="43" t="s">
        <v>46</v>
      </c>
      <c r="AJ834" s="43" t="s">
        <v>537</v>
      </c>
      <c r="AK834" s="43" t="s">
        <v>529</v>
      </c>
      <c r="AL834" s="43" t="s">
        <v>292</v>
      </c>
      <c r="AM834" s="114" t="s">
        <v>276</v>
      </c>
      <c r="AN834" s="43"/>
      <c r="AO834" s="43"/>
      <c r="AP834" s="43"/>
    </row>
    <row r="835" spans="1:42" ht="50.1" customHeight="1" x14ac:dyDescent="0.25">
      <c r="A835" s="115">
        <f>MONTH(TAB_HISTORICO_MANUT[[#This Row],[Hora Final]])-MONTH(TAB_HISTORICO_MANUT[[#This Row],[Hora Inicio]])</f>
        <v>0</v>
      </c>
      <c r="B835" s="116"/>
      <c r="C835" s="115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Inicio]]=Z834,TAB_HISTORICO_MANUT[[#This Row],[Equipamento]]=AA834,TAB_HISTORICO_MANUT[[#This Row],[Descricao Despacho]]=AD834),0,1)))</f>
        <v/>
      </c>
      <c r="O83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35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3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35" s="107" t="str">
        <f>IF($Q835="","",(TAB_HISTORICO_MANUT[[#This Row],[Hora Final]]-TAB_HISTORICO_MANUT[[#This Row],[Hora Inicio]])*24)</f>
        <v/>
      </c>
      <c r="S83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35" s="109" t="str">
        <f>IF(AND(TAB_HISTORICO_MANUT[[#This Row],[EXPURGO Mãe]]="SIM",TAB_HISTORICO_MANUT[[#This Row],[Tipo]]="MÃE"),"EXP.MAE",IF(TAB_HISTORICO_MANUT[[#This Row],[EXPURGO Mãe]]="NÃO","NÃO EXP.MAE",T834))</f>
        <v>NÃO EXP.MAE</v>
      </c>
      <c r="U83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35" s="110">
        <f>IF(TAB_HISTORICO_MANUT[[#This Row],[EXPURGO Filhas]]="SIM",MAX(TAB_HISTORICO_MANUT[[#This Row],[Hora Final]]-TAB_HISTORICO_MANUT[[#This Row],[Hora Inicio]],0),0)</f>
        <v>9.9999999998544808E-2</v>
      </c>
      <c r="W83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3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35" s="117">
        <v>46105.15</v>
      </c>
      <c r="Z835" s="118">
        <v>46105.25</v>
      </c>
      <c r="AA835" s="119" t="s">
        <v>228</v>
      </c>
      <c r="AB835" s="119">
        <v>202601729918</v>
      </c>
      <c r="AC835" s="115" t="s">
        <v>204</v>
      </c>
      <c r="AD835" s="117" t="s">
        <v>144</v>
      </c>
      <c r="AE835" s="117" t="s">
        <v>766</v>
      </c>
      <c r="AF835" s="122" t="s">
        <v>767</v>
      </c>
      <c r="AG835" s="123">
        <f>IF(TAB_HISTORICO_MANUT[[#This Row],[Hora Inicio]]="","",MONTH(TAB_HISTORICO_MANUT[[#This Row],[Hora Inicio]]))</f>
        <v>3</v>
      </c>
      <c r="AH835" s="120" t="s">
        <v>804</v>
      </c>
      <c r="AI835" s="115" t="s">
        <v>46</v>
      </c>
      <c r="AJ835" s="115" t="s">
        <v>537</v>
      </c>
      <c r="AK835" s="115" t="s">
        <v>529</v>
      </c>
      <c r="AL835" s="115" t="s">
        <v>292</v>
      </c>
      <c r="AM835" s="121" t="s">
        <v>276</v>
      </c>
      <c r="AN835" s="115"/>
      <c r="AO835" s="115"/>
      <c r="AP835" s="115"/>
    </row>
    <row r="836" spans="1:42" ht="50.1" customHeight="1" x14ac:dyDescent="0.25">
      <c r="A836" s="43">
        <f>MONTH(TAB_HISTORICO_MANUT[[#This Row],[Hora Final]])-MONTH(TAB_HISTORICO_MANUT[[#This Row],[Hora Inicio]])</f>
        <v>0</v>
      </c>
      <c r="B836" s="42"/>
      <c r="C836" s="43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Inicio]]=Z835,TAB_HISTORICO_MANUT[[#This Row],[Equipamento]]=AA835,TAB_HISTORICO_MANUT[[#This Row],[Descricao Despacho]]=AD835),0,1)))</f>
        <v/>
      </c>
      <c r="O83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36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3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36" s="50" t="str">
        <f>IF($Q836="","",(TAB_HISTORICO_MANUT[[#This Row],[Hora Final]]-TAB_HISTORICO_MANUT[[#This Row],[Hora Inicio]])*24)</f>
        <v/>
      </c>
      <c r="S83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36" s="54" t="str">
        <f>IF(AND(TAB_HISTORICO_MANUT[[#This Row],[EXPURGO Mãe]]="SIM",TAB_HISTORICO_MANUT[[#This Row],[Tipo]]="MÃE"),"EXP.MAE",IF(TAB_HISTORICO_MANUT[[#This Row],[EXPURGO Mãe]]="NÃO","NÃO EXP.MAE",T835))</f>
        <v>NÃO EXP.MAE</v>
      </c>
      <c r="U83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36" s="56">
        <f>IF(TAB_HISTORICO_MANUT[[#This Row],[EXPURGO Filhas]]="SIM",MAX(TAB_HISTORICO_MANUT[[#This Row],[Hora Final]]-TAB_HISTORICO_MANUT[[#This Row],[Hora Inicio]],0),0)</f>
        <v>0.26875000000291038</v>
      </c>
      <c r="W83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3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36" s="46">
        <v>46106.25</v>
      </c>
      <c r="Z836" s="47">
        <v>46106.518750000003</v>
      </c>
      <c r="AA836" s="48" t="s">
        <v>228</v>
      </c>
      <c r="AB836" s="48">
        <v>202601729918</v>
      </c>
      <c r="AC836" s="43" t="s">
        <v>204</v>
      </c>
      <c r="AD836" s="46" t="s">
        <v>144</v>
      </c>
      <c r="AE836" s="46" t="s">
        <v>231</v>
      </c>
      <c r="AF836" s="88" t="s">
        <v>767</v>
      </c>
      <c r="AG836" s="105">
        <f>IF(TAB_HISTORICO_MANUT[[#This Row],[Hora Inicio]]="","",MONTH(TAB_HISTORICO_MANUT[[#This Row],[Hora Inicio]]))</f>
        <v>3</v>
      </c>
      <c r="AH836" s="58" t="s">
        <v>804</v>
      </c>
      <c r="AI836" s="43" t="s">
        <v>46</v>
      </c>
      <c r="AJ836" s="43" t="s">
        <v>537</v>
      </c>
      <c r="AK836" s="43" t="s">
        <v>529</v>
      </c>
      <c r="AL836" s="43" t="s">
        <v>292</v>
      </c>
      <c r="AM836" s="114" t="s">
        <v>276</v>
      </c>
      <c r="AN836" s="43"/>
      <c r="AO836" s="43"/>
      <c r="AP836" s="43"/>
    </row>
    <row r="837" spans="1:42" ht="50.1" customHeight="1" x14ac:dyDescent="0.25">
      <c r="A837" s="115">
        <f>MONTH(TAB_HISTORICO_MANUT[[#This Row],[Hora Final]])-MONTH(TAB_HISTORICO_MANUT[[#This Row],[Hora Inicio]])</f>
        <v>0</v>
      </c>
      <c r="B837" s="116"/>
      <c r="C837" s="115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Inicio]]=Z836,TAB_HISTORICO_MANUT[[#This Row],[Equipamento]]=AA836,TAB_HISTORICO_MANUT[[#This Row],[Descricao Despacho]]=AD836),0,1)))</f>
        <v/>
      </c>
      <c r="O83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37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3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37" s="107" t="str">
        <f>IF($Q837="","",(TAB_HISTORICO_MANUT[[#This Row],[Hora Final]]-TAB_HISTORICO_MANUT[[#This Row],[Hora Inicio]])*24)</f>
        <v/>
      </c>
      <c r="S83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37" s="109" t="str">
        <f>IF(AND(TAB_HISTORICO_MANUT[[#This Row],[EXPURGO Mãe]]="SIM",TAB_HISTORICO_MANUT[[#This Row],[Tipo]]="MÃE"),"EXP.MAE",IF(TAB_HISTORICO_MANUT[[#This Row],[EXPURGO Mãe]]="NÃO","NÃO EXP.MAE",T836))</f>
        <v>NÃO EXP.MAE</v>
      </c>
      <c r="U83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37" s="110">
        <f>IF(TAB_HISTORICO_MANUT[[#This Row],[EXPURGO Filhas]]="SIM",MAX(TAB_HISTORICO_MANUT[[#This Row],[Hora Final]]-TAB_HISTORICO_MANUT[[#This Row],[Hora Inicio]],0),0)</f>
        <v>2.7083333334303461E-2</v>
      </c>
      <c r="W83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3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37" s="117">
        <v>46106.618055555555</v>
      </c>
      <c r="Z837" s="118">
        <v>46106.645138888889</v>
      </c>
      <c r="AA837" s="119" t="s">
        <v>228</v>
      </c>
      <c r="AB837" s="119">
        <v>202601729918</v>
      </c>
      <c r="AC837" s="115" t="s">
        <v>204</v>
      </c>
      <c r="AD837" s="117" t="s">
        <v>144</v>
      </c>
      <c r="AE837" s="117" t="s">
        <v>772</v>
      </c>
      <c r="AF837" s="122" t="s">
        <v>767</v>
      </c>
      <c r="AG837" s="123">
        <f>IF(TAB_HISTORICO_MANUT[[#This Row],[Hora Inicio]]="","",MONTH(TAB_HISTORICO_MANUT[[#This Row],[Hora Inicio]]))</f>
        <v>3</v>
      </c>
      <c r="AH837" s="58" t="s">
        <v>804</v>
      </c>
      <c r="AI837" s="115" t="s">
        <v>46</v>
      </c>
      <c r="AJ837" s="115" t="s">
        <v>537</v>
      </c>
      <c r="AK837" s="115" t="s">
        <v>529</v>
      </c>
      <c r="AL837" s="115" t="s">
        <v>292</v>
      </c>
      <c r="AM837" s="121" t="s">
        <v>276</v>
      </c>
      <c r="AN837" s="115"/>
      <c r="AO837" s="115"/>
      <c r="AP837" s="115"/>
    </row>
    <row r="838" spans="1:42" ht="50.1" customHeight="1" x14ac:dyDescent="0.25">
      <c r="A838" s="115">
        <f>MONTH(TAB_HISTORICO_MANUT[[#This Row],[Hora Final]])-MONTH(TAB_HISTORICO_MANUT[[#This Row],[Hora Inicio]])</f>
        <v>0</v>
      </c>
      <c r="B838" s="116"/>
      <c r="C838" s="115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Inicio]]=Z837,TAB_HISTORICO_MANUT[[#This Row],[Equipamento]]=AA837,TAB_HISTORICO_MANUT[[#This Row],[Descricao Despacho]]=AD837),0,1)))</f>
        <v/>
      </c>
      <c r="O83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38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3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38" s="107" t="str">
        <f>IF($Q838="","",(TAB_HISTORICO_MANUT[[#This Row],[Hora Final]]-TAB_HISTORICO_MANUT[[#This Row],[Hora Inicio]])*24)</f>
        <v/>
      </c>
      <c r="S83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38" s="109" t="str">
        <f>IF(AND(TAB_HISTORICO_MANUT[[#This Row],[EXPURGO Mãe]]="SIM",TAB_HISTORICO_MANUT[[#This Row],[Tipo]]="MÃE"),"EXP.MAE",IF(TAB_HISTORICO_MANUT[[#This Row],[EXPURGO Mãe]]="NÃO","NÃO EXP.MAE",T837))</f>
        <v>NÃO EXP.MAE</v>
      </c>
      <c r="U83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38" s="110">
        <f>IF(TAB_HISTORICO_MANUT[[#This Row],[EXPURGO Filhas]]="SIM",MAX(TAB_HISTORICO_MANUT[[#This Row],[Hora Final]]-TAB_HISTORICO_MANUT[[#This Row],[Hora Inicio]],0),0)</f>
        <v>0.125</v>
      </c>
      <c r="W83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3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38" s="117">
        <v>46108.333333333336</v>
      </c>
      <c r="Z838" s="118">
        <v>46108.458333333336</v>
      </c>
      <c r="AA838" s="119" t="s">
        <v>228</v>
      </c>
      <c r="AB838" s="119">
        <v>202601729918</v>
      </c>
      <c r="AC838" s="115" t="s">
        <v>204</v>
      </c>
      <c r="AD838" s="117" t="s">
        <v>144</v>
      </c>
      <c r="AE838" s="117" t="s">
        <v>231</v>
      </c>
      <c r="AF838" s="122" t="s">
        <v>767</v>
      </c>
      <c r="AG838" s="123">
        <f>IF(TAB_HISTORICO_MANUT[[#This Row],[Hora Inicio]]="","",MONTH(TAB_HISTORICO_MANUT[[#This Row],[Hora Inicio]]))</f>
        <v>3</v>
      </c>
      <c r="AH838" s="120" t="s">
        <v>804</v>
      </c>
      <c r="AI838" s="115" t="s">
        <v>46</v>
      </c>
      <c r="AJ838" s="115" t="s">
        <v>537</v>
      </c>
      <c r="AK838" s="115" t="s">
        <v>529</v>
      </c>
      <c r="AL838" s="115" t="s">
        <v>292</v>
      </c>
      <c r="AM838" s="121" t="s">
        <v>276</v>
      </c>
      <c r="AN838" s="115"/>
      <c r="AO838" s="115"/>
      <c r="AP838" s="115"/>
    </row>
    <row r="839" spans="1:42" ht="50.1" customHeight="1" x14ac:dyDescent="0.25">
      <c r="A839" s="43">
        <f>MONTH(TAB_HISTORICO_MANUT[[#This Row],[Hora Final]])-MONTH(TAB_HISTORICO_MANUT[[#This Row],[Hora Inicio]])</f>
        <v>0</v>
      </c>
      <c r="B839" s="42"/>
      <c r="C839" s="43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Inicio]]=Z838,TAB_HISTORICO_MANUT[[#This Row],[Equipamento]]=AA838,TAB_HISTORICO_MANUT[[#This Row],[Descricao Despacho]]=AD838),0,1)))</f>
        <v/>
      </c>
      <c r="O83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39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3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39" s="50" t="str">
        <f>IF($Q839="","",(TAB_HISTORICO_MANUT[[#This Row],[Hora Final]]-TAB_HISTORICO_MANUT[[#This Row],[Hora Inicio]])*24)</f>
        <v/>
      </c>
      <c r="S83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39" s="54" t="str">
        <f>IF(AND(TAB_HISTORICO_MANUT[[#This Row],[EXPURGO Mãe]]="SIM",TAB_HISTORICO_MANUT[[#This Row],[Tipo]]="MÃE"),"EXP.MAE",IF(TAB_HISTORICO_MANUT[[#This Row],[EXPURGO Mãe]]="NÃO","NÃO EXP.MAE",T838))</f>
        <v>NÃO EXP.MAE</v>
      </c>
      <c r="U83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39" s="56">
        <f>IF(TAB_HISTORICO_MANUT[[#This Row],[EXPURGO Filhas]]="SIM",MAX(TAB_HISTORICO_MANUT[[#This Row],[Hora Final]]-TAB_HISTORICO_MANUT[[#This Row],[Hora Inicio]],0),0)</f>
        <v>0.125</v>
      </c>
      <c r="W83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3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39" s="46">
        <v>46109.541666666664</v>
      </c>
      <c r="Z839" s="47">
        <v>46109.666666666664</v>
      </c>
      <c r="AA839" s="48" t="s">
        <v>228</v>
      </c>
      <c r="AB839" s="48">
        <v>202601729918</v>
      </c>
      <c r="AC839" s="43" t="s">
        <v>204</v>
      </c>
      <c r="AD839" s="46" t="s">
        <v>144</v>
      </c>
      <c r="AE839" s="46" t="s">
        <v>766</v>
      </c>
      <c r="AF839" s="88" t="s">
        <v>767</v>
      </c>
      <c r="AG839" s="105">
        <f>IF(TAB_HISTORICO_MANUT[[#This Row],[Hora Inicio]]="","",MONTH(TAB_HISTORICO_MANUT[[#This Row],[Hora Inicio]]))</f>
        <v>3</v>
      </c>
      <c r="AH839" s="58" t="s">
        <v>804</v>
      </c>
      <c r="AI839" s="43" t="s">
        <v>46</v>
      </c>
      <c r="AJ839" s="43" t="s">
        <v>537</v>
      </c>
      <c r="AK839" s="43" t="s">
        <v>529</v>
      </c>
      <c r="AL839" s="43" t="s">
        <v>292</v>
      </c>
      <c r="AM839" s="114" t="s">
        <v>276</v>
      </c>
      <c r="AN839" s="43"/>
      <c r="AO839" s="43"/>
      <c r="AP839" s="43"/>
    </row>
    <row r="840" spans="1:42" ht="50.1" customHeight="1" x14ac:dyDescent="0.25">
      <c r="A840" s="43">
        <f>MONTH(TAB_HISTORICO_MANUT[[#This Row],[Hora Final]])-MONTH(TAB_HISTORICO_MANUT[[#This Row],[Hora Inicio]])</f>
        <v>0</v>
      </c>
      <c r="B840" s="42"/>
      <c r="C840" s="43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Inicio]]=Z839,TAB_HISTORICO_MANUT[[#This Row],[Equipamento]]=AA839,TAB_HISTORICO_MANUT[[#This Row],[Descricao Despacho]]=AD839),0,1)))</f>
        <v/>
      </c>
      <c r="O84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40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4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40" s="50" t="str">
        <f>IF($Q840="","",(TAB_HISTORICO_MANUT[[#This Row],[Hora Final]]-TAB_HISTORICO_MANUT[[#This Row],[Hora Inicio]])*24)</f>
        <v/>
      </c>
      <c r="S84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40" s="54" t="str">
        <f>IF(AND(TAB_HISTORICO_MANUT[[#This Row],[EXPURGO Mãe]]="SIM",TAB_HISTORICO_MANUT[[#This Row],[Tipo]]="MÃE"),"EXP.MAE",IF(TAB_HISTORICO_MANUT[[#This Row],[EXPURGO Mãe]]="NÃO","NÃO EXP.MAE",T839))</f>
        <v>NÃO EXP.MAE</v>
      </c>
      <c r="U84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40" s="56">
        <f>IF(TAB_HISTORICO_MANUT[[#This Row],[EXPURGO Filhas]]="SIM",MAX(TAB_HISTORICO_MANUT[[#This Row],[Hora Final]]-TAB_HISTORICO_MANUT[[#This Row],[Hora Inicio]],0),0)</f>
        <v>1.0416666664241347E-2</v>
      </c>
      <c r="W84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4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40" s="46">
        <v>46111.03125</v>
      </c>
      <c r="Z840" s="47">
        <v>46111.041666666664</v>
      </c>
      <c r="AA840" s="48" t="s">
        <v>228</v>
      </c>
      <c r="AB840" s="48">
        <v>202601729918</v>
      </c>
      <c r="AC840" s="43" t="s">
        <v>204</v>
      </c>
      <c r="AD840" s="46" t="s">
        <v>144</v>
      </c>
      <c r="AE840" s="46" t="s">
        <v>765</v>
      </c>
      <c r="AF840" s="88" t="s">
        <v>767</v>
      </c>
      <c r="AG840" s="105">
        <f>IF(TAB_HISTORICO_MANUT[[#This Row],[Hora Inicio]]="","",MONTH(TAB_HISTORICO_MANUT[[#This Row],[Hora Inicio]]))</f>
        <v>3</v>
      </c>
      <c r="AH840" s="58" t="s">
        <v>804</v>
      </c>
      <c r="AI840" s="43" t="s">
        <v>46</v>
      </c>
      <c r="AJ840" s="43" t="s">
        <v>537</v>
      </c>
      <c r="AK840" s="43" t="s">
        <v>529</v>
      </c>
      <c r="AL840" s="43" t="s">
        <v>292</v>
      </c>
      <c r="AM840" s="43" t="s">
        <v>276</v>
      </c>
      <c r="AN840" s="43"/>
      <c r="AO840" s="43"/>
      <c r="AP840" s="43"/>
    </row>
    <row r="841" spans="1:42" ht="50.1" customHeight="1" x14ac:dyDescent="0.25">
      <c r="A841" s="115">
        <f>MONTH(TAB_HISTORICO_MANUT[[#This Row],[Hora Final]])-MONTH(TAB_HISTORICO_MANUT[[#This Row],[Hora Inicio]])</f>
        <v>0</v>
      </c>
      <c r="B841" s="116"/>
      <c r="C841" s="115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Inicio]]=Z840,TAB_HISTORICO_MANUT[[#This Row],[Equipamento]]=AA840,TAB_HISTORICO_MANUT[[#This Row],[Descricao Despacho]]=AD840),0,1)))</f>
        <v/>
      </c>
      <c r="O84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41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4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41" s="107" t="str">
        <f>IF($Q841="","",(TAB_HISTORICO_MANUT[[#This Row],[Hora Final]]-TAB_HISTORICO_MANUT[[#This Row],[Hora Inicio]])*24)</f>
        <v/>
      </c>
      <c r="S84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41" s="109" t="str">
        <f>IF(AND(TAB_HISTORICO_MANUT[[#This Row],[EXPURGO Mãe]]="SIM",TAB_HISTORICO_MANUT[[#This Row],[Tipo]]="MÃE"),"EXP.MAE",IF(TAB_HISTORICO_MANUT[[#This Row],[EXPURGO Mãe]]="NÃO","NÃO EXP.MAE",T840))</f>
        <v>NÃO EXP.MAE</v>
      </c>
      <c r="U84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41" s="110">
        <f>IF(TAB_HISTORICO_MANUT[[#This Row],[EXPURGO Filhas]]="SIM",MAX(TAB_HISTORICO_MANUT[[#This Row],[Hora Final]]-TAB_HISTORICO_MANUT[[#This Row],[Hora Inicio]],0),0)</f>
        <v>6.8750000005820766E-2</v>
      </c>
      <c r="W84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4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41" s="117">
        <v>46111.034722222219</v>
      </c>
      <c r="Z841" s="118">
        <v>46111.103472222225</v>
      </c>
      <c r="AA841" s="119" t="s">
        <v>228</v>
      </c>
      <c r="AB841" s="119">
        <v>202601729918</v>
      </c>
      <c r="AC841" s="115" t="s">
        <v>204</v>
      </c>
      <c r="AD841" s="117" t="s">
        <v>144</v>
      </c>
      <c r="AE841" s="117" t="s">
        <v>231</v>
      </c>
      <c r="AF841" s="88" t="s">
        <v>767</v>
      </c>
      <c r="AG841" s="123">
        <f>IF(TAB_HISTORICO_MANUT[[#This Row],[Hora Inicio]]="","",MONTH(TAB_HISTORICO_MANUT[[#This Row],[Hora Inicio]]))</f>
        <v>3</v>
      </c>
      <c r="AH841" s="120" t="s">
        <v>804</v>
      </c>
      <c r="AI841" s="115" t="s">
        <v>46</v>
      </c>
      <c r="AJ841" s="115" t="s">
        <v>537</v>
      </c>
      <c r="AK841" s="115" t="s">
        <v>529</v>
      </c>
      <c r="AL841" s="115" t="s">
        <v>292</v>
      </c>
      <c r="AM841" s="121" t="s">
        <v>276</v>
      </c>
      <c r="AN841" s="115"/>
      <c r="AO841" s="115"/>
      <c r="AP841" s="115"/>
    </row>
    <row r="842" spans="1:42" ht="50.1" customHeight="1" x14ac:dyDescent="0.25">
      <c r="A842" s="115">
        <f>MONTH(TAB_HISTORICO_MANUT[[#This Row],[Hora Final]])-MONTH(TAB_HISTORICO_MANUT[[#This Row],[Hora Inicio]])</f>
        <v>0</v>
      </c>
      <c r="B842" s="116"/>
      <c r="C842" s="115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Inicio]]=Z841,TAB_HISTORICO_MANUT[[#This Row],[Equipamento]]=AA841,TAB_HISTORICO_MANUT[[#This Row],[Descricao Despacho]]=AD841),0,1)))</f>
        <v>1</v>
      </c>
      <c r="O84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84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4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842" s="107">
        <f>IF($Q842="","",(TAB_HISTORICO_MANUT[[#This Row],[Hora Final]]-TAB_HISTORICO_MANUT[[#This Row],[Hora Inicio]])*24)</f>
        <v>0.50638888886896893</v>
      </c>
      <c r="S84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42" s="109" t="str">
        <f>IF(AND(TAB_HISTORICO_MANUT[[#This Row],[EXPURGO Mãe]]="SIM",TAB_HISTORICO_MANUT[[#This Row],[Tipo]]="MÃE"),"EXP.MAE",IF(TAB_HISTORICO_MANUT[[#This Row],[EXPURGO Mãe]]="NÃO","NÃO EXP.MAE",T841))</f>
        <v>NÃO EXP.MAE</v>
      </c>
      <c r="U84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42" s="110">
        <f>IF(TAB_HISTORICO_MANUT[[#This Row],[EXPURGO Filhas]]="SIM",MAX(TAB_HISTORICO_MANUT[[#This Row],[Hora Final]]-TAB_HISTORICO_MANUT[[#This Row],[Hora Inicio]],0),0)</f>
        <v>0</v>
      </c>
      <c r="W84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4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42" s="117">
        <v>46111.276631944442</v>
      </c>
      <c r="Z842" s="118">
        <v>46111.297731481478</v>
      </c>
      <c r="AA842" s="119" t="s">
        <v>228</v>
      </c>
      <c r="AB842" s="119">
        <v>202601729918</v>
      </c>
      <c r="AC842" s="115" t="s">
        <v>211</v>
      </c>
      <c r="AD842" s="117" t="s">
        <v>144</v>
      </c>
      <c r="AE842" s="117" t="s">
        <v>213</v>
      </c>
      <c r="AF842" s="88" t="s">
        <v>210</v>
      </c>
      <c r="AG842" s="123">
        <f>IF(TAB_HISTORICO_MANUT[[#This Row],[Hora Inicio]]="","",MONTH(TAB_HISTORICO_MANUT[[#This Row],[Hora Inicio]]))</f>
        <v>3</v>
      </c>
      <c r="AH842" s="120" t="s">
        <v>822</v>
      </c>
      <c r="AI842" s="115" t="s">
        <v>21</v>
      </c>
      <c r="AJ842" s="115" t="s">
        <v>293</v>
      </c>
      <c r="AK842" s="115" t="s">
        <v>291</v>
      </c>
      <c r="AL842" s="115" t="s">
        <v>292</v>
      </c>
      <c r="AM842" s="121" t="s">
        <v>294</v>
      </c>
      <c r="AN842" s="115" t="s">
        <v>229</v>
      </c>
      <c r="AO842" s="115" t="s">
        <v>239</v>
      </c>
      <c r="AP842" s="115" t="s">
        <v>242</v>
      </c>
    </row>
    <row r="843" spans="1:42" ht="50.1" customHeight="1" x14ac:dyDescent="0.25">
      <c r="A843" s="43">
        <f>MONTH(TAB_HISTORICO_MANUT[[#This Row],[Hora Final]])-MONTH(TAB_HISTORICO_MANUT[[#This Row],[Hora Inicio]])</f>
        <v>0</v>
      </c>
      <c r="B843" s="42"/>
      <c r="C843" s="43"/>
      <c r="D843" s="42"/>
      <c r="E843" s="42"/>
      <c r="F843" s="42"/>
      <c r="G843" s="42"/>
      <c r="H843" s="42"/>
      <c r="I843" s="42"/>
      <c r="J843" s="42"/>
      <c r="K843" s="42"/>
      <c r="L843" s="42"/>
      <c r="M843" s="42" t="s">
        <v>99</v>
      </c>
      <c r="N84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Inicio]]=Z842,TAB_HISTORICO_MANUT[[#This Row],[Equipamento]]=AA842,TAB_HISTORICO_MANUT[[#This Row],[Descricao Despacho]]=AD842),0,1)))</f>
        <v>1</v>
      </c>
      <c r="O84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843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84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843" s="50">
        <f>IF($Q843="","",(TAB_HISTORICO_MANUT[[#This Row],[Hora Final]]-TAB_HISTORICO_MANUT[[#This Row],[Hora Inicio]])*24)</f>
        <v>1.4166666835080832E-2</v>
      </c>
      <c r="S84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43" s="54" t="str">
        <f>IF(AND(TAB_HISTORICO_MANUT[[#This Row],[EXPURGO Mãe]]="SIM",TAB_HISTORICO_MANUT[[#This Row],[Tipo]]="MÃE"),"EXP.MAE",IF(TAB_HISTORICO_MANUT[[#This Row],[EXPURGO Mãe]]="NÃO","NÃO EXP.MAE",T842))</f>
        <v>NÃO EXP.MAE</v>
      </c>
      <c r="U84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43" s="56">
        <f>IF(TAB_HISTORICO_MANUT[[#This Row],[EXPURGO Filhas]]="SIM",MAX(TAB_HISTORICO_MANUT[[#This Row],[Hora Final]]-TAB_HISTORICO_MANUT[[#This Row],[Hora Inicio]],0),0)</f>
        <v>0</v>
      </c>
      <c r="W84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4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43" s="46">
        <v>46111.298229166663</v>
      </c>
      <c r="Z843" s="47">
        <v>46111.298819444448</v>
      </c>
      <c r="AA843" s="48" t="s">
        <v>228</v>
      </c>
      <c r="AB843" s="48">
        <v>202601729918</v>
      </c>
      <c r="AC843" s="43" t="s">
        <v>343</v>
      </c>
      <c r="AD843" s="46" t="s">
        <v>145</v>
      </c>
      <c r="AE843" s="46" t="s">
        <v>188</v>
      </c>
      <c r="AF843" s="88" t="s">
        <v>210</v>
      </c>
      <c r="AG843" s="105">
        <f>IF(TAB_HISTORICO_MANUT[[#This Row],[Hora Inicio]]="","",MONTH(TAB_HISTORICO_MANUT[[#This Row],[Hora Inicio]]))</f>
        <v>3</v>
      </c>
      <c r="AH843" s="58"/>
      <c r="AI843" s="43" t="s">
        <v>21</v>
      </c>
      <c r="AJ843" s="43" t="s">
        <v>293</v>
      </c>
      <c r="AK843" s="43" t="s">
        <v>291</v>
      </c>
      <c r="AL843" s="43" t="s">
        <v>292</v>
      </c>
      <c r="AM843" s="114" t="s">
        <v>294</v>
      </c>
      <c r="AN843" s="43"/>
      <c r="AO843" s="43"/>
      <c r="AP843" s="43"/>
    </row>
    <row r="844" spans="1:42" ht="50.1" customHeight="1" x14ac:dyDescent="0.25">
      <c r="A844" s="115">
        <f>MONTH(TAB_HISTORICO_MANUT[[#This Row],[Hora Final]])-MONTH(TAB_HISTORICO_MANUT[[#This Row],[Hora Inicio]])</f>
        <v>0</v>
      </c>
      <c r="B844" s="116"/>
      <c r="C844" s="115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Inicio]]=Z843,TAB_HISTORICO_MANUT[[#This Row],[Equipamento]]=AA843,TAB_HISTORICO_MANUT[[#This Row],[Descricao Despacho]]=AD843),0,1)))</f>
        <v>1</v>
      </c>
      <c r="O84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84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4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844" s="107">
        <f>IF($Q844="","",(TAB_HISTORICO_MANUT[[#This Row],[Hora Final]]-TAB_HISTORICO_MANUT[[#This Row],[Hora Inicio]])*24)</f>
        <v>2.7766666664974764</v>
      </c>
      <c r="S84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44" s="109" t="str">
        <f>IF(AND(TAB_HISTORICO_MANUT[[#This Row],[EXPURGO Mãe]]="SIM",TAB_HISTORICO_MANUT[[#This Row],[Tipo]]="MÃE"),"EXP.MAE",IF(TAB_HISTORICO_MANUT[[#This Row],[EXPURGO Mãe]]="NÃO","NÃO EXP.MAE",T843))</f>
        <v>NÃO EXP.MAE</v>
      </c>
      <c r="U84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44" s="110">
        <f>IF(TAB_HISTORICO_MANUT[[#This Row],[EXPURGO Filhas]]="SIM",MAX(TAB_HISTORICO_MANUT[[#This Row],[Hora Final]]-TAB_HISTORICO_MANUT[[#This Row],[Hora Inicio]],0),0)</f>
        <v>0</v>
      </c>
      <c r="W84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4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44" s="117">
        <v>46111.298819444448</v>
      </c>
      <c r="Z844" s="118">
        <v>46111.414513888885</v>
      </c>
      <c r="AA844" s="119" t="s">
        <v>228</v>
      </c>
      <c r="AB844" s="119">
        <v>202601729918</v>
      </c>
      <c r="AC844" s="115" t="s">
        <v>211</v>
      </c>
      <c r="AD844" s="117" t="s">
        <v>144</v>
      </c>
      <c r="AE844" s="117" t="s">
        <v>213</v>
      </c>
      <c r="AF844" s="88" t="s">
        <v>210</v>
      </c>
      <c r="AG844" s="123">
        <f>IF(TAB_HISTORICO_MANUT[[#This Row],[Hora Inicio]]="","",MONTH(TAB_HISTORICO_MANUT[[#This Row],[Hora Inicio]]))</f>
        <v>3</v>
      </c>
      <c r="AH844" s="120" t="s">
        <v>822</v>
      </c>
      <c r="AI844" s="115" t="s">
        <v>21</v>
      </c>
      <c r="AJ844" s="115" t="s">
        <v>293</v>
      </c>
      <c r="AK844" s="115" t="s">
        <v>291</v>
      </c>
      <c r="AL844" s="115" t="s">
        <v>292</v>
      </c>
      <c r="AM844" s="121" t="s">
        <v>294</v>
      </c>
      <c r="AN844" s="115" t="s">
        <v>229</v>
      </c>
      <c r="AO844" s="115" t="s">
        <v>239</v>
      </c>
      <c r="AP844" s="115" t="s">
        <v>242</v>
      </c>
    </row>
    <row r="845" spans="1:42" ht="50.1" customHeight="1" x14ac:dyDescent="0.25">
      <c r="A845" s="115">
        <f>MONTH(TAB_HISTORICO_MANUT[[#This Row],[Hora Final]])-MONTH(TAB_HISTORICO_MANUT[[#This Row],[Hora Inicio]])</f>
        <v>0</v>
      </c>
      <c r="B845" s="116"/>
      <c r="C845" s="115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Inicio]]=Z844,TAB_HISTORICO_MANUT[[#This Row],[Equipamento]]=AA844,TAB_HISTORICO_MANUT[[#This Row],[Descricao Despacho]]=AD844),0,1)))</f>
        <v>1</v>
      </c>
      <c r="O84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84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4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845" s="107">
        <f>IF($Q845="","",(TAB_HISTORICO_MANUT[[#This Row],[Hora Final]]-TAB_HISTORICO_MANUT[[#This Row],[Hora Inicio]])*24)</f>
        <v>1.843611111107748</v>
      </c>
      <c r="S84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45" s="109" t="str">
        <f>IF(AND(TAB_HISTORICO_MANUT[[#This Row],[EXPURGO Mãe]]="SIM",TAB_HISTORICO_MANUT[[#This Row],[Tipo]]="MÃE"),"EXP.MAE",IF(TAB_HISTORICO_MANUT[[#This Row],[EXPURGO Mãe]]="NÃO","NÃO EXP.MAE",T844))</f>
        <v>NÃO EXP.MAE</v>
      </c>
      <c r="U84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45" s="110">
        <f>IF(TAB_HISTORICO_MANUT[[#This Row],[EXPURGO Filhas]]="SIM",MAX(TAB_HISTORICO_MANUT[[#This Row],[Hora Final]]-TAB_HISTORICO_MANUT[[#This Row],[Hora Inicio]],0),0)</f>
        <v>0</v>
      </c>
      <c r="W84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4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45" s="117">
        <v>46113.153749999998</v>
      </c>
      <c r="Z845" s="118">
        <v>46113.230567129627</v>
      </c>
      <c r="AA845" s="119" t="s">
        <v>228</v>
      </c>
      <c r="AB845" s="119" t="s">
        <v>825</v>
      </c>
      <c r="AC845" s="115" t="s">
        <v>204</v>
      </c>
      <c r="AD845" s="117" t="s">
        <v>144</v>
      </c>
      <c r="AE845" s="117" t="s">
        <v>172</v>
      </c>
      <c r="AF845" s="88" t="s">
        <v>210</v>
      </c>
      <c r="AG845" s="123">
        <f>IF(TAB_HISTORICO_MANUT[[#This Row],[Hora Inicio]]="","",MONTH(TAB_HISTORICO_MANUT[[#This Row],[Hora Inicio]]))</f>
        <v>4</v>
      </c>
      <c r="AH845" s="120" t="s">
        <v>830</v>
      </c>
      <c r="AI845" s="43" t="s">
        <v>22</v>
      </c>
      <c r="AJ845" s="43" t="s">
        <v>284</v>
      </c>
      <c r="AK845" s="43" t="s">
        <v>284</v>
      </c>
      <c r="AL845" s="43" t="s">
        <v>275</v>
      </c>
      <c r="AM845" s="121" t="s">
        <v>276</v>
      </c>
      <c r="AN845" s="115" t="s">
        <v>217</v>
      </c>
      <c r="AO845" s="115" t="s">
        <v>682</v>
      </c>
      <c r="AP845" s="115" t="s">
        <v>837</v>
      </c>
    </row>
    <row r="846" spans="1:42" ht="50.1" customHeight="1" x14ac:dyDescent="0.25">
      <c r="A846" s="115">
        <f>MONTH(TAB_HISTORICO_MANUT[[#This Row],[Hora Final]])-MONTH(TAB_HISTORICO_MANUT[[#This Row],[Hora Inicio]])</f>
        <v>0</v>
      </c>
      <c r="B846" s="116"/>
      <c r="C846" s="115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Inicio]]=Z845,TAB_HISTORICO_MANUT[[#This Row],[Equipamento]]=AA845,TAB_HISTORICO_MANUT[[#This Row],[Descricao Despacho]]=AD845),0,1)))</f>
        <v>1</v>
      </c>
      <c r="O84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84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84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846" s="107">
        <f>IF($Q846="","",(TAB_HISTORICO_MANUT[[#This Row],[Hora Final]]-TAB_HISTORICO_MANUT[[#This Row],[Hora Inicio]])*24)</f>
        <v>0.91194444440770894</v>
      </c>
      <c r="S84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46" s="109" t="str">
        <f>IF(AND(TAB_HISTORICO_MANUT[[#This Row],[EXPURGO Mãe]]="SIM",TAB_HISTORICO_MANUT[[#This Row],[Tipo]]="MÃE"),"EXP.MAE",IF(TAB_HISTORICO_MANUT[[#This Row],[EXPURGO Mãe]]="NÃO","NÃO EXP.MAE",T845))</f>
        <v>NÃO EXP.MAE</v>
      </c>
      <c r="U84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46" s="110">
        <f>IF(TAB_HISTORICO_MANUT[[#This Row],[EXPURGO Filhas]]="SIM",MAX(TAB_HISTORICO_MANUT[[#This Row],[Hora Final]]-TAB_HISTORICO_MANUT[[#This Row],[Hora Inicio]],0),0)</f>
        <v>0</v>
      </c>
      <c r="W84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4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46" s="117">
        <v>46114.898136574076</v>
      </c>
      <c r="Z846" s="118">
        <v>46114.93613425926</v>
      </c>
      <c r="AA846" s="119" t="s">
        <v>228</v>
      </c>
      <c r="AB846" s="119"/>
      <c r="AC846" s="115" t="s">
        <v>205</v>
      </c>
      <c r="AD846" s="117" t="s">
        <v>145</v>
      </c>
      <c r="AE846" s="117" t="s">
        <v>173</v>
      </c>
      <c r="AF846" s="88" t="s">
        <v>210</v>
      </c>
      <c r="AG846" s="123">
        <f>IF(TAB_HISTORICO_MANUT[[#This Row],[Hora Inicio]]="","",MONTH(TAB_HISTORICO_MANUT[[#This Row],[Hora Inicio]]))</f>
        <v>4</v>
      </c>
      <c r="AH846" s="120" t="s">
        <v>326</v>
      </c>
      <c r="AI846" s="115" t="s">
        <v>21</v>
      </c>
      <c r="AJ846" s="115" t="s">
        <v>21</v>
      </c>
      <c r="AK846" s="115" t="s">
        <v>21</v>
      </c>
      <c r="AL846" s="115" t="s">
        <v>21</v>
      </c>
      <c r="AM846" s="121" t="s">
        <v>21</v>
      </c>
      <c r="AN846" s="115"/>
      <c r="AO846" s="115"/>
      <c r="AP846" s="115"/>
    </row>
    <row r="847" spans="1:42" ht="50.1" customHeight="1" x14ac:dyDescent="0.25">
      <c r="A847" s="43">
        <f>MONTH(TAB_HISTORICO_MANUT[[#This Row],[Hora Final]])-MONTH(TAB_HISTORICO_MANUT[[#This Row],[Hora Inicio]])</f>
        <v>0</v>
      </c>
      <c r="B847" s="42"/>
      <c r="C847" s="43"/>
      <c r="D847" s="42"/>
      <c r="E847" s="42"/>
      <c r="F847" s="42"/>
      <c r="G847" s="42"/>
      <c r="H847" s="42"/>
      <c r="I847" s="42"/>
      <c r="J847" s="42"/>
      <c r="K847" s="42"/>
      <c r="L847" s="42"/>
      <c r="M847" s="42" t="s">
        <v>98</v>
      </c>
      <c r="N847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Inicio]]=Z846,TAB_HISTORICO_MANUT[[#This Row],[Equipamento]]=AA846,TAB_HISTORICO_MANUT[[#This Row],[Descricao Despacho]]=AD846),0,1)))</f>
        <v/>
      </c>
      <c r="O84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47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4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47" s="50" t="str">
        <f>IF($Q847="","",(TAB_HISTORICO_MANUT[[#This Row],[Hora Final]]-TAB_HISTORICO_MANUT[[#This Row],[Hora Inicio]])*24)</f>
        <v/>
      </c>
      <c r="S84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47" s="54" t="str">
        <f>IF(AND(TAB_HISTORICO_MANUT[[#This Row],[EXPURGO Mãe]]="SIM",TAB_HISTORICO_MANUT[[#This Row],[Tipo]]="MÃE"),"EXP.MAE",IF(TAB_HISTORICO_MANUT[[#This Row],[EXPURGO Mãe]]="NÃO","NÃO EXP.MAE",T846))</f>
        <v>NÃO EXP.MAE</v>
      </c>
      <c r="U84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47" s="56">
        <f>IF(TAB_HISTORICO_MANUT[[#This Row],[EXPURGO Filhas]]="SIM",MAX(TAB_HISTORICO_MANUT[[#This Row],[Hora Final]]-TAB_HISTORICO_MANUT[[#This Row],[Hora Inicio]],0),0)</f>
        <v>1.4735502314579207E-2</v>
      </c>
      <c r="W84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4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47" s="46">
        <v>46114.921398756946</v>
      </c>
      <c r="Z847" s="47">
        <v>46114.93613425926</v>
      </c>
      <c r="AA847" s="48" t="s">
        <v>228</v>
      </c>
      <c r="AB847" s="48"/>
      <c r="AC847" s="43" t="s">
        <v>205</v>
      </c>
      <c r="AD847" s="46" t="s">
        <v>145</v>
      </c>
      <c r="AE847" s="46" t="s">
        <v>173</v>
      </c>
      <c r="AF847" s="88" t="s">
        <v>767</v>
      </c>
      <c r="AG847" s="105">
        <f>IF(TAB_HISTORICO_MANUT[[#This Row],[Hora Inicio]]="","",MONTH(TAB_HISTORICO_MANUT[[#This Row],[Hora Inicio]]))</f>
        <v>4</v>
      </c>
      <c r="AH847" s="58" t="s">
        <v>326</v>
      </c>
      <c r="AI847" s="115" t="s">
        <v>21</v>
      </c>
      <c r="AJ847" s="115" t="s">
        <v>21</v>
      </c>
      <c r="AK847" s="43" t="s">
        <v>21</v>
      </c>
      <c r="AL847" s="43" t="s">
        <v>21</v>
      </c>
      <c r="AM847" s="114" t="s">
        <v>21</v>
      </c>
      <c r="AN847" s="43"/>
      <c r="AO847" s="43"/>
      <c r="AP847" s="43"/>
    </row>
    <row r="848" spans="1:42" ht="50.1" customHeight="1" x14ac:dyDescent="0.25">
      <c r="A848" s="115">
        <f>MONTH(TAB_HISTORICO_MANUT[[#This Row],[Hora Final]])-MONTH(TAB_HISTORICO_MANUT[[#This Row],[Hora Inicio]])</f>
        <v>0</v>
      </c>
      <c r="B848" s="116"/>
      <c r="C848" s="115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Inicio]]=Z847,TAB_HISTORICO_MANUT[[#This Row],[Equipamento]]=AA847,TAB_HISTORICO_MANUT[[#This Row],[Descricao Despacho]]=AD847),0,1)))</f>
        <v>1</v>
      </c>
      <c r="O84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ELEVAÇÃO</v>
      </c>
      <c r="P84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4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848" s="107">
        <f>IF($Q848="","",(TAB_HISTORICO_MANUT[[#This Row],[Hora Final]]-TAB_HISTORICO_MANUT[[#This Row],[Hora Inicio]])*24)</f>
        <v>37.603333333390765</v>
      </c>
      <c r="S84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48" s="109" t="str">
        <f>IF(AND(TAB_HISTORICO_MANUT[[#This Row],[EXPURGO Mãe]]="SIM",TAB_HISTORICO_MANUT[[#This Row],[Tipo]]="MÃE"),"EXP.MAE",IF(TAB_HISTORICO_MANUT[[#This Row],[EXPURGO Mãe]]="NÃO","NÃO EXP.MAE",T847))</f>
        <v>NÃO EXP.MAE</v>
      </c>
      <c r="U84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48" s="110">
        <f>IF(TAB_HISTORICO_MANUT[[#This Row],[EXPURGO Filhas]]="SIM",MAX(TAB_HISTORICO_MANUT[[#This Row],[Hora Final]]-TAB_HISTORICO_MANUT[[#This Row],[Hora Inicio]],0),0)</f>
        <v>0</v>
      </c>
      <c r="W84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4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48" s="117">
        <v>46117.55872685185</v>
      </c>
      <c r="Z848" s="118">
        <v>46119.125532407408</v>
      </c>
      <c r="AA848" s="119" t="s">
        <v>228</v>
      </c>
      <c r="AB848" s="119"/>
      <c r="AC848" s="115" t="s">
        <v>204</v>
      </c>
      <c r="AD848" s="117" t="s">
        <v>144</v>
      </c>
      <c r="AE848" s="117" t="s">
        <v>172</v>
      </c>
      <c r="AF848" s="88" t="s">
        <v>210</v>
      </c>
      <c r="AG848" s="123">
        <f>IF(TAB_HISTORICO_MANUT[[#This Row],[Hora Inicio]]="","",MONTH(TAB_HISTORICO_MANUT[[#This Row],[Hora Inicio]]))</f>
        <v>4</v>
      </c>
      <c r="AH848" s="120" t="s">
        <v>836</v>
      </c>
      <c r="AI848" s="115" t="s">
        <v>44</v>
      </c>
      <c r="AJ848" s="115" t="s">
        <v>149</v>
      </c>
      <c r="AK848" s="115" t="s">
        <v>846</v>
      </c>
      <c r="AL848" s="115" t="s">
        <v>297</v>
      </c>
      <c r="AM848" s="121" t="s">
        <v>283</v>
      </c>
      <c r="AN848" s="115"/>
      <c r="AO848" s="115"/>
      <c r="AP848" s="115"/>
    </row>
    <row r="849" spans="1:42" ht="50.1" customHeight="1" x14ac:dyDescent="0.25">
      <c r="A849" s="43">
        <f>MONTH(TAB_HISTORICO_MANUT[[#This Row],[Hora Final]])-MONTH(TAB_HISTORICO_MANUT[[#This Row],[Hora Inicio]])</f>
        <v>0</v>
      </c>
      <c r="B849" s="42"/>
      <c r="C849" s="43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Inicio]]=Z848,TAB_HISTORICO_MANUT[[#This Row],[Equipamento]]=AA848,TAB_HISTORICO_MANUT[[#This Row],[Descricao Despacho]]=AD848),0,1)))</f>
        <v/>
      </c>
      <c r="O84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49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4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49" s="50" t="str">
        <f>IF($Q849="","",(TAB_HISTORICO_MANUT[[#This Row],[Hora Final]]-TAB_HISTORICO_MANUT[[#This Row],[Hora Inicio]])*24)</f>
        <v/>
      </c>
      <c r="S84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49" s="54" t="str">
        <f>IF(AND(TAB_HISTORICO_MANUT[[#This Row],[EXPURGO Mãe]]="SIM",TAB_HISTORICO_MANUT[[#This Row],[Tipo]]="MÃE"),"EXP.MAE",IF(TAB_HISTORICO_MANUT[[#This Row],[EXPURGO Mãe]]="NÃO","NÃO EXP.MAE",T848))</f>
        <v>NÃO EXP.MAE</v>
      </c>
      <c r="U84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49" s="56">
        <f>IF(TAB_HISTORICO_MANUT[[#This Row],[EXPURGO Filhas]]="SIM",MAX(TAB_HISTORICO_MANUT[[#This Row],[Hora Final]]-TAB_HISTORICO_MANUT[[#This Row],[Hora Inicio]],0),0)</f>
        <v>8.3634259259270038E-2</v>
      </c>
      <c r="W84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4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49" s="46">
        <v>46117.55872685185</v>
      </c>
      <c r="Z849" s="47">
        <v>46117.642361111109</v>
      </c>
      <c r="AA849" s="48" t="s">
        <v>228</v>
      </c>
      <c r="AB849" s="48"/>
      <c r="AC849" s="43" t="s">
        <v>204</v>
      </c>
      <c r="AD849" s="46" t="s">
        <v>144</v>
      </c>
      <c r="AE849" s="46" t="s">
        <v>784</v>
      </c>
      <c r="AF849" s="88" t="s">
        <v>767</v>
      </c>
      <c r="AG849" s="105">
        <f>IF(TAB_HISTORICO_MANUT[[#This Row],[Hora Inicio]]="","",MONTH(TAB_HISTORICO_MANUT[[#This Row],[Hora Inicio]]))</f>
        <v>4</v>
      </c>
      <c r="AH849" s="58" t="s">
        <v>1105</v>
      </c>
      <c r="AI849" s="43" t="s">
        <v>44</v>
      </c>
      <c r="AJ849" s="43" t="s">
        <v>149</v>
      </c>
      <c r="AK849" s="43" t="s">
        <v>846</v>
      </c>
      <c r="AL849" s="43" t="s">
        <v>297</v>
      </c>
      <c r="AM849" s="43" t="s">
        <v>283</v>
      </c>
      <c r="AN849" s="43"/>
      <c r="AO849" s="43"/>
      <c r="AP849" s="43"/>
    </row>
    <row r="850" spans="1:42" ht="50.1" customHeight="1" x14ac:dyDescent="0.25">
      <c r="A850" s="43">
        <f>MONTH(TAB_HISTORICO_MANUT[[#This Row],[Hora Final]])-MONTH(TAB_HISTORICO_MANUT[[#This Row],[Hora Inicio]])</f>
        <v>0</v>
      </c>
      <c r="B850" s="42"/>
      <c r="C850" s="43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Inicio]]=Z849,TAB_HISTORICO_MANUT[[#This Row],[Equipamento]]=AA849,TAB_HISTORICO_MANUT[[#This Row],[Descricao Despacho]]=AD849),0,1)))</f>
        <v/>
      </c>
      <c r="O85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50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5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50" s="50" t="str">
        <f>IF($Q850="","",(TAB_HISTORICO_MANUT[[#This Row],[Hora Final]]-TAB_HISTORICO_MANUT[[#This Row],[Hora Inicio]])*24)</f>
        <v/>
      </c>
      <c r="S85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50" s="54" t="str">
        <f>IF(AND(TAB_HISTORICO_MANUT[[#This Row],[EXPURGO Mãe]]="SIM",TAB_HISTORICO_MANUT[[#This Row],[Tipo]]="MÃE"),"EXP.MAE",IF(TAB_HISTORICO_MANUT[[#This Row],[EXPURGO Mãe]]="NÃO","NÃO EXP.MAE",T849))</f>
        <v>NÃO EXP.MAE</v>
      </c>
      <c r="U85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50" s="56">
        <f>IF(TAB_HISTORICO_MANUT[[#This Row],[EXPURGO Filhas]]="SIM",MAX(TAB_HISTORICO_MANUT[[#This Row],[Hora Final]]-TAB_HISTORICO_MANUT[[#This Row],[Hora Inicio]],0),0)</f>
        <v>2.9861111106583849E-2</v>
      </c>
      <c r="W85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5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50" s="46">
        <v>46117.978472222225</v>
      </c>
      <c r="Z850" s="47">
        <v>46118.008333333331</v>
      </c>
      <c r="AA850" s="48" t="s">
        <v>228</v>
      </c>
      <c r="AB850" s="48"/>
      <c r="AC850" s="43" t="s">
        <v>204</v>
      </c>
      <c r="AD850" s="46" t="s">
        <v>144</v>
      </c>
      <c r="AE850" s="46" t="s">
        <v>231</v>
      </c>
      <c r="AF850" s="88" t="s">
        <v>767</v>
      </c>
      <c r="AG850" s="105">
        <f>IF(TAB_HISTORICO_MANUT[[#This Row],[Hora Inicio]]="","",MONTH(TAB_HISTORICO_MANUT[[#This Row],[Hora Inicio]]))</f>
        <v>4</v>
      </c>
      <c r="AH850" s="58" t="s">
        <v>1070</v>
      </c>
      <c r="AI850" s="43" t="s">
        <v>44</v>
      </c>
      <c r="AJ850" s="43" t="s">
        <v>149</v>
      </c>
      <c r="AK850" s="43" t="s">
        <v>846</v>
      </c>
      <c r="AL850" s="43" t="s">
        <v>297</v>
      </c>
      <c r="AM850" s="114" t="s">
        <v>283</v>
      </c>
      <c r="AN850" s="43"/>
      <c r="AO850" s="43"/>
      <c r="AP850" s="43"/>
    </row>
    <row r="851" spans="1:42" ht="50.1" customHeight="1" x14ac:dyDescent="0.25">
      <c r="A851" s="115">
        <f>MONTH(TAB_HISTORICO_MANUT[[#This Row],[Hora Final]])-MONTH(TAB_HISTORICO_MANUT[[#This Row],[Hora Inicio]])</f>
        <v>0</v>
      </c>
      <c r="B851" s="116"/>
      <c r="C851" s="115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Inicio]]=Z850,TAB_HISTORICO_MANUT[[#This Row],[Equipamento]]=AA850,TAB_HISTORICO_MANUT[[#This Row],[Descricao Despacho]]=AD850),0,1)))</f>
        <v>1</v>
      </c>
      <c r="O85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85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85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851" s="107">
        <f>IF($Q851="","",(TAB_HISTORICO_MANUT[[#This Row],[Hora Final]]-TAB_HISTORICO_MANUT[[#This Row],[Hora Inicio]])*24)</f>
        <v>68.641111111035571</v>
      </c>
      <c r="S85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51" s="109" t="str">
        <f>IF(AND(TAB_HISTORICO_MANUT[[#This Row],[EXPURGO Mãe]]="SIM",TAB_HISTORICO_MANUT[[#This Row],[Tipo]]="MÃE"),"EXP.MAE",IF(TAB_HISTORICO_MANUT[[#This Row],[EXPURGO Mãe]]="NÃO","NÃO EXP.MAE",T850))</f>
        <v>NÃO EXP.MAE</v>
      </c>
      <c r="U85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51" s="110">
        <f>IF(TAB_HISTORICO_MANUT[[#This Row],[EXPURGO Filhas]]="SIM",MAX(TAB_HISTORICO_MANUT[[#This Row],[Hora Final]]-TAB_HISTORICO_MANUT[[#This Row],[Hora Inicio]],0),0)</f>
        <v>0</v>
      </c>
      <c r="W85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5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51" s="117">
        <v>46119.126157407409</v>
      </c>
      <c r="Z851" s="118">
        <v>46121.986203703702</v>
      </c>
      <c r="AA851" s="119" t="s">
        <v>228</v>
      </c>
      <c r="AB851" s="119"/>
      <c r="AC851" s="115" t="s">
        <v>301</v>
      </c>
      <c r="AD851" s="117" t="s">
        <v>146</v>
      </c>
      <c r="AE851" s="117" t="s">
        <v>310</v>
      </c>
      <c r="AF851" s="122" t="s">
        <v>210</v>
      </c>
      <c r="AG851" s="123">
        <f>IF(TAB_HISTORICO_MANUT[[#This Row],[Hora Inicio]]="","",MONTH(TAB_HISTORICO_MANUT[[#This Row],[Hora Inicio]]))</f>
        <v>4</v>
      </c>
      <c r="AH851" s="120" t="s">
        <v>851</v>
      </c>
      <c r="AI851" s="115" t="s">
        <v>340</v>
      </c>
      <c r="AJ851" s="115" t="s">
        <v>341</v>
      </c>
      <c r="AK851" s="115"/>
      <c r="AL851" s="115"/>
      <c r="AM851" s="121"/>
      <c r="AN851" s="115"/>
      <c r="AO851" s="115"/>
      <c r="AP851" s="115"/>
    </row>
    <row r="852" spans="1:42" ht="50.1" customHeight="1" x14ac:dyDescent="0.25">
      <c r="A852" s="115">
        <f>MONTH(TAB_HISTORICO_MANUT[[#This Row],[Hora Final]])-MONTH(TAB_HISTORICO_MANUT[[#This Row],[Hora Inicio]])</f>
        <v>0</v>
      </c>
      <c r="B852" s="116"/>
      <c r="C852" s="115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 t="s">
        <v>99</v>
      </c>
      <c r="N85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Inicio]]=Z851,TAB_HISTORICO_MANUT[[#This Row],[Equipamento]]=AA851,TAB_HISTORICO_MANUT[[#This Row],[Descricao Despacho]]=AD851),0,1)))</f>
        <v>1</v>
      </c>
      <c r="O85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85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85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852" s="107">
        <f>IF($Q852="","",(TAB_HISTORICO_MANUT[[#This Row],[Hora Final]]-TAB_HISTORICO_MANUT[[#This Row],[Hora Inicio]])*24)</f>
        <v>0.33972222218289971</v>
      </c>
      <c r="S85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52" s="109" t="str">
        <f>IF(AND(TAB_HISTORICO_MANUT[[#This Row],[EXPURGO Mãe]]="SIM",TAB_HISTORICO_MANUT[[#This Row],[Tipo]]="MÃE"),"EXP.MAE",IF(TAB_HISTORICO_MANUT[[#This Row],[EXPURGO Mãe]]="NÃO","NÃO EXP.MAE",T851))</f>
        <v>NÃO EXP.MAE</v>
      </c>
      <c r="U85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52" s="110">
        <f>IF(TAB_HISTORICO_MANUT[[#This Row],[EXPURGO Filhas]]="SIM",MAX(TAB_HISTORICO_MANUT[[#This Row],[Hora Final]]-TAB_HISTORICO_MANUT[[#This Row],[Hora Inicio]],0),0)</f>
        <v>0</v>
      </c>
      <c r="W85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5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52" s="117">
        <v>46122.064444444448</v>
      </c>
      <c r="Z852" s="118">
        <v>46122.078599537039</v>
      </c>
      <c r="AA852" s="119" t="s">
        <v>228</v>
      </c>
      <c r="AB852" s="119"/>
      <c r="AC852" s="115" t="s">
        <v>524</v>
      </c>
      <c r="AD852" s="117" t="s">
        <v>145</v>
      </c>
      <c r="AE852" s="117" t="s">
        <v>180</v>
      </c>
      <c r="AF852" s="122" t="s">
        <v>210</v>
      </c>
      <c r="AG852" s="123">
        <f>IF(TAB_HISTORICO_MANUT[[#This Row],[Hora Inicio]]="","",MONTH(TAB_HISTORICO_MANUT[[#This Row],[Hora Inicio]]))</f>
        <v>4</v>
      </c>
      <c r="AH852" s="120"/>
      <c r="AI852" s="115" t="s">
        <v>21</v>
      </c>
      <c r="AJ852" s="115" t="s">
        <v>21</v>
      </c>
      <c r="AK852" s="115" t="s">
        <v>21</v>
      </c>
      <c r="AL852" s="115" t="s">
        <v>21</v>
      </c>
      <c r="AM852" s="121" t="s">
        <v>21</v>
      </c>
      <c r="AN852" s="115"/>
      <c r="AO852" s="115"/>
      <c r="AP852" s="115"/>
    </row>
    <row r="853" spans="1:42" ht="50.1" customHeight="1" x14ac:dyDescent="0.25">
      <c r="A853" s="115">
        <f>MONTH(TAB_HISTORICO_MANUT[[#This Row],[Hora Final]])-MONTH(TAB_HISTORICO_MANUT[[#This Row],[Hora Inicio]])</f>
        <v>0</v>
      </c>
      <c r="B853" s="116"/>
      <c r="C853" s="115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Inicio]]=Z852,TAB_HISTORICO_MANUT[[#This Row],[Equipamento]]=AA852,TAB_HISTORICO_MANUT[[#This Row],[Descricao Despacho]]=AD852),0,1)))</f>
        <v>0</v>
      </c>
      <c r="O85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85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85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853" s="107">
        <f>IF($Q853="","",(TAB_HISTORICO_MANUT[[#This Row],[Hora Final]]-TAB_HISTORICO_MANUT[[#This Row],[Hora Inicio]])*24)</f>
        <v>1.3088888889178634</v>
      </c>
      <c r="S85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53" s="109" t="str">
        <f>IF(AND(TAB_HISTORICO_MANUT[[#This Row],[EXPURGO Mãe]]="SIM",TAB_HISTORICO_MANUT[[#This Row],[Tipo]]="MÃE"),"EXP.MAE",IF(TAB_HISTORICO_MANUT[[#This Row],[EXPURGO Mãe]]="NÃO","NÃO EXP.MAE",T852))</f>
        <v>NÃO EXP.MAE</v>
      </c>
      <c r="U85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53" s="110">
        <f>IF(TAB_HISTORICO_MANUT[[#This Row],[EXPURGO Filhas]]="SIM",MAX(TAB_HISTORICO_MANUT[[#This Row],[Hora Final]]-TAB_HISTORICO_MANUT[[#This Row],[Hora Inicio]],0),0)</f>
        <v>0</v>
      </c>
      <c r="W85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5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53" s="117">
        <v>46122.078599537039</v>
      </c>
      <c r="Z853" s="118">
        <v>46122.133136574077</v>
      </c>
      <c r="AA853" s="119" t="s">
        <v>228</v>
      </c>
      <c r="AB853" s="119"/>
      <c r="AC853" s="115" t="s">
        <v>205</v>
      </c>
      <c r="AD853" s="117" t="s">
        <v>145</v>
      </c>
      <c r="AE853" s="117" t="s">
        <v>173</v>
      </c>
      <c r="AF853" s="122" t="s">
        <v>210</v>
      </c>
      <c r="AG853" s="123">
        <f>IF(TAB_HISTORICO_MANUT[[#This Row],[Hora Inicio]]="","",MONTH(TAB_HISTORICO_MANUT[[#This Row],[Hora Inicio]]))</f>
        <v>4</v>
      </c>
      <c r="AH853" s="120"/>
      <c r="AI853" s="115" t="s">
        <v>21</v>
      </c>
      <c r="AJ853" s="115" t="s">
        <v>21</v>
      </c>
      <c r="AK853" s="115" t="s">
        <v>21</v>
      </c>
      <c r="AL853" s="115" t="s">
        <v>21</v>
      </c>
      <c r="AM853" s="121" t="s">
        <v>21</v>
      </c>
      <c r="AN853" s="115"/>
      <c r="AO853" s="115"/>
      <c r="AP853" s="115"/>
    </row>
    <row r="854" spans="1:42" ht="50.1" customHeight="1" x14ac:dyDescent="0.25">
      <c r="A854" s="115">
        <f>MONTH(TAB_HISTORICO_MANUT[[#This Row],[Hora Final]])-MONTH(TAB_HISTORICO_MANUT[[#This Row],[Hora Inicio]])</f>
        <v>0</v>
      </c>
      <c r="B854" s="116"/>
      <c r="C854" s="115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 t="s">
        <v>98</v>
      </c>
      <c r="N854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Inicio]]=Z853,TAB_HISTORICO_MANUT[[#This Row],[Equipamento]]=AA853,TAB_HISTORICO_MANUT[[#This Row],[Descricao Despacho]]=AD853),0,1)))</f>
        <v/>
      </c>
      <c r="O85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54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5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54" s="107" t="str">
        <f>IF($Q854="","",(TAB_HISTORICO_MANUT[[#This Row],[Hora Final]]-TAB_HISTORICO_MANUT[[#This Row],[Hora Inicio]])*24)</f>
        <v/>
      </c>
      <c r="S85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54" s="109" t="str">
        <f>IF(AND(TAB_HISTORICO_MANUT[[#This Row],[EXPURGO Mãe]]="SIM",TAB_HISTORICO_MANUT[[#This Row],[Tipo]]="MÃE"),"EXP.MAE",IF(TAB_HISTORICO_MANUT[[#This Row],[EXPURGO Mãe]]="NÃO","NÃO EXP.MAE",T853))</f>
        <v>NÃO EXP.MAE</v>
      </c>
      <c r="U85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54" s="110">
        <f>IF(TAB_HISTORICO_MANUT[[#This Row],[EXPURGO Filhas]]="SIM",MAX(TAB_HISTORICO_MANUT[[#This Row],[Hora Final]]-TAB_HISTORICO_MANUT[[#This Row],[Hora Inicio]],0),0)</f>
        <v>2.1149462962057441E-2</v>
      </c>
      <c r="W85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5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54" s="117">
        <v>46122.111987111115</v>
      </c>
      <c r="Z854" s="118">
        <v>46122.133136574077</v>
      </c>
      <c r="AA854" s="119" t="s">
        <v>228</v>
      </c>
      <c r="AB854" s="119"/>
      <c r="AC854" s="115" t="s">
        <v>205</v>
      </c>
      <c r="AD854" s="117" t="s">
        <v>145</v>
      </c>
      <c r="AE854" s="117" t="s">
        <v>173</v>
      </c>
      <c r="AF854" s="122" t="s">
        <v>767</v>
      </c>
      <c r="AG854" s="123">
        <f>IF(TAB_HISTORICO_MANUT[[#This Row],[Hora Inicio]]="","",MONTH(TAB_HISTORICO_MANUT[[#This Row],[Hora Inicio]]))</f>
        <v>4</v>
      </c>
      <c r="AH854" s="120"/>
      <c r="AI854" s="115" t="s">
        <v>21</v>
      </c>
      <c r="AJ854" s="115" t="s">
        <v>21</v>
      </c>
      <c r="AK854" s="115" t="s">
        <v>21</v>
      </c>
      <c r="AL854" s="115" t="s">
        <v>21</v>
      </c>
      <c r="AM854" s="121" t="s">
        <v>21</v>
      </c>
      <c r="AN854" s="115"/>
      <c r="AO854" s="115"/>
      <c r="AP854" s="115"/>
    </row>
    <row r="855" spans="1:42" ht="50.1" customHeight="1" x14ac:dyDescent="0.25">
      <c r="A855" s="43">
        <f>MONTH(TAB_HISTORICO_MANUT[[#This Row],[Hora Final]])-MONTH(TAB_HISTORICO_MANUT[[#This Row],[Hora Inicio]])</f>
        <v>0</v>
      </c>
      <c r="B855" s="42"/>
      <c r="C855" s="43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Inicio]]=Z854,TAB_HISTORICO_MANUT[[#This Row],[Equipamento]]=AA854,TAB_HISTORICO_MANUT[[#This Row],[Descricao Despacho]]=AD854),0,1)))</f>
        <v>1</v>
      </c>
      <c r="O85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855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5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855" s="50">
        <f>IF($Q855="","",(TAB_HISTORICO_MANUT[[#This Row],[Hora Final]]-TAB_HISTORICO_MANUT[[#This Row],[Hora Inicio]])*24)</f>
        <v>2.9163888889015652</v>
      </c>
      <c r="S85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855" s="54" t="str">
        <f>IF(AND(TAB_HISTORICO_MANUT[[#This Row],[EXPURGO Mãe]]="SIM",TAB_HISTORICO_MANUT[[#This Row],[Tipo]]="MÃE"),"EXP.MAE",IF(TAB_HISTORICO_MANUT[[#This Row],[EXPURGO Mãe]]="NÃO","NÃO EXP.MAE",T854))</f>
        <v>EXP.MAE</v>
      </c>
      <c r="U85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55" s="56">
        <f>IF(TAB_HISTORICO_MANUT[[#This Row],[EXPURGO Filhas]]="SIM",MAX(TAB_HISTORICO_MANUT[[#This Row],[Hora Final]]-TAB_HISTORICO_MANUT[[#This Row],[Hora Inicio]],0),0)</f>
        <v>0</v>
      </c>
      <c r="W85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5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55" s="46">
        <v>46122.212488425925</v>
      </c>
      <c r="Z855" s="47">
        <v>46122.334004629629</v>
      </c>
      <c r="AA855" s="48" t="s">
        <v>228</v>
      </c>
      <c r="AB855" s="48" t="s">
        <v>852</v>
      </c>
      <c r="AC855" s="43" t="s">
        <v>212</v>
      </c>
      <c r="AD855" s="46" t="s">
        <v>144</v>
      </c>
      <c r="AE855" s="46" t="s">
        <v>214</v>
      </c>
      <c r="AF855" s="88" t="s">
        <v>210</v>
      </c>
      <c r="AG855" s="105">
        <f>IF(TAB_HISTORICO_MANUT[[#This Row],[Hora Inicio]]="","",MONTH(TAB_HISTORICO_MANUT[[#This Row],[Hora Inicio]]))</f>
        <v>4</v>
      </c>
      <c r="AH855" s="58" t="s">
        <v>856</v>
      </c>
      <c r="AI855" s="43" t="s">
        <v>82</v>
      </c>
      <c r="AJ855" s="43" t="s">
        <v>82</v>
      </c>
      <c r="AK855" s="43" t="s">
        <v>82</v>
      </c>
      <c r="AL855" s="43" t="s">
        <v>334</v>
      </c>
      <c r="AM855" s="114"/>
      <c r="AN855" s="43" t="s">
        <v>241</v>
      </c>
      <c r="AO855" s="43" t="s">
        <v>320</v>
      </c>
      <c r="AP855" s="43" t="s">
        <v>321</v>
      </c>
    </row>
    <row r="856" spans="1:42" ht="50.1" customHeight="1" x14ac:dyDescent="0.25">
      <c r="A856" s="115">
        <f>MONTH(TAB_HISTORICO_MANUT[[#This Row],[Hora Final]])-MONTH(TAB_HISTORICO_MANUT[[#This Row],[Hora Inicio]])</f>
        <v>0</v>
      </c>
      <c r="B856" s="116"/>
      <c r="C856" s="115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Inicio]]=Z855,TAB_HISTORICO_MANUT[[#This Row],[Equipamento]]=AA855,TAB_HISTORICO_MANUT[[#This Row],[Descricao Despacho]]=AD855),0,1)))</f>
        <v>1</v>
      </c>
      <c r="O85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85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5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856" s="107">
        <f>IF($Q856="","",(TAB_HISTORICO_MANUT[[#This Row],[Hora Final]]-TAB_HISTORICO_MANUT[[#This Row],[Hora Inicio]])*24)</f>
        <v>1.6505555554758757</v>
      </c>
      <c r="S85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856" s="109" t="str">
        <f>IF(AND(TAB_HISTORICO_MANUT[[#This Row],[EXPURGO Mãe]]="SIM",TAB_HISTORICO_MANUT[[#This Row],[Tipo]]="MÃE"),"EXP.MAE",IF(TAB_HISTORICO_MANUT[[#This Row],[EXPURGO Mãe]]="NÃO","NÃO EXP.MAE",T855))</f>
        <v>EXP.MAE</v>
      </c>
      <c r="U85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56" s="110">
        <f>IF(TAB_HISTORICO_MANUT[[#This Row],[EXPURGO Filhas]]="SIM",MAX(TAB_HISTORICO_MANUT[[#This Row],[Hora Final]]-TAB_HISTORICO_MANUT[[#This Row],[Hora Inicio]],0),0)</f>
        <v>0</v>
      </c>
      <c r="W85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5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56" s="117">
        <v>46122.382384259261</v>
      </c>
      <c r="Z856" s="118">
        <v>46122.451157407406</v>
      </c>
      <c r="AA856" s="119" t="s">
        <v>228</v>
      </c>
      <c r="AB856" s="119" t="s">
        <v>852</v>
      </c>
      <c r="AC856" s="115" t="s">
        <v>212</v>
      </c>
      <c r="AD856" s="117" t="s">
        <v>144</v>
      </c>
      <c r="AE856" s="117" t="s">
        <v>214</v>
      </c>
      <c r="AF856" s="122" t="s">
        <v>210</v>
      </c>
      <c r="AG856" s="123">
        <f>IF(TAB_HISTORICO_MANUT[[#This Row],[Hora Inicio]]="","",MONTH(TAB_HISTORICO_MANUT[[#This Row],[Hora Inicio]]))</f>
        <v>4</v>
      </c>
      <c r="AH856" s="120" t="s">
        <v>857</v>
      </c>
      <c r="AI856" s="115" t="s">
        <v>82</v>
      </c>
      <c r="AJ856" s="115" t="s">
        <v>82</v>
      </c>
      <c r="AK856" s="115" t="s">
        <v>290</v>
      </c>
      <c r="AL856" s="115" t="s">
        <v>275</v>
      </c>
      <c r="AM856" s="121" t="s">
        <v>276</v>
      </c>
      <c r="AN856" s="115" t="s">
        <v>241</v>
      </c>
      <c r="AO856" s="115" t="s">
        <v>320</v>
      </c>
      <c r="AP856" s="115" t="s">
        <v>321</v>
      </c>
    </row>
    <row r="857" spans="1:42" ht="50.1" customHeight="1" x14ac:dyDescent="0.25">
      <c r="A857" s="43">
        <f>MONTH(TAB_HISTORICO_MANUT[[#This Row],[Hora Final]])-MONTH(TAB_HISTORICO_MANUT[[#This Row],[Hora Inicio]])</f>
        <v>0</v>
      </c>
      <c r="B857" s="42"/>
      <c r="C857" s="43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Inicio]]=Z856,TAB_HISTORICO_MANUT[[#This Row],[Equipamento]]=AA856,TAB_HISTORICO_MANUT[[#This Row],[Descricao Despacho]]=AD856),0,1)))</f>
        <v>1</v>
      </c>
      <c r="O85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COMBATE INCENDIO</v>
      </c>
      <c r="P857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5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857" s="50">
        <f>IF($Q857="","",(TAB_HISTORICO_MANUT[[#This Row],[Hora Final]]-TAB_HISTORICO_MANUT[[#This Row],[Hora Inicio]])*24)</f>
        <v>4.4883333334000781</v>
      </c>
      <c r="S85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857" s="54" t="str">
        <f>IF(AND(TAB_HISTORICO_MANUT[[#This Row],[EXPURGO Mãe]]="SIM",TAB_HISTORICO_MANUT[[#This Row],[Tipo]]="MÃE"),"EXP.MAE",IF(TAB_HISTORICO_MANUT[[#This Row],[EXPURGO Mãe]]="NÃO","NÃO EXP.MAE",T856))</f>
        <v>EXP.MAE</v>
      </c>
      <c r="U85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57" s="56">
        <f>IF(TAB_HISTORICO_MANUT[[#This Row],[EXPURGO Filhas]]="SIM",MAX(TAB_HISTORICO_MANUT[[#This Row],[Hora Final]]-TAB_HISTORICO_MANUT[[#This Row],[Hora Inicio]],0),0)</f>
        <v>0</v>
      </c>
      <c r="W85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5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57" s="46">
        <v>46122.513715277775</v>
      </c>
      <c r="Z857" s="47">
        <v>46122.700729166667</v>
      </c>
      <c r="AA857" s="48" t="s">
        <v>228</v>
      </c>
      <c r="AB857" s="48" t="s">
        <v>853</v>
      </c>
      <c r="AC857" s="43" t="s">
        <v>212</v>
      </c>
      <c r="AD857" s="46" t="s">
        <v>144</v>
      </c>
      <c r="AE857" s="46" t="s">
        <v>214</v>
      </c>
      <c r="AF857" s="88" t="s">
        <v>210</v>
      </c>
      <c r="AG857" s="105">
        <f>IF(TAB_HISTORICO_MANUT[[#This Row],[Hora Inicio]]="","",MONTH(TAB_HISTORICO_MANUT[[#This Row],[Hora Inicio]]))</f>
        <v>4</v>
      </c>
      <c r="AH857" s="58" t="s">
        <v>858</v>
      </c>
      <c r="AI857" s="43" t="s">
        <v>152</v>
      </c>
      <c r="AJ857" s="43" t="s">
        <v>80</v>
      </c>
      <c r="AK857" s="43" t="s">
        <v>290</v>
      </c>
      <c r="AL857" s="43" t="s">
        <v>526</v>
      </c>
      <c r="AM857" s="114" t="s">
        <v>527</v>
      </c>
      <c r="AN857" s="43" t="s">
        <v>215</v>
      </c>
      <c r="AO857" s="43" t="s">
        <v>842</v>
      </c>
      <c r="AP857" s="43" t="s">
        <v>867</v>
      </c>
    </row>
    <row r="858" spans="1:42" ht="50.1" customHeight="1" x14ac:dyDescent="0.25">
      <c r="A858" s="115">
        <f>MONTH(TAB_HISTORICO_MANUT[[#This Row],[Hora Final]])-MONTH(TAB_HISTORICO_MANUT[[#This Row],[Hora Inicio]])</f>
        <v>0</v>
      </c>
      <c r="B858" s="116"/>
      <c r="C858" s="115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Inicio]]=Z857,TAB_HISTORICO_MANUT[[#This Row],[Equipamento]]=AA857,TAB_HISTORICO_MANUT[[#This Row],[Descricao Despacho]]=AD857),0,1)))</f>
        <v>1</v>
      </c>
      <c r="O85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85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5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858" s="107">
        <f>IF($Q858="","",(TAB_HISTORICO_MANUT[[#This Row],[Hora Final]]-TAB_HISTORICO_MANUT[[#This Row],[Hora Inicio]])*24)</f>
        <v>6.3188888888689689</v>
      </c>
      <c r="S85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58" s="109" t="str">
        <f>IF(AND(TAB_HISTORICO_MANUT[[#This Row],[EXPURGO Mãe]]="SIM",TAB_HISTORICO_MANUT[[#This Row],[Tipo]]="MÃE"),"EXP.MAE",IF(TAB_HISTORICO_MANUT[[#This Row],[EXPURGO Mãe]]="NÃO","NÃO EXP.MAE",T857))</f>
        <v>NÃO EXP.MAE</v>
      </c>
      <c r="U85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58" s="110">
        <f>IF(TAB_HISTORICO_MANUT[[#This Row],[EXPURGO Filhas]]="SIM",MAX(TAB_HISTORICO_MANUT[[#This Row],[Hora Final]]-TAB_HISTORICO_MANUT[[#This Row],[Hora Inicio]],0),0)</f>
        <v>0</v>
      </c>
      <c r="W85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5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58" s="117">
        <v>46123.27579861111</v>
      </c>
      <c r="Z858" s="118">
        <v>46123.539085648146</v>
      </c>
      <c r="AA858" s="119" t="s">
        <v>228</v>
      </c>
      <c r="AB858" s="119"/>
      <c r="AC858" s="115" t="s">
        <v>204</v>
      </c>
      <c r="AD858" s="117" t="s">
        <v>144</v>
      </c>
      <c r="AE858" s="117" t="s">
        <v>172</v>
      </c>
      <c r="AF858" s="122" t="s">
        <v>210</v>
      </c>
      <c r="AG858" s="123">
        <f>IF(TAB_HISTORICO_MANUT[[#This Row],[Hora Inicio]]="","",MONTH(TAB_HISTORICO_MANUT[[#This Row],[Hora Inicio]]))</f>
        <v>4</v>
      </c>
      <c r="AH858" s="120" t="s">
        <v>860</v>
      </c>
      <c r="AI858" s="115" t="s">
        <v>28</v>
      </c>
      <c r="AJ858" s="115" t="s">
        <v>61</v>
      </c>
      <c r="AK858" s="115" t="s">
        <v>876</v>
      </c>
      <c r="AL858" s="115" t="s">
        <v>540</v>
      </c>
      <c r="AM858" s="121" t="s">
        <v>877</v>
      </c>
      <c r="AN858" s="115"/>
      <c r="AO858" s="115"/>
      <c r="AP858" s="115"/>
    </row>
    <row r="859" spans="1:42" ht="50.1" customHeight="1" x14ac:dyDescent="0.25">
      <c r="A859" s="115">
        <f>MONTH(TAB_HISTORICO_MANUT[[#This Row],[Hora Final]])-MONTH(TAB_HISTORICO_MANUT[[#This Row],[Hora Inicio]])</f>
        <v>0</v>
      </c>
      <c r="B859" s="116"/>
      <c r="C859" s="115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 t="s">
        <v>99</v>
      </c>
      <c r="N859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Inicio]]=Z858,TAB_HISTORICO_MANUT[[#This Row],[Equipamento]]=AA858,TAB_HISTORICO_MANUT[[#This Row],[Descricao Despacho]]=AD858),0,1)))</f>
        <v/>
      </c>
      <c r="O85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59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5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59" s="107" t="str">
        <f>IF($Q859="","",(TAB_HISTORICO_MANUT[[#This Row],[Hora Final]]-TAB_HISTORICO_MANUT[[#This Row],[Hora Inicio]])*24)</f>
        <v/>
      </c>
      <c r="S85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59" s="109" t="str">
        <f>IF(AND(TAB_HISTORICO_MANUT[[#This Row],[EXPURGO Mãe]]="SIM",TAB_HISTORICO_MANUT[[#This Row],[Tipo]]="MÃE"),"EXP.MAE",IF(TAB_HISTORICO_MANUT[[#This Row],[EXPURGO Mãe]]="NÃO","NÃO EXP.MAE",T858))</f>
        <v>NÃO EXP.MAE</v>
      </c>
      <c r="U85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59" s="110">
        <f>IF(TAB_HISTORICO_MANUT[[#This Row],[EXPURGO Filhas]]="SIM",MAX(TAB_HISTORICO_MANUT[[#This Row],[Hora Final]]-TAB_HISTORICO_MANUT[[#This Row],[Hora Inicio]],0),0)</f>
        <v>0</v>
      </c>
      <c r="W85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5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59" s="117">
        <v>46123.320833333331</v>
      </c>
      <c r="Z859" s="118">
        <v>46123.414583333331</v>
      </c>
      <c r="AA859" s="119" t="s">
        <v>228</v>
      </c>
      <c r="AB859" s="119"/>
      <c r="AC859" s="115" t="s">
        <v>204</v>
      </c>
      <c r="AD859" s="117" t="s">
        <v>144</v>
      </c>
      <c r="AE859" s="117" t="s">
        <v>233</v>
      </c>
      <c r="AF859" s="122" t="s">
        <v>767</v>
      </c>
      <c r="AG859" s="123">
        <f>IF(TAB_HISTORICO_MANUT[[#This Row],[Hora Inicio]]="","",MONTH(TAB_HISTORICO_MANUT[[#This Row],[Hora Inicio]]))</f>
        <v>4</v>
      </c>
      <c r="AH859" s="120" t="s">
        <v>1069</v>
      </c>
      <c r="AI859" s="115" t="s">
        <v>28</v>
      </c>
      <c r="AJ859" s="115" t="s">
        <v>61</v>
      </c>
      <c r="AK859" s="115" t="s">
        <v>876</v>
      </c>
      <c r="AL859" s="115" t="s">
        <v>540</v>
      </c>
      <c r="AM859" s="121" t="s">
        <v>877</v>
      </c>
      <c r="AN859" s="115"/>
      <c r="AO859" s="115"/>
      <c r="AP859" s="115"/>
    </row>
    <row r="860" spans="1:42" ht="50.1" customHeight="1" x14ac:dyDescent="0.25">
      <c r="A860" s="43">
        <f>MONTH(TAB_HISTORICO_MANUT[[#This Row],[Hora Final]])-MONTH(TAB_HISTORICO_MANUT[[#This Row],[Hora Inicio]])</f>
        <v>0</v>
      </c>
      <c r="B860" s="42"/>
      <c r="C860" s="43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Inicio]]=Z859,TAB_HISTORICO_MANUT[[#This Row],[Equipamento]]=AA859,TAB_HISTORICO_MANUT[[#This Row],[Descricao Despacho]]=AD859),0,1)))</f>
        <v/>
      </c>
      <c r="O86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60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6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60" s="50" t="str">
        <f>IF($Q860="","",(TAB_HISTORICO_MANUT[[#This Row],[Hora Final]]-TAB_HISTORICO_MANUT[[#This Row],[Hora Inicio]])*24)</f>
        <v/>
      </c>
      <c r="S86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60" s="54" t="str">
        <f>IF(AND(TAB_HISTORICO_MANUT[[#This Row],[EXPURGO Mãe]]="SIM",TAB_HISTORICO_MANUT[[#This Row],[Tipo]]="MÃE"),"EXP.MAE",IF(TAB_HISTORICO_MANUT[[#This Row],[EXPURGO Mãe]]="NÃO","NÃO EXP.MAE",T859))</f>
        <v>NÃO EXP.MAE</v>
      </c>
      <c r="U86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60" s="56">
        <f>IF(TAB_HISTORICO_MANUT[[#This Row],[EXPURGO Filhas]]="SIM",MAX(TAB_HISTORICO_MANUT[[#This Row],[Hora Final]]-TAB_HISTORICO_MANUT[[#This Row],[Hora Inicio]],0),0)</f>
        <v>5.2083333328482695E-2</v>
      </c>
      <c r="W86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6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60" s="46">
        <v>46123.362500000003</v>
      </c>
      <c r="Z860" s="47">
        <v>46123.414583333331</v>
      </c>
      <c r="AA860" s="48" t="s">
        <v>228</v>
      </c>
      <c r="AB860" s="48"/>
      <c r="AC860" s="43" t="s">
        <v>204</v>
      </c>
      <c r="AD860" s="46" t="s">
        <v>144</v>
      </c>
      <c r="AE860" s="46" t="s">
        <v>233</v>
      </c>
      <c r="AF860" s="88" t="s">
        <v>767</v>
      </c>
      <c r="AG860" s="105">
        <v>4</v>
      </c>
      <c r="AH860" s="58" t="s">
        <v>1069</v>
      </c>
      <c r="AI860" s="43" t="s">
        <v>28</v>
      </c>
      <c r="AJ860" s="43" t="s">
        <v>61</v>
      </c>
      <c r="AK860" s="43" t="s">
        <v>876</v>
      </c>
      <c r="AL860" s="43" t="s">
        <v>540</v>
      </c>
      <c r="AM860" s="114" t="s">
        <v>877</v>
      </c>
      <c r="AN860" s="43"/>
      <c r="AO860" s="43"/>
      <c r="AP860" s="43"/>
    </row>
    <row r="861" spans="1:42" ht="50.1" customHeight="1" x14ac:dyDescent="0.25">
      <c r="A861" s="115">
        <f>MONTH(TAB_HISTORICO_MANUT[[#This Row],[Hora Final]])-MONTH(TAB_HISTORICO_MANUT[[#This Row],[Hora Inicio]])</f>
        <v>0</v>
      </c>
      <c r="B861" s="116"/>
      <c r="C861" s="115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Inicio]]=Z860,TAB_HISTORICO_MANUT[[#This Row],[Equipamento]]=AA860,TAB_HISTORICO_MANUT[[#This Row],[Descricao Despacho]]=AD860),0,1)))</f>
        <v>1</v>
      </c>
      <c r="O86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86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6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861" s="107">
        <f>IF($Q861="","",(TAB_HISTORICO_MANUT[[#This Row],[Hora Final]]-TAB_HISTORICO_MANUT[[#This Row],[Hora Inicio]])*24)</f>
        <v>1.0188888888806105</v>
      </c>
      <c r="S86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61" s="109" t="str">
        <f>IF(AND(TAB_HISTORICO_MANUT[[#This Row],[EXPURGO Mãe]]="SIM",TAB_HISTORICO_MANUT[[#This Row],[Tipo]]="MÃE"),"EXP.MAE",IF(TAB_HISTORICO_MANUT[[#This Row],[EXPURGO Mãe]]="NÃO","NÃO EXP.MAE",T860))</f>
        <v>NÃO EXP.MAE</v>
      </c>
      <c r="U86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61" s="110">
        <f>IF(TAB_HISTORICO_MANUT[[#This Row],[EXPURGO Filhas]]="SIM",MAX(TAB_HISTORICO_MANUT[[#This Row],[Hora Final]]-TAB_HISTORICO_MANUT[[#This Row],[Hora Inicio]],0),0)</f>
        <v>0</v>
      </c>
      <c r="W86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6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61" s="117">
        <v>46123.609849537039</v>
      </c>
      <c r="Z861" s="118">
        <v>46123.652303240742</v>
      </c>
      <c r="AA861" s="119" t="s">
        <v>228</v>
      </c>
      <c r="AB861" s="119"/>
      <c r="AC861" s="115" t="s">
        <v>204</v>
      </c>
      <c r="AD861" s="117" t="s">
        <v>144</v>
      </c>
      <c r="AE861" s="117" t="s">
        <v>172</v>
      </c>
      <c r="AF861" s="122" t="s">
        <v>210</v>
      </c>
      <c r="AG861" s="123">
        <f>IF(TAB_HISTORICO_MANUT[[#This Row],[Hora Inicio]]="","",MONTH(TAB_HISTORICO_MANUT[[#This Row],[Hora Inicio]]))</f>
        <v>4</v>
      </c>
      <c r="AH861" s="120" t="s">
        <v>862</v>
      </c>
      <c r="AI861" s="115" t="s">
        <v>235</v>
      </c>
      <c r="AJ861" s="115" t="s">
        <v>845</v>
      </c>
      <c r="AK861" s="115" t="s">
        <v>422</v>
      </c>
      <c r="AL861" s="115" t="s">
        <v>533</v>
      </c>
      <c r="AM861" s="121" t="s">
        <v>534</v>
      </c>
      <c r="AN861" s="115"/>
      <c r="AO861" s="115"/>
      <c r="AP861" s="115"/>
    </row>
    <row r="862" spans="1:42" ht="50.1" customHeight="1" x14ac:dyDescent="0.25">
      <c r="A862" s="115">
        <f>MONTH(TAB_HISTORICO_MANUT[[#This Row],[Hora Final]])-MONTH(TAB_HISTORICO_MANUT[[#This Row],[Hora Inicio]])</f>
        <v>0</v>
      </c>
      <c r="B862" s="116"/>
      <c r="C862" s="115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Inicio]]=Z861,TAB_HISTORICO_MANUT[[#This Row],[Equipamento]]=AA861,TAB_HISTORICO_MANUT[[#This Row],[Descricao Despacho]]=AD861),0,1)))</f>
        <v>1</v>
      </c>
      <c r="O86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86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86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862" s="107">
        <f>IF($Q862="","",(TAB_HISTORICO_MANUT[[#This Row],[Hora Final]]-TAB_HISTORICO_MANUT[[#This Row],[Hora Inicio]])*24)</f>
        <v>0.80888888885965571</v>
      </c>
      <c r="S86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62" s="109" t="str">
        <f>IF(AND(TAB_HISTORICO_MANUT[[#This Row],[EXPURGO Mãe]]="SIM",TAB_HISTORICO_MANUT[[#This Row],[Tipo]]="MÃE"),"EXP.MAE",IF(TAB_HISTORICO_MANUT[[#This Row],[EXPURGO Mãe]]="NÃO","NÃO EXP.MAE",T861))</f>
        <v>NÃO EXP.MAE</v>
      </c>
      <c r="U86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62" s="110">
        <f>IF(TAB_HISTORICO_MANUT[[#This Row],[EXPURGO Filhas]]="SIM",MAX(TAB_HISTORICO_MANUT[[#This Row],[Hora Final]]-TAB_HISTORICO_MANUT[[#This Row],[Hora Inicio]],0),0)</f>
        <v>0</v>
      </c>
      <c r="W86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6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62" s="117">
        <v>46124.630219907405</v>
      </c>
      <c r="Z862" s="118">
        <v>46124.663923611108</v>
      </c>
      <c r="AA862" s="119" t="s">
        <v>228</v>
      </c>
      <c r="AB862" s="119"/>
      <c r="AC862" s="115" t="s">
        <v>481</v>
      </c>
      <c r="AD862" s="117" t="s">
        <v>146</v>
      </c>
      <c r="AE862" s="117" t="s">
        <v>480</v>
      </c>
      <c r="AF862" s="122" t="s">
        <v>210</v>
      </c>
      <c r="AG862" s="123">
        <f>IF(TAB_HISTORICO_MANUT[[#This Row],[Hora Inicio]]="","",MONTH(TAB_HISTORICO_MANUT[[#This Row],[Hora Inicio]]))</f>
        <v>4</v>
      </c>
      <c r="AH862" s="120" t="s">
        <v>482</v>
      </c>
      <c r="AI862" s="115" t="s">
        <v>21</v>
      </c>
      <c r="AJ862" s="115" t="s">
        <v>21</v>
      </c>
      <c r="AK862" s="115" t="s">
        <v>21</v>
      </c>
      <c r="AL862" s="115" t="s">
        <v>21</v>
      </c>
      <c r="AM862" s="121" t="s">
        <v>21</v>
      </c>
      <c r="AN862" s="115"/>
      <c r="AO862" s="115"/>
      <c r="AP862" s="115"/>
    </row>
    <row r="863" spans="1:42" ht="50.1" customHeight="1" x14ac:dyDescent="0.25">
      <c r="A863" s="115">
        <f>MONTH(TAB_HISTORICO_MANUT[[#This Row],[Hora Final]])-MONTH(TAB_HISTORICO_MANUT[[#This Row],[Hora Inicio]])</f>
        <v>0</v>
      </c>
      <c r="B863" s="116"/>
      <c r="C863" s="115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 t="s">
        <v>98</v>
      </c>
      <c r="N863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Inicio]]=Z862,TAB_HISTORICO_MANUT[[#This Row],[Equipamento]]=AA862,TAB_HISTORICO_MANUT[[#This Row],[Descricao Despacho]]=AD862),0,1)))</f>
        <v/>
      </c>
      <c r="O86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63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6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63" s="107" t="str">
        <f>IF($Q863="","",(TAB_HISTORICO_MANUT[[#This Row],[Hora Final]]-TAB_HISTORICO_MANUT[[#This Row],[Hora Inicio]])*24)</f>
        <v/>
      </c>
      <c r="S86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63" s="109" t="str">
        <f>IF(AND(TAB_HISTORICO_MANUT[[#This Row],[EXPURGO Mãe]]="SIM",TAB_HISTORICO_MANUT[[#This Row],[Tipo]]="MÃE"),"EXP.MAE",IF(TAB_HISTORICO_MANUT[[#This Row],[EXPURGO Mãe]]="NÃO","NÃO EXP.MAE",T862))</f>
        <v>NÃO EXP.MAE</v>
      </c>
      <c r="U86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63" s="110">
        <f>IF(TAB_HISTORICO_MANUT[[#This Row],[EXPURGO Filhas]]="SIM",MAX(TAB_HISTORICO_MANUT[[#This Row],[Hora Final]]-TAB_HISTORICO_MANUT[[#This Row],[Hora Inicio]],0),0)</f>
        <v>1.3070296299702022E-2</v>
      </c>
      <c r="W86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6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63" s="117">
        <v>46124.650853314808</v>
      </c>
      <c r="Z863" s="118">
        <v>46124.663923611108</v>
      </c>
      <c r="AA863" s="119" t="s">
        <v>228</v>
      </c>
      <c r="AB863" s="119"/>
      <c r="AC863" s="115" t="s">
        <v>481</v>
      </c>
      <c r="AD863" s="117" t="s">
        <v>146</v>
      </c>
      <c r="AE863" s="117" t="s">
        <v>480</v>
      </c>
      <c r="AF863" s="122" t="s">
        <v>767</v>
      </c>
      <c r="AG863" s="123">
        <v>4</v>
      </c>
      <c r="AH863" s="120" t="s">
        <v>482</v>
      </c>
      <c r="AI863" s="115" t="s">
        <v>21</v>
      </c>
      <c r="AJ863" s="115" t="s">
        <v>21</v>
      </c>
      <c r="AK863" s="115" t="s">
        <v>21</v>
      </c>
      <c r="AL863" s="115" t="s">
        <v>21</v>
      </c>
      <c r="AM863" s="121" t="s">
        <v>21</v>
      </c>
      <c r="AN863" s="115"/>
      <c r="AO863" s="115"/>
      <c r="AP863" s="115"/>
    </row>
    <row r="864" spans="1:42" ht="50.1" customHeight="1" x14ac:dyDescent="0.25">
      <c r="A864" s="43">
        <f>MONTH(TAB_HISTORICO_MANUT[[#This Row],[Hora Final]])-MONTH(TAB_HISTORICO_MANUT[[#This Row],[Hora Inicio]])</f>
        <v>0</v>
      </c>
      <c r="B864" s="42"/>
      <c r="C864" s="43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Inicio]]=Z862,TAB_HISTORICO_MANUT[[#This Row],[Equipamento]]=AA862,TAB_HISTORICO_MANUT[[#This Row],[Descricao Despacho]]=AD862),0,1)))</f>
        <v>1</v>
      </c>
      <c r="O86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86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6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864" s="107">
        <f>IF($Q864="","",(TAB_HISTORICO_MANUT[[#This Row],[Hora Final]]-TAB_HISTORICO_MANUT[[#This Row],[Hora Inicio]])*24)</f>
        <v>17.768611111154314</v>
      </c>
      <c r="S86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64" s="109" t="str">
        <f>IF(AND(TAB_HISTORICO_MANUT[[#This Row],[EXPURGO Mãe]]="SIM",TAB_HISTORICO_MANUT[[#This Row],[Tipo]]="MÃE"),"EXP.MAE",IF(TAB_HISTORICO_MANUT[[#This Row],[EXPURGO Mãe]]="NÃO","NÃO EXP.MAE",T862))</f>
        <v>NÃO EXP.MAE</v>
      </c>
      <c r="U86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64" s="110">
        <f>IF(TAB_HISTORICO_MANUT[[#This Row],[EXPURGO Filhas]]="SIM",MAX(TAB_HISTORICO_MANUT[[#This Row],[Hora Final]]-TAB_HISTORICO_MANUT[[#This Row],[Hora Inicio]],0),0)</f>
        <v>0</v>
      </c>
      <c r="W86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6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64" s="46">
        <v>46124.827175925922</v>
      </c>
      <c r="Z864" s="47">
        <v>46125.56753472222</v>
      </c>
      <c r="AA864" s="48" t="s">
        <v>228</v>
      </c>
      <c r="AB864" s="48"/>
      <c r="AC864" s="43" t="s">
        <v>204</v>
      </c>
      <c r="AD864" s="46" t="s">
        <v>144</v>
      </c>
      <c r="AE864" s="46" t="s">
        <v>172</v>
      </c>
      <c r="AF864" s="88" t="s">
        <v>210</v>
      </c>
      <c r="AG864" s="105">
        <f>IF(TAB_HISTORICO_MANUT[[#This Row],[Hora Inicio]]="","",MONTH(TAB_HISTORICO_MANUT[[#This Row],[Hora Inicio]]))</f>
        <v>4</v>
      </c>
      <c r="AH864" s="58" t="s">
        <v>866</v>
      </c>
      <c r="AI864" s="43" t="s">
        <v>24</v>
      </c>
      <c r="AJ864" s="43" t="s">
        <v>881</v>
      </c>
      <c r="AK864" s="43" t="s">
        <v>474</v>
      </c>
      <c r="AL864" s="43" t="s">
        <v>275</v>
      </c>
      <c r="AM864" s="114" t="s">
        <v>276</v>
      </c>
      <c r="AN864" s="43"/>
      <c r="AO864" s="43"/>
      <c r="AP864" s="43"/>
    </row>
    <row r="865" spans="1:42" ht="50.1" customHeight="1" x14ac:dyDescent="0.25">
      <c r="A865" s="115">
        <f>MONTH(TAB_HISTORICO_MANUT[[#This Row],[Hora Final]])-MONTH(TAB_HISTORICO_MANUT[[#This Row],[Hora Inicio]])</f>
        <v>0</v>
      </c>
      <c r="B865" s="116"/>
      <c r="C865" s="115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 t="s">
        <v>99</v>
      </c>
      <c r="N865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Inicio]]=Z864,TAB_HISTORICO_MANUT[[#This Row],[Equipamento]]=AA864,TAB_HISTORICO_MANUT[[#This Row],[Descricao Despacho]]=AD864),0,1)))</f>
        <v/>
      </c>
      <c r="O86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65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6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65" s="107" t="str">
        <f>IF($Q865="","",(TAB_HISTORICO_MANUT[[#This Row],[Hora Final]]-TAB_HISTORICO_MANUT[[#This Row],[Hora Inicio]])*24)</f>
        <v/>
      </c>
      <c r="S86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65" s="109" t="str">
        <f>IF(AND(TAB_HISTORICO_MANUT[[#This Row],[EXPURGO Mãe]]="SIM",TAB_HISTORICO_MANUT[[#This Row],[Tipo]]="MÃE"),"EXP.MAE",IF(TAB_HISTORICO_MANUT[[#This Row],[EXPURGO Mãe]]="NÃO","NÃO EXP.MAE",T864))</f>
        <v>NÃO EXP.MAE</v>
      </c>
      <c r="U86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65" s="110">
        <f>IF(TAB_HISTORICO_MANUT[[#This Row],[EXPURGO Filhas]]="SIM",MAX(TAB_HISTORICO_MANUT[[#This Row],[Hora Final]]-TAB_HISTORICO_MANUT[[#This Row],[Hora Inicio]],0),0)</f>
        <v>0</v>
      </c>
      <c r="W86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6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65" s="117">
        <v>46125</v>
      </c>
      <c r="Z865" s="118">
        <v>46125.129861111112</v>
      </c>
      <c r="AA865" s="119" t="s">
        <v>228</v>
      </c>
      <c r="AB865" s="119"/>
      <c r="AC865" s="115" t="s">
        <v>204</v>
      </c>
      <c r="AD865" s="117" t="s">
        <v>144</v>
      </c>
      <c r="AE865" s="117" t="s">
        <v>765</v>
      </c>
      <c r="AF865" s="122" t="s">
        <v>767</v>
      </c>
      <c r="AG865" s="123">
        <f>IF(TAB_HISTORICO_MANUT[[#This Row],[Hora Inicio]]="","",MONTH(TAB_HISTORICO_MANUT[[#This Row],[Hora Inicio]]))</f>
        <v>4</v>
      </c>
      <c r="AH865" s="120" t="s">
        <v>1068</v>
      </c>
      <c r="AI865" s="115" t="s">
        <v>24</v>
      </c>
      <c r="AJ865" s="115" t="s">
        <v>881</v>
      </c>
      <c r="AK865" s="115" t="s">
        <v>474</v>
      </c>
      <c r="AL865" s="115" t="s">
        <v>275</v>
      </c>
      <c r="AM865" s="121" t="s">
        <v>276</v>
      </c>
      <c r="AN865" s="115"/>
      <c r="AO865" s="115"/>
      <c r="AP865" s="115"/>
    </row>
    <row r="866" spans="1:42" ht="50.1" customHeight="1" x14ac:dyDescent="0.25">
      <c r="A866" s="43">
        <f>MONTH(TAB_HISTORICO_MANUT[[#This Row],[Hora Final]])-MONTH(TAB_HISTORICO_MANUT[[#This Row],[Hora Inicio]])</f>
        <v>0</v>
      </c>
      <c r="B866" s="42"/>
      <c r="C866" s="43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Inicio]]=Z865,TAB_HISTORICO_MANUT[[#This Row],[Equipamento]]=AA865,TAB_HISTORICO_MANUT[[#This Row],[Descricao Despacho]]=AD865),0,1)))</f>
        <v/>
      </c>
      <c r="O86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66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6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66" s="50" t="str">
        <f>IF($Q866="","",(TAB_HISTORICO_MANUT[[#This Row],[Hora Final]]-TAB_HISTORICO_MANUT[[#This Row],[Hora Inicio]])*24)</f>
        <v/>
      </c>
      <c r="S86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66" s="54" t="str">
        <f>IF(AND(TAB_HISTORICO_MANUT[[#This Row],[EXPURGO Mãe]]="SIM",TAB_HISTORICO_MANUT[[#This Row],[Tipo]]="MÃE"),"EXP.MAE",IF(TAB_HISTORICO_MANUT[[#This Row],[EXPURGO Mãe]]="NÃO","NÃO EXP.MAE",T865))</f>
        <v>NÃO EXP.MAE</v>
      </c>
      <c r="U86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66" s="56">
        <f>IF(TAB_HISTORICO_MANUT[[#This Row],[EXPURGO Filhas]]="SIM",MAX(TAB_HISTORICO_MANUT[[#This Row],[Hora Final]]-TAB_HISTORICO_MANUT[[#This Row],[Hora Inicio]],0),0)</f>
        <v>0.10902777777664596</v>
      </c>
      <c r="W86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6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66" s="46">
        <v>46125.020833333336</v>
      </c>
      <c r="Z866" s="47">
        <v>46125.129861111112</v>
      </c>
      <c r="AA866" s="48" t="s">
        <v>228</v>
      </c>
      <c r="AB866" s="48"/>
      <c r="AC866" s="43" t="s">
        <v>204</v>
      </c>
      <c r="AD866" s="46" t="s">
        <v>144</v>
      </c>
      <c r="AE866" s="46" t="s">
        <v>765</v>
      </c>
      <c r="AF866" s="88" t="s">
        <v>767</v>
      </c>
      <c r="AG866" s="105">
        <v>4</v>
      </c>
      <c r="AH866" s="58" t="s">
        <v>1068</v>
      </c>
      <c r="AI866" s="43" t="s">
        <v>24</v>
      </c>
      <c r="AJ866" s="43" t="s">
        <v>881</v>
      </c>
      <c r="AK866" s="43" t="s">
        <v>474</v>
      </c>
      <c r="AL866" s="43" t="s">
        <v>275</v>
      </c>
      <c r="AM866" s="114" t="s">
        <v>276</v>
      </c>
      <c r="AN866" s="43"/>
      <c r="AO866" s="43"/>
      <c r="AP866" s="43"/>
    </row>
    <row r="867" spans="1:42" ht="50.1" customHeight="1" x14ac:dyDescent="0.25">
      <c r="A867" s="43">
        <f>MONTH(TAB_HISTORICO_MANUT[[#This Row],[Hora Final]])-MONTH(TAB_HISTORICO_MANUT[[#This Row],[Hora Inicio]])</f>
        <v>0</v>
      </c>
      <c r="B867" s="42"/>
      <c r="C867" s="43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Inicio]]=Z866,TAB_HISTORICO_MANUT[[#This Row],[Equipamento]]=AA866,TAB_HISTORICO_MANUT[[#This Row],[Descricao Despacho]]=AD866),0,1)))</f>
        <v>1</v>
      </c>
      <c r="O86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867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86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867" s="50">
        <f>IF($Q867="","",(TAB_HISTORICO_MANUT[[#This Row],[Hora Final]]-TAB_HISTORICO_MANUT[[#This Row],[Hora Inicio]])*24)</f>
        <v>1.0641666667652316</v>
      </c>
      <c r="S86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67" s="54" t="str">
        <f>IF(AND(TAB_HISTORICO_MANUT[[#This Row],[EXPURGO Mãe]]="SIM",TAB_HISTORICO_MANUT[[#This Row],[Tipo]]="MÃE"),"EXP.MAE",IF(TAB_HISTORICO_MANUT[[#This Row],[EXPURGO Mãe]]="NÃO","NÃO EXP.MAE",T866))</f>
        <v>NÃO EXP.MAE</v>
      </c>
      <c r="U86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67" s="56">
        <f>IF(TAB_HISTORICO_MANUT[[#This Row],[EXPURGO Filhas]]="SIM",MAX(TAB_HISTORICO_MANUT[[#This Row],[Hora Final]]-TAB_HISTORICO_MANUT[[#This Row],[Hora Inicio]],0),0)</f>
        <v>0</v>
      </c>
      <c r="W86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6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67" s="46">
        <v>46127.083657407406</v>
      </c>
      <c r="Z867" s="47">
        <v>46127.127997685187</v>
      </c>
      <c r="AA867" s="48" t="s">
        <v>228</v>
      </c>
      <c r="AB867" s="48"/>
      <c r="AC867" s="43" t="s">
        <v>205</v>
      </c>
      <c r="AD867" s="46" t="s">
        <v>145</v>
      </c>
      <c r="AE867" s="46" t="s">
        <v>173</v>
      </c>
      <c r="AF867" s="88" t="s">
        <v>210</v>
      </c>
      <c r="AG867" s="105">
        <f>IF(TAB_HISTORICO_MANUT[[#This Row],[Hora Inicio]]="","",MONTH(TAB_HISTORICO_MANUT[[#This Row],[Hora Inicio]]))</f>
        <v>4</v>
      </c>
      <c r="AH867" s="58" t="s">
        <v>326</v>
      </c>
      <c r="AI867" s="43" t="s">
        <v>21</v>
      </c>
      <c r="AJ867" s="43" t="s">
        <v>21</v>
      </c>
      <c r="AK867" s="43" t="s">
        <v>21</v>
      </c>
      <c r="AL867" s="43" t="s">
        <v>21</v>
      </c>
      <c r="AM867" s="114" t="s">
        <v>21</v>
      </c>
      <c r="AN867" s="43"/>
      <c r="AO867" s="43"/>
      <c r="AP867" s="43"/>
    </row>
    <row r="868" spans="1:42" ht="50.1" customHeight="1" x14ac:dyDescent="0.25">
      <c r="A868" s="115">
        <f>MONTH(TAB_HISTORICO_MANUT[[#This Row],[Hora Final]])-MONTH(TAB_HISTORICO_MANUT[[#This Row],[Hora Inicio]])</f>
        <v>0</v>
      </c>
      <c r="B868" s="116"/>
      <c r="C868" s="115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 t="s">
        <v>98</v>
      </c>
      <c r="N868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Inicio]]=Z867,TAB_HISTORICO_MANUT[[#This Row],[Equipamento]]=AA867,TAB_HISTORICO_MANUT[[#This Row],[Descricao Despacho]]=AD867),0,1)))</f>
        <v/>
      </c>
      <c r="O86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68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6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68" s="107" t="str">
        <f>IF($Q868="","",(TAB_HISTORICO_MANUT[[#This Row],[Hora Final]]-TAB_HISTORICO_MANUT[[#This Row],[Hora Inicio]])*24)</f>
        <v/>
      </c>
      <c r="S86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68" s="109" t="str">
        <f>IF(AND(TAB_HISTORICO_MANUT[[#This Row],[EXPURGO Mãe]]="SIM",TAB_HISTORICO_MANUT[[#This Row],[Tipo]]="MÃE"),"EXP.MAE",IF(TAB_HISTORICO_MANUT[[#This Row],[EXPURGO Mãe]]="NÃO","NÃO EXP.MAE",T867))</f>
        <v>NÃO EXP.MAE</v>
      </c>
      <c r="U86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68" s="110">
        <f>IF(TAB_HISTORICO_MANUT[[#This Row],[EXPURGO Filhas]]="SIM",MAX(TAB_HISTORICO_MANUT[[#This Row],[Hora Final]]-TAB_HISTORICO_MANUT[[#This Row],[Hora Inicio]],0),0)</f>
        <v>1.7195159722177777E-2</v>
      </c>
      <c r="W86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6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68" s="117">
        <v>46127.110802525465</v>
      </c>
      <c r="Z868" s="118">
        <v>46127.127997685187</v>
      </c>
      <c r="AA868" s="119" t="s">
        <v>228</v>
      </c>
      <c r="AB868" s="119"/>
      <c r="AC868" s="115" t="s">
        <v>205</v>
      </c>
      <c r="AD868" s="117" t="s">
        <v>145</v>
      </c>
      <c r="AE868" s="117" t="s">
        <v>173</v>
      </c>
      <c r="AF868" s="122" t="s">
        <v>767</v>
      </c>
      <c r="AG868" s="123">
        <f>IF(TAB_HISTORICO_MANUT[[#This Row],[Hora Inicio]]="","",MONTH(TAB_HISTORICO_MANUT[[#This Row],[Hora Inicio]]))</f>
        <v>4</v>
      </c>
      <c r="AH868" s="120" t="s">
        <v>326</v>
      </c>
      <c r="AI868" s="115" t="s">
        <v>21</v>
      </c>
      <c r="AJ868" s="115" t="s">
        <v>21</v>
      </c>
      <c r="AK868" s="115" t="s">
        <v>21</v>
      </c>
      <c r="AL868" s="115" t="s">
        <v>21</v>
      </c>
      <c r="AM868" s="121" t="s">
        <v>21</v>
      </c>
      <c r="AN868" s="115"/>
      <c r="AO868" s="115"/>
      <c r="AP868" s="115"/>
    </row>
    <row r="869" spans="1:42" ht="50.1" customHeight="1" x14ac:dyDescent="0.25">
      <c r="A869" s="115">
        <f>MONTH(TAB_HISTORICO_MANUT[[#This Row],[Hora Final]])-MONTH(TAB_HISTORICO_MANUT[[#This Row],[Hora Inicio]])</f>
        <v>0</v>
      </c>
      <c r="B869" s="116"/>
      <c r="C869" s="115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Inicio]]=Z868,TAB_HISTORICO_MANUT[[#This Row],[Equipamento]]=AA868,TAB_HISTORICO_MANUT[[#This Row],[Descricao Despacho]]=AD868),0,1)))</f>
        <v>1</v>
      </c>
      <c r="O86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86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86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869" s="107">
        <f>IF($Q869="","",(TAB_HISTORICO_MANUT[[#This Row],[Hora Final]]-TAB_HISTORICO_MANUT[[#This Row],[Hora Inicio]])*24)</f>
        <v>3.9858333332813345</v>
      </c>
      <c r="S86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69" s="109" t="str">
        <f>IF(AND(TAB_HISTORICO_MANUT[[#This Row],[EXPURGO Mãe]]="SIM",TAB_HISTORICO_MANUT[[#This Row],[Tipo]]="MÃE"),"EXP.MAE",IF(TAB_HISTORICO_MANUT[[#This Row],[EXPURGO Mãe]]="NÃO","NÃO EXP.MAE",T868))</f>
        <v>NÃO EXP.MAE</v>
      </c>
      <c r="U86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69" s="110">
        <f>IF(TAB_HISTORICO_MANUT[[#This Row],[EXPURGO Filhas]]="SIM",MAX(TAB_HISTORICO_MANUT[[#This Row],[Hora Final]]-TAB_HISTORICO_MANUT[[#This Row],[Hora Inicio]],0),0)</f>
        <v>0</v>
      </c>
      <c r="W86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6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69" s="117">
        <v>46127.376909722225</v>
      </c>
      <c r="Z869" s="118">
        <v>46127.542986111112</v>
      </c>
      <c r="AA869" s="119" t="s">
        <v>228</v>
      </c>
      <c r="AB869" s="119"/>
      <c r="AC869" s="115" t="s">
        <v>481</v>
      </c>
      <c r="AD869" s="117" t="s">
        <v>146</v>
      </c>
      <c r="AE869" s="117" t="s">
        <v>480</v>
      </c>
      <c r="AF869" s="122" t="s">
        <v>210</v>
      </c>
      <c r="AG869" s="123">
        <f>IF(TAB_HISTORICO_MANUT[[#This Row],[Hora Inicio]]="","",MONTH(TAB_HISTORICO_MANUT[[#This Row],[Hora Inicio]]))</f>
        <v>4</v>
      </c>
      <c r="AH869" s="120" t="s">
        <v>482</v>
      </c>
      <c r="AI869" s="115" t="s">
        <v>21</v>
      </c>
      <c r="AJ869" s="115" t="s">
        <v>21</v>
      </c>
      <c r="AK869" s="115" t="s">
        <v>21</v>
      </c>
      <c r="AL869" s="115" t="s">
        <v>21</v>
      </c>
      <c r="AM869" s="115" t="s">
        <v>21</v>
      </c>
      <c r="AN869" s="115"/>
      <c r="AO869" s="115"/>
      <c r="AP869" s="115"/>
    </row>
    <row r="870" spans="1:42" ht="50.1" customHeight="1" x14ac:dyDescent="0.25">
      <c r="A870" s="115">
        <f>MONTH(TAB_HISTORICO_MANUT[[#This Row],[Hora Final]])-MONTH(TAB_HISTORICO_MANUT[[#This Row],[Hora Inicio]])</f>
        <v>0</v>
      </c>
      <c r="B870" s="116"/>
      <c r="C870" s="115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 t="s">
        <v>98</v>
      </c>
      <c r="N870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Inicio]]=Z869,TAB_HISTORICO_MANUT[[#This Row],[Equipamento]]=AA869,TAB_HISTORICO_MANUT[[#This Row],[Descricao Despacho]]=AD869),0,1)))</f>
        <v/>
      </c>
      <c r="O87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70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7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70" s="107" t="str">
        <f>IF($Q870="","",(TAB_HISTORICO_MANUT[[#This Row],[Hora Final]]-TAB_HISTORICO_MANUT[[#This Row],[Hora Inicio]])*24)</f>
        <v/>
      </c>
      <c r="S87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70" s="109" t="str">
        <f>IF(AND(TAB_HISTORICO_MANUT[[#This Row],[EXPURGO Mãe]]="SIM",TAB_HISTORICO_MANUT[[#This Row],[Tipo]]="MÃE"),"EXP.MAE",IF(TAB_HISTORICO_MANUT[[#This Row],[EXPURGO Mãe]]="NÃO","NÃO EXP.MAE",T869))</f>
        <v>NÃO EXP.MAE</v>
      </c>
      <c r="U87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70" s="110">
        <f>IF(TAB_HISTORICO_MANUT[[#This Row],[EXPURGO Filhas]]="SIM",MAX(TAB_HISTORICO_MANUT[[#This Row],[Hora Final]]-TAB_HISTORICO_MANUT[[#This Row],[Hora Inicio]],0),0)</f>
        <v>6.4404423610540107E-2</v>
      </c>
      <c r="W87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7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70" s="117">
        <v>46127.478581687501</v>
      </c>
      <c r="Z870" s="118">
        <v>46127.542986111112</v>
      </c>
      <c r="AA870" s="119" t="s">
        <v>228</v>
      </c>
      <c r="AB870" s="119"/>
      <c r="AC870" s="115" t="s">
        <v>481</v>
      </c>
      <c r="AD870" s="117" t="s">
        <v>146</v>
      </c>
      <c r="AE870" s="117" t="s">
        <v>480</v>
      </c>
      <c r="AF870" s="122" t="s">
        <v>767</v>
      </c>
      <c r="AG870" s="123">
        <f>IF(TAB_HISTORICO_MANUT[[#This Row],[Hora Inicio]]="","",MONTH(TAB_HISTORICO_MANUT[[#This Row],[Hora Inicio]]))</f>
        <v>4</v>
      </c>
      <c r="AH870" s="120" t="s">
        <v>482</v>
      </c>
      <c r="AI870" s="115" t="s">
        <v>21</v>
      </c>
      <c r="AJ870" s="115" t="s">
        <v>21</v>
      </c>
      <c r="AK870" s="115" t="s">
        <v>21</v>
      </c>
      <c r="AL870" s="115" t="s">
        <v>21</v>
      </c>
      <c r="AM870" s="115" t="s">
        <v>21</v>
      </c>
      <c r="AN870" s="115"/>
      <c r="AO870" s="115"/>
      <c r="AP870" s="115"/>
    </row>
    <row r="871" spans="1:42" ht="50.1" customHeight="1" x14ac:dyDescent="0.25">
      <c r="A871" s="115">
        <f>MONTH(TAB_HISTORICO_MANUT[[#This Row],[Hora Final]])-MONTH(TAB_HISTORICO_MANUT[[#This Row],[Hora Inicio]])</f>
        <v>0</v>
      </c>
      <c r="B871" s="116"/>
      <c r="C871" s="115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Inicio]]=Z870,TAB_HISTORICO_MANUT[[#This Row],[Equipamento]]=AA870,TAB_HISTORICO_MANUT[[#This Row],[Descricao Despacho]]=AD870),0,1)))</f>
        <v>1</v>
      </c>
      <c r="O87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87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87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871" s="107">
        <f>IF($Q871="","",(TAB_HISTORICO_MANUT[[#This Row],[Hora Final]]-TAB_HISTORICO_MANUT[[#This Row],[Hora Inicio]])*24)</f>
        <v>0.82444444438442588</v>
      </c>
      <c r="S87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71" s="109" t="str">
        <f>IF(AND(TAB_HISTORICO_MANUT[[#This Row],[EXPURGO Mãe]]="SIM",TAB_HISTORICO_MANUT[[#This Row],[Tipo]]="MÃE"),"EXP.MAE",IF(TAB_HISTORICO_MANUT[[#This Row],[EXPURGO Mãe]]="NÃO","NÃO EXP.MAE",T870))</f>
        <v>NÃO EXP.MAE</v>
      </c>
      <c r="U87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71" s="110">
        <f>IF(TAB_HISTORICO_MANUT[[#This Row],[EXPURGO Filhas]]="SIM",MAX(TAB_HISTORICO_MANUT[[#This Row],[Hora Final]]-TAB_HISTORICO_MANUT[[#This Row],[Hora Inicio]],0),0)</f>
        <v>0</v>
      </c>
      <c r="W87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7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71" s="117">
        <v>46128.452499999999</v>
      </c>
      <c r="Z871" s="118">
        <v>46128.486851851849</v>
      </c>
      <c r="AA871" s="119" t="s">
        <v>228</v>
      </c>
      <c r="AB871" s="119"/>
      <c r="AC871" s="115" t="s">
        <v>882</v>
      </c>
      <c r="AD871" s="117" t="s">
        <v>146</v>
      </c>
      <c r="AE871" s="117" t="s">
        <v>883</v>
      </c>
      <c r="AF871" s="122" t="s">
        <v>210</v>
      </c>
      <c r="AG871" s="123">
        <f>IF(TAB_HISTORICO_MANUT[[#This Row],[Hora Inicio]]="","",MONTH(TAB_HISTORICO_MANUT[[#This Row],[Hora Inicio]]))</f>
        <v>4</v>
      </c>
      <c r="AH871" s="120" t="s">
        <v>887</v>
      </c>
      <c r="AI871" s="115" t="s">
        <v>25</v>
      </c>
      <c r="AJ871" s="115" t="s">
        <v>25</v>
      </c>
      <c r="AK871" s="115" t="s">
        <v>25</v>
      </c>
      <c r="AL871" s="115" t="s">
        <v>25</v>
      </c>
      <c r="AM871" s="121" t="s">
        <v>25</v>
      </c>
      <c r="AN871" s="115"/>
      <c r="AO871" s="115"/>
      <c r="AP871" s="115"/>
    </row>
    <row r="872" spans="1:42" ht="50.1" customHeight="1" x14ac:dyDescent="0.25">
      <c r="A872" s="115">
        <f>MONTH(TAB_HISTORICO_MANUT[[#This Row],[Hora Final]])-MONTH(TAB_HISTORICO_MANUT[[#This Row],[Hora Inicio]])</f>
        <v>0</v>
      </c>
      <c r="B872" s="116"/>
      <c r="C872" s="115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Inicio]]=Z871,TAB_HISTORICO_MANUT[[#This Row],[Equipamento]]=AA871,TAB_HISTORICO_MANUT[[#This Row],[Descricao Despacho]]=AD871),0,1)))</f>
        <v>1</v>
      </c>
      <c r="O87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87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7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872" s="107">
        <f>IF($Q872="","",(TAB_HISTORICO_MANUT[[#This Row],[Hora Final]]-TAB_HISTORICO_MANUT[[#This Row],[Hora Inicio]])*24)</f>
        <v>5.4891666666953824</v>
      </c>
      <c r="S87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72" s="109" t="str">
        <f>IF(AND(TAB_HISTORICO_MANUT[[#This Row],[EXPURGO Mãe]]="SIM",TAB_HISTORICO_MANUT[[#This Row],[Tipo]]="MÃE"),"EXP.MAE",IF(TAB_HISTORICO_MANUT[[#This Row],[EXPURGO Mãe]]="NÃO","NÃO EXP.MAE",T871))</f>
        <v>NÃO EXP.MAE</v>
      </c>
      <c r="U87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72" s="110">
        <f>IF(TAB_HISTORICO_MANUT[[#This Row],[EXPURGO Filhas]]="SIM",MAX(TAB_HISTORICO_MANUT[[#This Row],[Hora Final]]-TAB_HISTORICO_MANUT[[#This Row],[Hora Inicio]],0),0)</f>
        <v>0</v>
      </c>
      <c r="W87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7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72" s="117">
        <v>46130.758437500001</v>
      </c>
      <c r="Z872" s="118">
        <v>46130.98715277778</v>
      </c>
      <c r="AA872" s="119" t="s">
        <v>228</v>
      </c>
      <c r="AB872" s="119" t="s">
        <v>893</v>
      </c>
      <c r="AC872" s="115" t="s">
        <v>204</v>
      </c>
      <c r="AD872" s="117" t="s">
        <v>144</v>
      </c>
      <c r="AE872" s="117" t="s">
        <v>172</v>
      </c>
      <c r="AF872" s="122" t="s">
        <v>210</v>
      </c>
      <c r="AG872" s="123">
        <f>IF(TAB_HISTORICO_MANUT[[#This Row],[Hora Inicio]]="","",MONTH(TAB_HISTORICO_MANUT[[#This Row],[Hora Inicio]]))</f>
        <v>4</v>
      </c>
      <c r="AH872" s="120" t="s">
        <v>899</v>
      </c>
      <c r="AI872" s="115" t="s">
        <v>22</v>
      </c>
      <c r="AJ872" s="115" t="s">
        <v>30</v>
      </c>
      <c r="AK872" s="115" t="s">
        <v>907</v>
      </c>
      <c r="AL872" s="115" t="s">
        <v>275</v>
      </c>
      <c r="AM872" s="121" t="s">
        <v>276</v>
      </c>
      <c r="AN872" s="115" t="s">
        <v>217</v>
      </c>
      <c r="AO872" s="115" t="s">
        <v>316</v>
      </c>
      <c r="AP872" s="115" t="s">
        <v>904</v>
      </c>
    </row>
    <row r="873" spans="1:42" ht="50.1" customHeight="1" x14ac:dyDescent="0.25">
      <c r="A873" s="43">
        <f>MONTH(TAB_HISTORICO_MANUT[[#This Row],[Hora Final]])-MONTH(TAB_HISTORICO_MANUT[[#This Row],[Hora Inicio]])</f>
        <v>0</v>
      </c>
      <c r="B873" s="42"/>
      <c r="C873" s="43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Inicio]]=Z872,TAB_HISTORICO_MANUT[[#This Row],[Equipamento]]=AA872,TAB_HISTORICO_MANUT[[#This Row],[Descricao Despacho]]=AD872),0,1)))</f>
        <v/>
      </c>
      <c r="O87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73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7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73" s="50" t="str">
        <f>IF($Q873="","",(TAB_HISTORICO_MANUT[[#This Row],[Hora Final]]-TAB_HISTORICO_MANUT[[#This Row],[Hora Inicio]])*24)</f>
        <v/>
      </c>
      <c r="S87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73" s="54" t="str">
        <f>IF(AND(TAB_HISTORICO_MANUT[[#This Row],[EXPURGO Mãe]]="SIM",TAB_HISTORICO_MANUT[[#This Row],[Tipo]]="MÃE"),"EXP.MAE",IF(TAB_HISTORICO_MANUT[[#This Row],[EXPURGO Mãe]]="NÃO","NÃO EXP.MAE",T872))</f>
        <v>NÃO EXP.MAE</v>
      </c>
      <c r="U87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73" s="56">
        <f>IF(TAB_HISTORICO_MANUT[[#This Row],[EXPURGO Filhas]]="SIM",MAX(TAB_HISTORICO_MANUT[[#This Row],[Hora Final]]-TAB_HISTORICO_MANUT[[#This Row],[Hora Inicio]],0),0)</f>
        <v>5.4166666661330964E-2</v>
      </c>
      <c r="W87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7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73" s="46">
        <v>46130.864583333336</v>
      </c>
      <c r="Z873" s="47">
        <v>46130.918749999997</v>
      </c>
      <c r="AA873" s="48" t="s">
        <v>228</v>
      </c>
      <c r="AB873" s="48" t="s">
        <v>893</v>
      </c>
      <c r="AC873" s="43" t="s">
        <v>204</v>
      </c>
      <c r="AD873" s="46" t="s">
        <v>144</v>
      </c>
      <c r="AE873" s="46" t="s">
        <v>231</v>
      </c>
      <c r="AF873" s="88" t="s">
        <v>767</v>
      </c>
      <c r="AG873" s="105">
        <f>IF(TAB_HISTORICO_MANUT[[#This Row],[Hora Inicio]]="","",MONTH(TAB_HISTORICO_MANUT[[#This Row],[Hora Inicio]]))</f>
        <v>4</v>
      </c>
      <c r="AH873" s="58" t="s">
        <v>1070</v>
      </c>
      <c r="AI873" s="43" t="s">
        <v>22</v>
      </c>
      <c r="AJ873" s="43" t="s">
        <v>30</v>
      </c>
      <c r="AK873" s="43" t="s">
        <v>907</v>
      </c>
      <c r="AL873" s="43" t="s">
        <v>275</v>
      </c>
      <c r="AM873" s="114" t="s">
        <v>276</v>
      </c>
      <c r="AN873" s="43"/>
      <c r="AO873" s="43"/>
      <c r="AP873" s="43"/>
    </row>
    <row r="874" spans="1:42" ht="50.1" customHeight="1" x14ac:dyDescent="0.25">
      <c r="A874" s="115">
        <f>MONTH(TAB_HISTORICO_MANUT[[#This Row],[Hora Final]])-MONTH(TAB_HISTORICO_MANUT[[#This Row],[Hora Inicio]])</f>
        <v>0</v>
      </c>
      <c r="B874" s="116"/>
      <c r="C874" s="115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Inicio]]=Z873,TAB_HISTORICO_MANUT[[#This Row],[Equipamento]]=AA873,TAB_HISTORICO_MANUT[[#This Row],[Descricao Despacho]]=AD873),0,1)))</f>
        <v>1</v>
      </c>
      <c r="O87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AR CONDICIONADO</v>
      </c>
      <c r="P87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7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874" s="107">
        <f>IF($Q874="","",(TAB_HISTORICO_MANUT[[#This Row],[Hora Final]]-TAB_HISTORICO_MANUT[[#This Row],[Hora Inicio]])*24)</f>
        <v>5.2766666666138917</v>
      </c>
      <c r="S87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74" s="109" t="str">
        <f>IF(AND(TAB_HISTORICO_MANUT[[#This Row],[EXPURGO Mãe]]="SIM",TAB_HISTORICO_MANUT[[#This Row],[Tipo]]="MÃE"),"EXP.MAE",IF(TAB_HISTORICO_MANUT[[#This Row],[EXPURGO Mãe]]="NÃO","NÃO EXP.MAE",T873))</f>
        <v>NÃO EXP.MAE</v>
      </c>
      <c r="U87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74" s="110">
        <f>IF(TAB_HISTORICO_MANUT[[#This Row],[EXPURGO Filhas]]="SIM",MAX(TAB_HISTORICO_MANUT[[#This Row],[Hora Final]]-TAB_HISTORICO_MANUT[[#This Row],[Hora Inicio]],0),0)</f>
        <v>0</v>
      </c>
      <c r="W87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7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74" s="117">
        <v>46133.812662037039</v>
      </c>
      <c r="Z874" s="118">
        <v>46134.032523148147</v>
      </c>
      <c r="AA874" s="119" t="s">
        <v>228</v>
      </c>
      <c r="AB874" s="119" t="s">
        <v>895</v>
      </c>
      <c r="AC874" s="115" t="s">
        <v>204</v>
      </c>
      <c r="AD874" s="117" t="s">
        <v>144</v>
      </c>
      <c r="AE874" s="117" t="s">
        <v>172</v>
      </c>
      <c r="AF874" s="122" t="s">
        <v>210</v>
      </c>
      <c r="AG874" s="123">
        <f>IF(TAB_HISTORICO_MANUT[[#This Row],[Hora Inicio]]="","",MONTH(TAB_HISTORICO_MANUT[[#This Row],[Hora Inicio]]))</f>
        <v>4</v>
      </c>
      <c r="AH874" s="120" t="s">
        <v>902</v>
      </c>
      <c r="AI874" s="115" t="s">
        <v>37</v>
      </c>
      <c r="AJ874" s="115" t="s">
        <v>273</v>
      </c>
      <c r="AK874" s="115" t="s">
        <v>274</v>
      </c>
      <c r="AL874" s="115" t="s">
        <v>275</v>
      </c>
      <c r="AM874" s="121" t="s">
        <v>276</v>
      </c>
      <c r="AN874" s="115" t="s">
        <v>217</v>
      </c>
      <c r="AO874" s="115" t="s">
        <v>216</v>
      </c>
      <c r="AP874" s="115" t="s">
        <v>905</v>
      </c>
    </row>
    <row r="875" spans="1:42" ht="50.1" customHeight="1" x14ac:dyDescent="0.25">
      <c r="A875" s="115">
        <f>MONTH(TAB_HISTORICO_MANUT[[#This Row],[Hora Final]])-MONTH(TAB_HISTORICO_MANUT[[#This Row],[Hora Inicio]])</f>
        <v>0</v>
      </c>
      <c r="B875" s="116"/>
      <c r="C875" s="115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Inicio]]=Z874,TAB_HISTORICO_MANUT[[#This Row],[Equipamento]]=AA874,TAB_HISTORICO_MANUT[[#This Row],[Descricao Despacho]]=AD874),0,1)))</f>
        <v>1</v>
      </c>
      <c r="O87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AR CONDICIONADO</v>
      </c>
      <c r="P87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7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875" s="107">
        <f>IF($Q875="","",(TAB_HISTORICO_MANUT[[#This Row],[Hora Final]]-TAB_HISTORICO_MANUT[[#This Row],[Hora Inicio]])*24)</f>
        <v>2.0050000000046566</v>
      </c>
      <c r="S87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75" s="109" t="str">
        <f>IF(AND(TAB_HISTORICO_MANUT[[#This Row],[EXPURGO Mãe]]="SIM",TAB_HISTORICO_MANUT[[#This Row],[Tipo]]="MÃE"),"EXP.MAE",IF(TAB_HISTORICO_MANUT[[#This Row],[EXPURGO Mãe]]="NÃO","NÃO EXP.MAE",T874))</f>
        <v>NÃO EXP.MAE</v>
      </c>
      <c r="U87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75" s="110">
        <f>IF(TAB_HISTORICO_MANUT[[#This Row],[EXPURGO Filhas]]="SIM",MAX(TAB_HISTORICO_MANUT[[#This Row],[Hora Final]]-TAB_HISTORICO_MANUT[[#This Row],[Hora Inicio]],0),0)</f>
        <v>0</v>
      </c>
      <c r="W87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7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75" s="117">
        <v>46134.583310185182</v>
      </c>
      <c r="Z875" s="118">
        <v>46134.666851851849</v>
      </c>
      <c r="AA875" s="119" t="s">
        <v>228</v>
      </c>
      <c r="AB875" s="119" t="s">
        <v>912</v>
      </c>
      <c r="AC875" s="115" t="s">
        <v>204</v>
      </c>
      <c r="AD875" s="117" t="s">
        <v>144</v>
      </c>
      <c r="AE875" s="117" t="s">
        <v>172</v>
      </c>
      <c r="AF875" s="122" t="s">
        <v>210</v>
      </c>
      <c r="AG875" s="123">
        <f>IF(TAB_HISTORICO_MANUT[[#This Row],[Hora Inicio]]="","",MONTH(TAB_HISTORICO_MANUT[[#This Row],[Hora Inicio]]))</f>
        <v>4</v>
      </c>
      <c r="AH875" s="120" t="s">
        <v>909</v>
      </c>
      <c r="AI875" s="115" t="s">
        <v>37</v>
      </c>
      <c r="AJ875" s="115" t="s">
        <v>913</v>
      </c>
      <c r="AK875" s="115" t="s">
        <v>914</v>
      </c>
      <c r="AL875" s="115" t="s">
        <v>526</v>
      </c>
      <c r="AM875" s="121" t="s">
        <v>527</v>
      </c>
      <c r="AN875" s="115" t="s">
        <v>217</v>
      </c>
      <c r="AO875" s="115" t="s">
        <v>910</v>
      </c>
      <c r="AP875" s="115" t="s">
        <v>911</v>
      </c>
    </row>
    <row r="876" spans="1:42" ht="50.1" customHeight="1" x14ac:dyDescent="0.25">
      <c r="A876" s="43">
        <f>MONTH(TAB_HISTORICO_MANUT[[#This Row],[Hora Final]])-MONTH(TAB_HISTORICO_MANUT[[#This Row],[Hora Inicio]])</f>
        <v>0</v>
      </c>
      <c r="B876" s="42"/>
      <c r="C876" s="43"/>
      <c r="D876" s="42"/>
      <c r="E876" s="42"/>
      <c r="F876" s="42"/>
      <c r="G876" s="42"/>
      <c r="H876" s="42"/>
      <c r="I876" s="42"/>
      <c r="J876" s="42"/>
      <c r="K876" s="42"/>
      <c r="L876" s="42"/>
      <c r="M876" s="42" t="s">
        <v>99</v>
      </c>
      <c r="N87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Inicio]]=Z875,TAB_HISTORICO_MANUT[[#This Row],[Equipamento]]=AA875,TAB_HISTORICO_MANUT[[#This Row],[Descricao Despacho]]=AD875),0,1)))</f>
        <v>1</v>
      </c>
      <c r="O87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876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87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876" s="50">
        <f>IF($Q876="","",(TAB_HISTORICO_MANUT[[#This Row],[Hora Final]]-TAB_HISTORICO_MANUT[[#This Row],[Hora Inicio]])*24)</f>
        <v>0.45722222223412246</v>
      </c>
      <c r="S87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76" s="54" t="str">
        <f>IF(AND(TAB_HISTORICO_MANUT[[#This Row],[EXPURGO Mãe]]="SIM",TAB_HISTORICO_MANUT[[#This Row],[Tipo]]="MÃE"),"EXP.MAE",IF(TAB_HISTORICO_MANUT[[#This Row],[EXPURGO Mãe]]="NÃO","NÃO EXP.MAE",T875))</f>
        <v>NÃO EXP.MAE</v>
      </c>
      <c r="U87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76" s="56">
        <f>IF(TAB_HISTORICO_MANUT[[#This Row],[EXPURGO Filhas]]="SIM",MAX(TAB_HISTORICO_MANUT[[#This Row],[Hora Final]]-TAB_HISTORICO_MANUT[[#This Row],[Hora Inicio]],0),0)</f>
        <v>0</v>
      </c>
      <c r="W87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7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76" s="46">
        <v>46137.128032407411</v>
      </c>
      <c r="Z876" s="47">
        <v>46137.147083333337</v>
      </c>
      <c r="AA876" s="48" t="s">
        <v>228</v>
      </c>
      <c r="AB876" s="48">
        <v>202601729918</v>
      </c>
      <c r="AC876" s="43" t="s">
        <v>300</v>
      </c>
      <c r="AD876" s="46" t="s">
        <v>146</v>
      </c>
      <c r="AE876" s="46" t="s">
        <v>178</v>
      </c>
      <c r="AF876" s="88" t="s">
        <v>210</v>
      </c>
      <c r="AG876" s="105">
        <f>IF(TAB_HISTORICO_MANUT[[#This Row],[Hora Inicio]]="","",MONTH(TAB_HISTORICO_MANUT[[#This Row],[Hora Inicio]]))</f>
        <v>4</v>
      </c>
      <c r="AH876" s="58" t="s">
        <v>931</v>
      </c>
      <c r="AI876" s="43" t="s">
        <v>340</v>
      </c>
      <c r="AJ876" s="43" t="s">
        <v>432</v>
      </c>
      <c r="AK876" s="43"/>
      <c r="AL876" s="43"/>
      <c r="AM876" s="114"/>
      <c r="AN876" s="43"/>
      <c r="AO876" s="43"/>
      <c r="AP876" s="43"/>
    </row>
    <row r="877" spans="1:42" ht="50.1" customHeight="1" x14ac:dyDescent="0.25">
      <c r="A877" s="115">
        <f>MONTH(TAB_HISTORICO_MANUT[[#This Row],[Hora Final]])-MONTH(TAB_HISTORICO_MANUT[[#This Row],[Hora Inicio]])</f>
        <v>0</v>
      </c>
      <c r="B877" s="116"/>
      <c r="C877" s="115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Inicio]]=Z876,TAB_HISTORICO_MANUT[[#This Row],[Equipamento]]=AA876,TAB_HISTORICO_MANUT[[#This Row],[Descricao Despacho]]=AD876),0,1)))</f>
        <v>0</v>
      </c>
      <c r="O87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87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87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877" s="107">
        <f>IF($Q877="","",(TAB_HISTORICO_MANUT[[#This Row],[Hora Final]]-TAB_HISTORICO_MANUT[[#This Row],[Hora Inicio]])*24)</f>
        <v>1.5249999999068677</v>
      </c>
      <c r="S87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77" s="109" t="str">
        <f>IF(AND(TAB_HISTORICO_MANUT[[#This Row],[EXPURGO Mãe]]="SIM",TAB_HISTORICO_MANUT[[#This Row],[Tipo]]="MÃE"),"EXP.MAE",IF(TAB_HISTORICO_MANUT[[#This Row],[EXPURGO Mãe]]="NÃO","NÃO EXP.MAE",T876))</f>
        <v>NÃO EXP.MAE</v>
      </c>
      <c r="U87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77" s="110">
        <f>IF(TAB_HISTORICO_MANUT[[#This Row],[EXPURGO Filhas]]="SIM",MAX(TAB_HISTORICO_MANUT[[#This Row],[Hora Final]]-TAB_HISTORICO_MANUT[[#This Row],[Hora Inicio]],0),0)</f>
        <v>0</v>
      </c>
      <c r="W87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7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77" s="117">
        <v>46137.147083333337</v>
      </c>
      <c r="Z877" s="118">
        <v>46137.210625</v>
      </c>
      <c r="AA877" s="119" t="s">
        <v>228</v>
      </c>
      <c r="AB877" s="119">
        <v>202601729918</v>
      </c>
      <c r="AC877" s="115" t="s">
        <v>301</v>
      </c>
      <c r="AD877" s="117" t="s">
        <v>146</v>
      </c>
      <c r="AE877" s="117" t="s">
        <v>310</v>
      </c>
      <c r="AF877" s="122" t="s">
        <v>210</v>
      </c>
      <c r="AG877" s="123">
        <f>IF(TAB_HISTORICO_MANUT[[#This Row],[Hora Inicio]]="","",MONTH(TAB_HISTORICO_MANUT[[#This Row],[Hora Inicio]]))</f>
        <v>4</v>
      </c>
      <c r="AH877" s="120" t="s">
        <v>931</v>
      </c>
      <c r="AI877" s="115" t="s">
        <v>340</v>
      </c>
      <c r="AJ877" s="115" t="s">
        <v>432</v>
      </c>
      <c r="AK877" s="115"/>
      <c r="AL877" s="115"/>
      <c r="AM877" s="121"/>
      <c r="AN877" s="115"/>
      <c r="AO877" s="115"/>
      <c r="AP877" s="115"/>
    </row>
    <row r="878" spans="1:42" ht="50.1" customHeight="1" x14ac:dyDescent="0.25">
      <c r="A878" s="115">
        <f>MONTH(TAB_HISTORICO_MANUT[[#This Row],[Hora Final]])-MONTH(TAB_HISTORICO_MANUT[[#This Row],[Hora Inicio]])</f>
        <v>0</v>
      </c>
      <c r="B878" s="116"/>
      <c r="C878" s="115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Inicio]]=Z877,TAB_HISTORICO_MANUT[[#This Row],[Equipamento]]=AA877,TAB_HISTORICO_MANUT[[#This Row],[Descricao Despacho]]=AD877),0,1)))</f>
        <v>0</v>
      </c>
      <c r="O87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87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87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878" s="107">
        <f>IF($Q878="","",(TAB_HISTORICO_MANUT[[#This Row],[Hora Final]]-TAB_HISTORICO_MANUT[[#This Row],[Hora Inicio]])*24)</f>
        <v>3.4441666665952653</v>
      </c>
      <c r="S87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878" s="109" t="str">
        <f>IF(AND(TAB_HISTORICO_MANUT[[#This Row],[EXPURGO Mãe]]="SIM",TAB_HISTORICO_MANUT[[#This Row],[Tipo]]="MÃE"),"EXP.MAE",IF(TAB_HISTORICO_MANUT[[#This Row],[EXPURGO Mãe]]="NÃO","NÃO EXP.MAE",T877))</f>
        <v>EXP.MAE</v>
      </c>
      <c r="U87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78" s="110">
        <f>IF(TAB_HISTORICO_MANUT[[#This Row],[EXPURGO Filhas]]="SIM",MAX(TAB_HISTORICO_MANUT[[#This Row],[Hora Final]]-TAB_HISTORICO_MANUT[[#This Row],[Hora Inicio]],0),0)</f>
        <v>0</v>
      </c>
      <c r="W87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7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78" s="117">
        <v>46137.210625</v>
      </c>
      <c r="Z878" s="118">
        <v>46137.354131944441</v>
      </c>
      <c r="AA878" s="119" t="s">
        <v>228</v>
      </c>
      <c r="AB878" s="119">
        <v>202601729918</v>
      </c>
      <c r="AC878" s="115" t="s">
        <v>362</v>
      </c>
      <c r="AD878" s="117" t="s">
        <v>146</v>
      </c>
      <c r="AE878" s="117" t="s">
        <v>175</v>
      </c>
      <c r="AF878" s="122" t="s">
        <v>210</v>
      </c>
      <c r="AG878" s="123">
        <f>IF(TAB_HISTORICO_MANUT[[#This Row],[Hora Inicio]]="","",MONTH(TAB_HISTORICO_MANUT[[#This Row],[Hora Inicio]]))</f>
        <v>4</v>
      </c>
      <c r="AH878" s="120" t="s">
        <v>931</v>
      </c>
      <c r="AI878" s="115" t="s">
        <v>340</v>
      </c>
      <c r="AJ878" s="115" t="s">
        <v>432</v>
      </c>
      <c r="AK878" s="115"/>
      <c r="AL878" s="115"/>
      <c r="AM878" s="121"/>
      <c r="AN878" s="115"/>
      <c r="AO878" s="115"/>
      <c r="AP878" s="115"/>
    </row>
    <row r="879" spans="1:42" ht="50.1" customHeight="1" x14ac:dyDescent="0.25">
      <c r="A879" s="115">
        <f>MONTH(TAB_HISTORICO_MANUT[[#This Row],[Hora Final]])-MONTH(TAB_HISTORICO_MANUT[[#This Row],[Hora Inicio]])</f>
        <v>0</v>
      </c>
      <c r="B879" s="116"/>
      <c r="C879" s="115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Inicio]]=Z878,TAB_HISTORICO_MANUT[[#This Row],[Equipamento]]=AA878,TAB_HISTORICO_MANUT[[#This Row],[Descricao Despacho]]=AD878),0,1)))</f>
        <v>0</v>
      </c>
      <c r="O87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87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87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879" s="107">
        <f>IF($Q879="","",(TAB_HISTORICO_MANUT[[#This Row],[Hora Final]]-TAB_HISTORICO_MANUT[[#This Row],[Hora Inicio]])*24)</f>
        <v>2.7050000000162981</v>
      </c>
      <c r="S87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79" s="109" t="str">
        <f>IF(AND(TAB_HISTORICO_MANUT[[#This Row],[EXPURGO Mãe]]="SIM",TAB_HISTORICO_MANUT[[#This Row],[Tipo]]="MÃE"),"EXP.MAE",IF(TAB_HISTORICO_MANUT[[#This Row],[EXPURGO Mãe]]="NÃO","NÃO EXP.MAE",T878))</f>
        <v>NÃO EXP.MAE</v>
      </c>
      <c r="U87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79" s="110">
        <f>IF(TAB_HISTORICO_MANUT[[#This Row],[EXPURGO Filhas]]="SIM",MAX(TAB_HISTORICO_MANUT[[#This Row],[Hora Final]]-TAB_HISTORICO_MANUT[[#This Row],[Hora Inicio]],0),0)</f>
        <v>0</v>
      </c>
      <c r="W87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7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79" s="117">
        <v>46137.354131944441</v>
      </c>
      <c r="Z879" s="118">
        <v>46137.466840277775</v>
      </c>
      <c r="AA879" s="119" t="s">
        <v>228</v>
      </c>
      <c r="AB879" s="119">
        <v>202601729918</v>
      </c>
      <c r="AC879" s="115" t="s">
        <v>302</v>
      </c>
      <c r="AD879" s="117" t="s">
        <v>146</v>
      </c>
      <c r="AE879" s="117" t="s">
        <v>311</v>
      </c>
      <c r="AF879" s="122" t="s">
        <v>210</v>
      </c>
      <c r="AG879" s="123">
        <f>IF(TAB_HISTORICO_MANUT[[#This Row],[Hora Inicio]]="","",MONTH(TAB_HISTORICO_MANUT[[#This Row],[Hora Inicio]]))</f>
        <v>4</v>
      </c>
      <c r="AH879" s="120" t="s">
        <v>931</v>
      </c>
      <c r="AI879" s="43" t="s">
        <v>340</v>
      </c>
      <c r="AJ879" s="43" t="s">
        <v>432</v>
      </c>
      <c r="AK879" s="43"/>
      <c r="AL879" s="43"/>
      <c r="AM879" s="114"/>
      <c r="AN879" s="115"/>
      <c r="AO879" s="115"/>
      <c r="AP879" s="115"/>
    </row>
    <row r="880" spans="1:42" ht="50.1" customHeight="1" x14ac:dyDescent="0.25">
      <c r="A880" s="43">
        <f>MONTH(TAB_HISTORICO_MANUT[[#This Row],[Hora Final]])-MONTH(TAB_HISTORICO_MANUT[[#This Row],[Hora Inicio]])</f>
        <v>0</v>
      </c>
      <c r="B880" s="42"/>
      <c r="C880" s="43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Inicio]]=Z879,TAB_HISTORICO_MANUT[[#This Row],[Equipamento]]=AA879,TAB_HISTORICO_MANUT[[#This Row],[Descricao Despacho]]=AD879),0,1)))</f>
        <v>0</v>
      </c>
      <c r="O88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880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88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880" s="50">
        <f>IF($Q880="","",(TAB_HISTORICO_MANUT[[#This Row],[Hora Final]]-TAB_HISTORICO_MANUT[[#This Row],[Hora Inicio]])*24)</f>
        <v>55.290555555664469</v>
      </c>
      <c r="S88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80" s="54" t="str">
        <f>IF(AND(TAB_HISTORICO_MANUT[[#This Row],[EXPURGO Mãe]]="SIM",TAB_HISTORICO_MANUT[[#This Row],[Tipo]]="MÃE"),"EXP.MAE",IF(TAB_HISTORICO_MANUT[[#This Row],[EXPURGO Mãe]]="NÃO","NÃO EXP.MAE",T879))</f>
        <v>NÃO EXP.MAE</v>
      </c>
      <c r="U88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80" s="56">
        <f>IF(TAB_HISTORICO_MANUT[[#This Row],[EXPURGO Filhas]]="SIM",MAX(TAB_HISTORICO_MANUT[[#This Row],[Hora Final]]-TAB_HISTORICO_MANUT[[#This Row],[Hora Inicio]],0),0)</f>
        <v>0</v>
      </c>
      <c r="W88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8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80" s="46">
        <v>46137.466840277775</v>
      </c>
      <c r="Z880" s="46">
        <v>46139.770613425928</v>
      </c>
      <c r="AA880" s="48" t="s">
        <v>228</v>
      </c>
      <c r="AB880" s="48">
        <v>202601729918</v>
      </c>
      <c r="AC880" s="43" t="s">
        <v>301</v>
      </c>
      <c r="AD880" s="46" t="s">
        <v>146</v>
      </c>
      <c r="AE880" s="46" t="s">
        <v>310</v>
      </c>
      <c r="AF880" s="88" t="s">
        <v>210</v>
      </c>
      <c r="AG880" s="105">
        <f>IF(TAB_HISTORICO_MANUT[[#This Row],[Hora Inicio]]="","",MONTH(TAB_HISTORICO_MANUT[[#This Row],[Hora Inicio]]))</f>
        <v>4</v>
      </c>
      <c r="AH880" s="58" t="s">
        <v>931</v>
      </c>
      <c r="AI880" s="43" t="s">
        <v>340</v>
      </c>
      <c r="AJ880" s="43" t="s">
        <v>432</v>
      </c>
      <c r="AK880" s="43"/>
      <c r="AL880" s="43"/>
      <c r="AM880" s="43"/>
      <c r="AN880" s="43"/>
      <c r="AO880" s="43"/>
      <c r="AP880" s="43"/>
    </row>
    <row r="881" spans="1:42" ht="50.1" customHeight="1" x14ac:dyDescent="0.25">
      <c r="A881" s="115">
        <f>MONTH(TAB_HISTORICO_MANUT[[#This Row],[Hora Final]])-MONTH(TAB_HISTORICO_MANUT[[#This Row],[Hora Inicio]])</f>
        <v>0</v>
      </c>
      <c r="B881" s="116"/>
      <c r="C881" s="115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Inicio]]=Z880,TAB_HISTORICO_MANUT[[#This Row],[Equipamento]]=AA880,TAB_HISTORICO_MANUT[[#This Row],[Descricao Despacho]]=AD880),0,1)))</f>
        <v>1</v>
      </c>
      <c r="O88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88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88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881" s="107">
        <f>IF($Q881="","",(TAB_HISTORICO_MANUT[[#This Row],[Hora Final]]-TAB_HISTORICO_MANUT[[#This Row],[Hora Inicio]])*24)</f>
        <v>0.38777777779614553</v>
      </c>
      <c r="S88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81" s="109" t="str">
        <f>IF(AND(TAB_HISTORICO_MANUT[[#This Row],[EXPURGO Mãe]]="SIM",TAB_HISTORICO_MANUT[[#This Row],[Tipo]]="MÃE"),"EXP.MAE",IF(TAB_HISTORICO_MANUT[[#This Row],[EXPURGO Mãe]]="NÃO","NÃO EXP.MAE",T880))</f>
        <v>NÃO EXP.MAE</v>
      </c>
      <c r="U88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81" s="110">
        <f>IF(TAB_HISTORICO_MANUT[[#This Row],[EXPURGO Filhas]]="SIM",MAX(TAB_HISTORICO_MANUT[[#This Row],[Hora Final]]-TAB_HISTORICO_MANUT[[#This Row],[Hora Inicio]],0),0)</f>
        <v>0</v>
      </c>
      <c r="W88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8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81" s="117">
        <v>46141.399537037039</v>
      </c>
      <c r="Z881" s="118">
        <v>46141.415694444448</v>
      </c>
      <c r="AA881" s="119" t="s">
        <v>228</v>
      </c>
      <c r="AB881" s="119">
        <v>202601729918</v>
      </c>
      <c r="AC881" s="115" t="s">
        <v>205</v>
      </c>
      <c r="AD881" s="117" t="s">
        <v>145</v>
      </c>
      <c r="AE881" s="117" t="s">
        <v>173</v>
      </c>
      <c r="AF881" s="122" t="s">
        <v>210</v>
      </c>
      <c r="AG881" s="123">
        <f>IF(TAB_HISTORICO_MANUT[[#This Row],[Hora Inicio]]="","",MONTH(TAB_HISTORICO_MANUT[[#This Row],[Hora Inicio]]))</f>
        <v>4</v>
      </c>
      <c r="AH881" s="120" t="s">
        <v>934</v>
      </c>
      <c r="AI881" s="115" t="s">
        <v>21</v>
      </c>
      <c r="AJ881" s="115" t="s">
        <v>427</v>
      </c>
      <c r="AK881" s="115" t="s">
        <v>291</v>
      </c>
      <c r="AL881" s="115" t="s">
        <v>292</v>
      </c>
      <c r="AM881" s="121" t="s">
        <v>294</v>
      </c>
      <c r="AN881" s="115"/>
      <c r="AO881" s="115"/>
      <c r="AP881" s="115"/>
    </row>
    <row r="882" spans="1:42" ht="50.1" customHeight="1" x14ac:dyDescent="0.25">
      <c r="A882" s="115">
        <f>MONTH(TAB_HISTORICO_MANUT[[#This Row],[Hora Final]])-MONTH(TAB_HISTORICO_MANUT[[#This Row],[Hora Inicio]])</f>
        <v>0</v>
      </c>
      <c r="B882" s="116"/>
      <c r="C882" s="115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 t="s">
        <v>98</v>
      </c>
      <c r="N882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Inicio]]=Z881,TAB_HISTORICO_MANUT[[#This Row],[Equipamento]]=AA881,TAB_HISTORICO_MANUT[[#This Row],[Descricao Despacho]]=AD881),0,1)))</f>
        <v/>
      </c>
      <c r="O88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82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8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82" s="107" t="str">
        <f>IF($Q882="","",(TAB_HISTORICO_MANUT[[#This Row],[Hora Final]]-TAB_HISTORICO_MANUT[[#This Row],[Hora Inicio]])*24)</f>
        <v/>
      </c>
      <c r="S88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82" s="109" t="str">
        <f>IF(AND(TAB_HISTORICO_MANUT[[#This Row],[EXPURGO Mãe]]="SIM",TAB_HISTORICO_MANUT[[#This Row],[Tipo]]="MÃE"),"EXP.MAE",IF(TAB_HISTORICO_MANUT[[#This Row],[EXPURGO Mãe]]="NÃO","NÃO EXP.MAE",T881))</f>
        <v>NÃO EXP.MAE</v>
      </c>
      <c r="U88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82" s="110">
        <f>IF(TAB_HISTORICO_MANUT[[#This Row],[EXPURGO Filhas]]="SIM",MAX(TAB_HISTORICO_MANUT[[#This Row],[Hora Final]]-TAB_HISTORICO_MANUT[[#This Row],[Hora Inicio]],0),0)</f>
        <v>6.2658425958943553E-3</v>
      </c>
      <c r="W88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8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82" s="117">
        <v>46141.409428601852</v>
      </c>
      <c r="Z882" s="118">
        <v>46141.415694444448</v>
      </c>
      <c r="AA882" s="119" t="s">
        <v>228</v>
      </c>
      <c r="AB882" s="119">
        <v>202601729918</v>
      </c>
      <c r="AC882" s="115" t="s">
        <v>205</v>
      </c>
      <c r="AD882" s="117" t="s">
        <v>145</v>
      </c>
      <c r="AE882" s="117" t="s">
        <v>173</v>
      </c>
      <c r="AF882" s="122" t="s">
        <v>767</v>
      </c>
      <c r="AG882" s="123">
        <f>IF(TAB_HISTORICO_MANUT[[#This Row],[Hora Inicio]]="","",MONTH(TAB_HISTORICO_MANUT[[#This Row],[Hora Inicio]]))</f>
        <v>4</v>
      </c>
      <c r="AH882" s="120" t="s">
        <v>934</v>
      </c>
      <c r="AI882" s="115" t="s">
        <v>21</v>
      </c>
      <c r="AJ882" s="115" t="s">
        <v>427</v>
      </c>
      <c r="AK882" s="115" t="s">
        <v>291</v>
      </c>
      <c r="AL882" s="115" t="s">
        <v>292</v>
      </c>
      <c r="AM882" s="121" t="s">
        <v>294</v>
      </c>
      <c r="AN882" s="115"/>
      <c r="AO882" s="115"/>
      <c r="AP882" s="115"/>
    </row>
    <row r="883" spans="1:42" ht="50.1" customHeight="1" x14ac:dyDescent="0.25">
      <c r="A883" s="115">
        <f>MONTH(TAB_HISTORICO_MANUT[[#This Row],[Hora Final]])-MONTH(TAB_HISTORICO_MANUT[[#This Row],[Hora Inicio]])</f>
        <v>0</v>
      </c>
      <c r="B883" s="116"/>
      <c r="C883" s="115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Inicio]]=Z882,TAB_HISTORICO_MANUT[[#This Row],[Equipamento]]=AA882,TAB_HISTORICO_MANUT[[#This Row],[Descricao Despacho]]=AD882),0,1)))</f>
        <v>1</v>
      </c>
      <c r="O88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883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88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883" s="50">
        <f>IF($Q883="","",(TAB_HISTORICO_MANUT[[#This Row],[Hora Final]]-TAB_HISTORICO_MANUT[[#This Row],[Hora Inicio]])*24)</f>
        <v>0.9497222222853452</v>
      </c>
      <c r="S88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83" s="54" t="str">
        <f>IF(AND(TAB_HISTORICO_MANUT[[#This Row],[EXPURGO Mãe]]="SIM",TAB_HISTORICO_MANUT[[#This Row],[Tipo]]="MÃE"),"EXP.MAE",IF(TAB_HISTORICO_MANUT[[#This Row],[EXPURGO Mãe]]="NÃO","NÃO EXP.MAE",T882))</f>
        <v>NÃO EXP.MAE</v>
      </c>
      <c r="U88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83" s="56">
        <f>IF(TAB_HISTORICO_MANUT[[#This Row],[EXPURGO Filhas]]="SIM",MAX(TAB_HISTORICO_MANUT[[#This Row],[Hora Final]]-TAB_HISTORICO_MANUT[[#This Row],[Hora Inicio]],0),0)</f>
        <v>0</v>
      </c>
      <c r="W88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8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83" s="117">
        <v>46142.419699074075</v>
      </c>
      <c r="Z883" s="118">
        <v>46142.459270833337</v>
      </c>
      <c r="AA883" s="119" t="s">
        <v>228</v>
      </c>
      <c r="AB883" s="119">
        <v>202601729918</v>
      </c>
      <c r="AC883" s="115" t="s">
        <v>882</v>
      </c>
      <c r="AD883" s="117" t="s">
        <v>146</v>
      </c>
      <c r="AE883" s="117" t="s">
        <v>883</v>
      </c>
      <c r="AF883" s="122" t="s">
        <v>210</v>
      </c>
      <c r="AG883" s="123">
        <f>IF(TAB_HISTORICO_MANUT[[#This Row],[Hora Inicio]]="","",MONTH(TAB_HISTORICO_MANUT[[#This Row],[Hora Inicio]]))</f>
        <v>4</v>
      </c>
      <c r="AH883" s="120" t="s">
        <v>751</v>
      </c>
      <c r="AI883" s="115" t="s">
        <v>25</v>
      </c>
      <c r="AJ883" s="115" t="s">
        <v>25</v>
      </c>
      <c r="AK883" s="115" t="s">
        <v>25</v>
      </c>
      <c r="AL883" s="115" t="s">
        <v>25</v>
      </c>
      <c r="AM883" s="121" t="s">
        <v>25</v>
      </c>
      <c r="AN883" s="115"/>
      <c r="AO883" s="115"/>
      <c r="AP883" s="115"/>
    </row>
    <row r="884" spans="1:42" ht="50.1" customHeight="1" x14ac:dyDescent="0.25">
      <c r="A884" s="43">
        <f>MONTH(TAB_HISTORICO_MANUT[[#This Row],[Hora Final]])-MONTH(TAB_HISTORICO_MANUT[[#This Row],[Hora Inicio]])</f>
        <v>0</v>
      </c>
      <c r="B884" s="42"/>
      <c r="C884" s="43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Inicio]]=Z883,TAB_HISTORICO_MANUT[[#This Row],[Equipamento]]=AA883,TAB_HISTORICO_MANUT[[#This Row],[Descricao Despacho]]=AD883),0,1)))</f>
        <v>1</v>
      </c>
      <c r="O88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DE FREIO</v>
      </c>
      <c r="P884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8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884" s="50">
        <f>IF($Q884="","",(TAB_HISTORICO_MANUT[[#This Row],[Hora Final]]-TAB_HISTORICO_MANUT[[#This Row],[Hora Inicio]])*24)</f>
        <v>6.7844444444635883</v>
      </c>
      <c r="S88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84" s="54" t="str">
        <f>IF(AND(TAB_HISTORICO_MANUT[[#This Row],[EXPURGO Mãe]]="SIM",TAB_HISTORICO_MANUT[[#This Row],[Tipo]]="MÃE"),"EXP.MAE",IF(TAB_HISTORICO_MANUT[[#This Row],[EXPURGO Mãe]]="NÃO","NÃO EXP.MAE",T883))</f>
        <v>NÃO EXP.MAE</v>
      </c>
      <c r="U88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84" s="56">
        <f>IF(TAB_HISTORICO_MANUT[[#This Row],[EXPURGO Filhas]]="SIM",MAX(TAB_HISTORICO_MANUT[[#This Row],[Hora Final]]-TAB_HISTORICO_MANUT[[#This Row],[Hora Inicio]],0),0)</f>
        <v>0</v>
      </c>
      <c r="W88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8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84" s="46">
        <v>46146.267233796294</v>
      </c>
      <c r="Z884" s="47">
        <v>46146.54991898148</v>
      </c>
      <c r="AA884" s="48" t="s">
        <v>228</v>
      </c>
      <c r="AB884" s="48" t="s">
        <v>947</v>
      </c>
      <c r="AC884" s="43" t="s">
        <v>204</v>
      </c>
      <c r="AD884" s="46" t="s">
        <v>144</v>
      </c>
      <c r="AE884" s="46" t="s">
        <v>172</v>
      </c>
      <c r="AF884" s="88" t="s">
        <v>210</v>
      </c>
      <c r="AG884" s="105">
        <f>IF(TAB_HISTORICO_MANUT[[#This Row],[Hora Inicio]]="","",MONTH(TAB_HISTORICO_MANUT[[#This Row],[Hora Inicio]]))</f>
        <v>5</v>
      </c>
      <c r="AH884" s="58" t="s">
        <v>952</v>
      </c>
      <c r="AI884" s="43" t="s">
        <v>46</v>
      </c>
      <c r="AJ884" s="43" t="s">
        <v>427</v>
      </c>
      <c r="AK884" s="43" t="s">
        <v>474</v>
      </c>
      <c r="AL884" s="43" t="s">
        <v>297</v>
      </c>
      <c r="AM884" s="43" t="s">
        <v>276</v>
      </c>
      <c r="AN884" s="43" t="s">
        <v>217</v>
      </c>
      <c r="AO884" s="43" t="s">
        <v>942</v>
      </c>
      <c r="AP884" s="43" t="s">
        <v>943</v>
      </c>
    </row>
    <row r="885" spans="1:42" ht="50.1" customHeight="1" x14ac:dyDescent="0.25">
      <c r="A885" s="115">
        <f>MONTH(TAB_HISTORICO_MANUT[[#This Row],[Hora Final]])-MONTH(TAB_HISTORICO_MANUT[[#This Row],[Hora Inicio]])</f>
        <v>0</v>
      </c>
      <c r="B885" s="116"/>
      <c r="C885" s="115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Inicio]]=Z884,TAB_HISTORICO_MANUT[[#This Row],[Equipamento]]=AA884,TAB_HISTORICO_MANUT[[#This Row],[Descricao Despacho]]=AD884),0,1)))</f>
        <v>1</v>
      </c>
      <c r="O88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88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8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885" s="107">
        <f>IF($Q885="","",(TAB_HISTORICO_MANUT[[#This Row],[Hora Final]]-TAB_HISTORICO_MANUT[[#This Row],[Hora Inicio]])*24)</f>
        <v>1.7488888889201917</v>
      </c>
      <c r="S88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85" s="109" t="str">
        <f>IF(AND(TAB_HISTORICO_MANUT[[#This Row],[EXPURGO Mãe]]="SIM",TAB_HISTORICO_MANUT[[#This Row],[Tipo]]="MÃE"),"EXP.MAE",IF(TAB_HISTORICO_MANUT[[#This Row],[EXPURGO Mãe]]="NÃO","NÃO EXP.MAE",T884))</f>
        <v>NÃO EXP.MAE</v>
      </c>
      <c r="U88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85" s="110">
        <f>IF(TAB_HISTORICO_MANUT[[#This Row],[EXPURGO Filhas]]="SIM",MAX(TAB_HISTORICO_MANUT[[#This Row],[Hora Final]]-TAB_HISTORICO_MANUT[[#This Row],[Hora Inicio]],0),0)</f>
        <v>0</v>
      </c>
      <c r="W88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8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85" s="117">
        <v>46146.590914351851</v>
      </c>
      <c r="Z885" s="118">
        <v>46146.663784722223</v>
      </c>
      <c r="AA885" s="119" t="s">
        <v>228</v>
      </c>
      <c r="AB885" s="119" t="s">
        <v>948</v>
      </c>
      <c r="AC885" s="115" t="s">
        <v>211</v>
      </c>
      <c r="AD885" s="117" t="s">
        <v>144</v>
      </c>
      <c r="AE885" s="117" t="s">
        <v>213</v>
      </c>
      <c r="AF885" s="122" t="s">
        <v>210</v>
      </c>
      <c r="AG885" s="123">
        <f>IF(TAB_HISTORICO_MANUT[[#This Row],[Hora Inicio]]="","",MONTH(TAB_HISTORICO_MANUT[[#This Row],[Hora Inicio]]))</f>
        <v>5</v>
      </c>
      <c r="AH885" s="120" t="s">
        <v>953</v>
      </c>
      <c r="AI885" s="115" t="s">
        <v>21</v>
      </c>
      <c r="AJ885" s="115" t="s">
        <v>293</v>
      </c>
      <c r="AK885" s="115" t="s">
        <v>291</v>
      </c>
      <c r="AL885" s="115" t="s">
        <v>292</v>
      </c>
      <c r="AM885" s="121" t="s">
        <v>294</v>
      </c>
      <c r="AN885" s="115" t="s">
        <v>229</v>
      </c>
      <c r="AO885" s="115" t="s">
        <v>256</v>
      </c>
      <c r="AP885" s="115" t="s">
        <v>242</v>
      </c>
    </row>
    <row r="886" spans="1:42" ht="50.1" customHeight="1" x14ac:dyDescent="0.25">
      <c r="A886" s="43">
        <f>MONTH(TAB_HISTORICO_MANUT[[#This Row],[Hora Final]])-MONTH(TAB_HISTORICO_MANUT[[#This Row],[Hora Inicio]])</f>
        <v>0</v>
      </c>
      <c r="B886" s="42"/>
      <c r="C886" s="43"/>
      <c r="D886" s="42"/>
      <c r="E886" s="42"/>
      <c r="F886" s="42"/>
      <c r="G886" s="42"/>
      <c r="H886" s="42"/>
      <c r="I886" s="42"/>
      <c r="J886" s="42"/>
      <c r="K886" s="42"/>
      <c r="L886" s="42"/>
      <c r="M886" s="42" t="s">
        <v>98</v>
      </c>
      <c r="N886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Inicio]]=Z885,TAB_HISTORICO_MANUT[[#This Row],[Equipamento]]=AA885,TAB_HISTORICO_MANUT[[#This Row],[Descricao Despacho]]=AD885),0,1)))</f>
        <v/>
      </c>
      <c r="O88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86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8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86" s="50" t="str">
        <f>IF($Q886="","",(TAB_HISTORICO_MANUT[[#This Row],[Hora Final]]-TAB_HISTORICO_MANUT[[#This Row],[Hora Inicio]])*24)</f>
        <v/>
      </c>
      <c r="S88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86" s="54" t="str">
        <f>IF(AND(TAB_HISTORICO_MANUT[[#This Row],[EXPURGO Mãe]]="SIM",TAB_HISTORICO_MANUT[[#This Row],[Tipo]]="MÃE"),"EXP.MAE",IF(TAB_HISTORICO_MANUT[[#This Row],[EXPURGO Mãe]]="NÃO","NÃO EXP.MAE",T885))</f>
        <v>NÃO EXP.MAE</v>
      </c>
      <c r="U88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86" s="56">
        <f>IF(TAB_HISTORICO_MANUT[[#This Row],[EXPURGO Filhas]]="SIM",MAX(TAB_HISTORICO_MANUT[[#This Row],[Hora Final]]-TAB_HISTORICO_MANUT[[#This Row],[Hora Inicio]],0),0)</f>
        <v>5.0557462964206934E-2</v>
      </c>
      <c r="W88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8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86" s="46">
        <v>46146.613227259259</v>
      </c>
      <c r="Z886" s="47">
        <v>46146.663784722223</v>
      </c>
      <c r="AA886" s="48" t="s">
        <v>228</v>
      </c>
      <c r="AB886" s="48" t="s">
        <v>948</v>
      </c>
      <c r="AC886" s="43" t="s">
        <v>211</v>
      </c>
      <c r="AD886" s="46" t="s">
        <v>144</v>
      </c>
      <c r="AE886" s="46" t="s">
        <v>213</v>
      </c>
      <c r="AF886" s="88" t="s">
        <v>767</v>
      </c>
      <c r="AG886" s="105">
        <f>IF(TAB_HISTORICO_MANUT[[#This Row],[Hora Inicio]]="","",MONTH(TAB_HISTORICO_MANUT[[#This Row],[Hora Inicio]]))</f>
        <v>5</v>
      </c>
      <c r="AH886" s="120" t="s">
        <v>953</v>
      </c>
      <c r="AI886" s="115" t="s">
        <v>21</v>
      </c>
      <c r="AJ886" s="115" t="s">
        <v>293</v>
      </c>
      <c r="AK886" s="43" t="s">
        <v>291</v>
      </c>
      <c r="AL886" s="43" t="s">
        <v>292</v>
      </c>
      <c r="AM886" s="114" t="s">
        <v>294</v>
      </c>
      <c r="AN886" s="43"/>
      <c r="AO886" s="43"/>
      <c r="AP886" s="43"/>
    </row>
    <row r="887" spans="1:42" ht="50.1" customHeight="1" x14ac:dyDescent="0.25">
      <c r="A887" s="115">
        <f>MONTH(TAB_HISTORICO_MANUT[[#This Row],[Hora Final]])-MONTH(TAB_HISTORICO_MANUT[[#This Row],[Hora Inicio]])</f>
        <v>0</v>
      </c>
      <c r="B887" s="116"/>
      <c r="C887" s="115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Inicio]]=Z886,TAB_HISTORICO_MANUT[[#This Row],[Equipamento]]=AA886,TAB_HISTORICO_MANUT[[#This Row],[Descricao Despacho]]=AD886),0,1)))</f>
        <v>1</v>
      </c>
      <c r="O88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88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8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887" s="107">
        <f>IF($Q887="","",(TAB_HISTORICO_MANUT[[#This Row],[Hora Final]]-TAB_HISTORICO_MANUT[[#This Row],[Hora Inicio]])*24)</f>
        <v>0.76888888893881813</v>
      </c>
      <c r="S88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87" s="109" t="str">
        <f>IF(AND(TAB_HISTORICO_MANUT[[#This Row],[EXPURGO Mãe]]="SIM",TAB_HISTORICO_MANUT[[#This Row],[Tipo]]="MÃE"),"EXP.MAE",IF(TAB_HISTORICO_MANUT[[#This Row],[EXPURGO Mãe]]="NÃO","NÃO EXP.MAE",T886))</f>
        <v>NÃO EXP.MAE</v>
      </c>
      <c r="U88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87" s="110">
        <f>IF(TAB_HISTORICO_MANUT[[#This Row],[EXPURGO Filhas]]="SIM",MAX(TAB_HISTORICO_MANUT[[#This Row],[Hora Final]]-TAB_HISTORICO_MANUT[[#This Row],[Hora Inicio]],0),0)</f>
        <v>0</v>
      </c>
      <c r="W88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8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87" s="117">
        <v>46147.000798611109</v>
      </c>
      <c r="Z887" s="118">
        <v>46147.032835648148</v>
      </c>
      <c r="AA887" s="119" t="s">
        <v>228</v>
      </c>
      <c r="AB887" s="119" t="s">
        <v>961</v>
      </c>
      <c r="AC887" s="115" t="s">
        <v>204</v>
      </c>
      <c r="AD887" s="117" t="s">
        <v>144</v>
      </c>
      <c r="AE887" s="117" t="s">
        <v>172</v>
      </c>
      <c r="AF887" s="122" t="s">
        <v>210</v>
      </c>
      <c r="AG887" s="123">
        <f>IF(TAB_HISTORICO_MANUT[[#This Row],[Hora Inicio]]="","",MONTH(TAB_HISTORICO_MANUT[[#This Row],[Hora Inicio]]))</f>
        <v>5</v>
      </c>
      <c r="AH887" s="120" t="s">
        <v>957</v>
      </c>
      <c r="AI887" s="115" t="s">
        <v>24</v>
      </c>
      <c r="AJ887" s="115" t="s">
        <v>423</v>
      </c>
      <c r="AK887" s="115" t="s">
        <v>422</v>
      </c>
      <c r="AL887" s="115" t="s">
        <v>279</v>
      </c>
      <c r="AM887" s="121" t="s">
        <v>280</v>
      </c>
      <c r="AN887" s="115" t="s">
        <v>217</v>
      </c>
      <c r="AO887" s="115" t="s">
        <v>405</v>
      </c>
      <c r="AP887" s="115" t="s">
        <v>906</v>
      </c>
    </row>
    <row r="888" spans="1:42" ht="50.1" customHeight="1" x14ac:dyDescent="0.25">
      <c r="A888" s="115">
        <f>MONTH(TAB_HISTORICO_MANUT[[#This Row],[Hora Final]])-MONTH(TAB_HISTORICO_MANUT[[#This Row],[Hora Inicio]])</f>
        <v>0</v>
      </c>
      <c r="B888" s="116"/>
      <c r="C888" s="115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Inicio]]=Z887,TAB_HISTORICO_MANUT[[#This Row],[Equipamento]]=AA887,TAB_HISTORICO_MANUT[[#This Row],[Descricao Despacho]]=AD887),0,1)))</f>
        <v>1</v>
      </c>
      <c r="O88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88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8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888" s="107">
        <f>IF($Q888="","",(TAB_HISTORICO_MANUT[[#This Row],[Hora Final]]-TAB_HISTORICO_MANUT[[#This Row],[Hora Inicio]])*24)</f>
        <v>2.2430555556784384</v>
      </c>
      <c r="S88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88" s="109" t="str">
        <f>IF(AND(TAB_HISTORICO_MANUT[[#This Row],[EXPURGO Mãe]]="SIM",TAB_HISTORICO_MANUT[[#This Row],[Tipo]]="MÃE"),"EXP.MAE",IF(TAB_HISTORICO_MANUT[[#This Row],[EXPURGO Mãe]]="NÃO","NÃO EXP.MAE",T887))</f>
        <v>NÃO EXP.MAE</v>
      </c>
      <c r="U88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88" s="110">
        <f>IF(TAB_HISTORICO_MANUT[[#This Row],[EXPURGO Filhas]]="SIM",MAX(TAB_HISTORICO_MANUT[[#This Row],[Hora Final]]-TAB_HISTORICO_MANUT[[#This Row],[Hora Inicio]],0),0)</f>
        <v>0</v>
      </c>
      <c r="W88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8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88" s="117">
        <v>46147.399456018517</v>
      </c>
      <c r="Z888" s="118">
        <v>46147.49291666667</v>
      </c>
      <c r="AA888" s="119" t="s">
        <v>228</v>
      </c>
      <c r="AB888" s="119">
        <v>202602289765</v>
      </c>
      <c r="AC888" s="115" t="s">
        <v>204</v>
      </c>
      <c r="AD888" s="117" t="s">
        <v>144</v>
      </c>
      <c r="AE888" s="117" t="s">
        <v>172</v>
      </c>
      <c r="AF888" s="122" t="s">
        <v>210</v>
      </c>
      <c r="AG888" s="123">
        <f>IF(TAB_HISTORICO_MANUT[[#This Row],[Hora Inicio]]="","",MONTH(TAB_HISTORICO_MANUT[[#This Row],[Hora Inicio]]))</f>
        <v>5</v>
      </c>
      <c r="AH888" s="120" t="s">
        <v>958</v>
      </c>
      <c r="AI888" s="115" t="s">
        <v>22</v>
      </c>
      <c r="AJ888" s="115" t="s">
        <v>962</v>
      </c>
      <c r="AK888" s="115" t="s">
        <v>963</v>
      </c>
      <c r="AL888" s="115" t="s">
        <v>82</v>
      </c>
      <c r="AM888" s="121" t="s">
        <v>276</v>
      </c>
      <c r="AN888" s="115"/>
      <c r="AO888" s="115"/>
      <c r="AP888" s="115"/>
    </row>
    <row r="889" spans="1:42" ht="50.1" customHeight="1" x14ac:dyDescent="0.25">
      <c r="A889" s="43">
        <f>MONTH(TAB_HISTORICO_MANUT[[#This Row],[Hora Final]])-MONTH(TAB_HISTORICO_MANUT[[#This Row],[Hora Inicio]])</f>
        <v>0</v>
      </c>
      <c r="B889" s="42"/>
      <c r="C889" s="43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Inicio]]=Z888,TAB_HISTORICO_MANUT[[#This Row],[Equipamento]]=AA888,TAB_HISTORICO_MANUT[[#This Row],[Descricao Despacho]]=AD888),0,1)))</f>
        <v>1</v>
      </c>
      <c r="O88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889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8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889" s="50">
        <f>IF($Q889="","",(TAB_HISTORICO_MANUT[[#This Row],[Hora Final]]-TAB_HISTORICO_MANUT[[#This Row],[Hora Inicio]])*24)</f>
        <v>5.8347222221782431</v>
      </c>
      <c r="S88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89" s="54" t="str">
        <f>IF(AND(TAB_HISTORICO_MANUT[[#This Row],[EXPURGO Mãe]]="SIM",TAB_HISTORICO_MANUT[[#This Row],[Tipo]]="MÃE"),"EXP.MAE",IF(TAB_HISTORICO_MANUT[[#This Row],[EXPURGO Mãe]]="NÃO","NÃO EXP.MAE",T888))</f>
        <v>NÃO EXP.MAE</v>
      </c>
      <c r="U88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89" s="56">
        <f>IF(TAB_HISTORICO_MANUT[[#This Row],[EXPURGO Filhas]]="SIM",MAX(TAB_HISTORICO_MANUT[[#This Row],[Hora Final]]-TAB_HISTORICO_MANUT[[#This Row],[Hora Inicio]],0),0)</f>
        <v>0</v>
      </c>
      <c r="W88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8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89" s="46">
        <v>46147.723773148151</v>
      </c>
      <c r="Z889" s="47">
        <v>46147.966886574075</v>
      </c>
      <c r="AA889" s="48" t="s">
        <v>228</v>
      </c>
      <c r="AB889" s="48">
        <v>202602289765</v>
      </c>
      <c r="AC889" s="43" t="s">
        <v>204</v>
      </c>
      <c r="AD889" s="46" t="s">
        <v>144</v>
      </c>
      <c r="AE889" s="46" t="s">
        <v>172</v>
      </c>
      <c r="AF889" s="88" t="s">
        <v>210</v>
      </c>
      <c r="AG889" s="105">
        <f>IF(TAB_HISTORICO_MANUT[[#This Row],[Hora Inicio]]="","",MONTH(TAB_HISTORICO_MANUT[[#This Row],[Hora Inicio]]))</f>
        <v>5</v>
      </c>
      <c r="AH889" s="58" t="s">
        <v>960</v>
      </c>
      <c r="AI889" s="43" t="s">
        <v>22</v>
      </c>
      <c r="AJ889" s="43" t="s">
        <v>962</v>
      </c>
      <c r="AK889" s="43" t="s">
        <v>290</v>
      </c>
      <c r="AL889" s="43" t="s">
        <v>82</v>
      </c>
      <c r="AM889" s="43" t="s">
        <v>276</v>
      </c>
      <c r="AN889" s="43"/>
      <c r="AO889" s="43"/>
      <c r="AP889" s="43"/>
    </row>
    <row r="890" spans="1:42" ht="50.1" customHeight="1" x14ac:dyDescent="0.25">
      <c r="A890" s="43">
        <f>MONTH(TAB_HISTORICO_MANUT[[#This Row],[Hora Final]])-MONTH(TAB_HISTORICO_MANUT[[#This Row],[Hora Inicio]])</f>
        <v>0</v>
      </c>
      <c r="B890" s="42"/>
      <c r="C890" s="43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Inicio]]=Z889,TAB_HISTORICO_MANUT[[#This Row],[Equipamento]]=AA889,TAB_HISTORICO_MANUT[[#This Row],[Descricao Despacho]]=AD889),0,1)))</f>
        <v>1</v>
      </c>
      <c r="O89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890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89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890" s="50">
        <f>IF($Q890="","",(TAB_HISTORICO_MANUT[[#This Row],[Hora Final]]-TAB_HISTORICO_MANUT[[#This Row],[Hora Inicio]])*24)</f>
        <v>1.0061111110844649</v>
      </c>
      <c r="S89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90" s="54" t="str">
        <f>IF(AND(TAB_HISTORICO_MANUT[[#This Row],[EXPURGO Mãe]]="SIM",TAB_HISTORICO_MANUT[[#This Row],[Tipo]]="MÃE"),"EXP.MAE",IF(TAB_HISTORICO_MANUT[[#This Row],[EXPURGO Mãe]]="NÃO","NÃO EXP.MAE",T889))</f>
        <v>NÃO EXP.MAE</v>
      </c>
      <c r="U89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90" s="56">
        <f>IF(TAB_HISTORICO_MANUT[[#This Row],[EXPURGO Filhas]]="SIM",MAX(TAB_HISTORICO_MANUT[[#This Row],[Hora Final]]-TAB_HISTORICO_MANUT[[#This Row],[Hora Inicio]],0),0)</f>
        <v>0</v>
      </c>
      <c r="W89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9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90" s="46">
        <v>46150.587141203701</v>
      </c>
      <c r="Z890" s="47">
        <v>46150.629062499997</v>
      </c>
      <c r="AA890" s="48" t="s">
        <v>228</v>
      </c>
      <c r="AB890" s="48"/>
      <c r="AC890" s="43" t="s">
        <v>882</v>
      </c>
      <c r="AD890" s="46" t="s">
        <v>146</v>
      </c>
      <c r="AE890" s="46" t="s">
        <v>883</v>
      </c>
      <c r="AF890" s="88" t="s">
        <v>210</v>
      </c>
      <c r="AG890" s="105">
        <f>IF(TAB_HISTORICO_MANUT[[#This Row],[Hora Inicio]]="","",MONTH(TAB_HISTORICO_MANUT[[#This Row],[Hora Inicio]]))</f>
        <v>5</v>
      </c>
      <c r="AH890" s="58"/>
      <c r="AI890" s="43" t="s">
        <v>25</v>
      </c>
      <c r="AJ890" s="43" t="s">
        <v>25</v>
      </c>
      <c r="AK890" s="43" t="s">
        <v>25</v>
      </c>
      <c r="AL890" s="43" t="s">
        <v>25</v>
      </c>
      <c r="AM890" s="114" t="s">
        <v>25</v>
      </c>
      <c r="AN890" s="43"/>
      <c r="AO890" s="43"/>
      <c r="AP890" s="43"/>
    </row>
    <row r="891" spans="1:42" ht="50.1" customHeight="1" x14ac:dyDescent="0.25">
      <c r="A891" s="43">
        <f>MONTH(TAB_HISTORICO_MANUT[[#This Row],[Hora Final]])-MONTH(TAB_HISTORICO_MANUT[[#This Row],[Hora Inicio]])</f>
        <v>0</v>
      </c>
      <c r="B891" s="42"/>
      <c r="C891" s="43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Inicio]]=Z890,TAB_HISTORICO_MANUT[[#This Row],[Equipamento]]=AA890,TAB_HISTORICO_MANUT[[#This Row],[Descricao Despacho]]=AD890),0,1)))</f>
        <v>1</v>
      </c>
      <c r="O89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891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9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891" s="50">
        <f>IF($Q891="","",(TAB_HISTORICO_MANUT[[#This Row],[Hora Final]]-TAB_HISTORICO_MANUT[[#This Row],[Hora Inicio]])*24)</f>
        <v>1.9341666667023674</v>
      </c>
      <c r="S89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91" s="54" t="str">
        <f>IF(AND(TAB_HISTORICO_MANUT[[#This Row],[EXPURGO Mãe]]="SIM",TAB_HISTORICO_MANUT[[#This Row],[Tipo]]="MÃE"),"EXP.MAE",IF(TAB_HISTORICO_MANUT[[#This Row],[EXPURGO Mãe]]="NÃO","NÃO EXP.MAE",T890))</f>
        <v>NÃO EXP.MAE</v>
      </c>
      <c r="U89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91" s="56">
        <f>IF(TAB_HISTORICO_MANUT[[#This Row],[EXPURGO Filhas]]="SIM",MAX(TAB_HISTORICO_MANUT[[#This Row],[Hora Final]]-TAB_HISTORICO_MANUT[[#This Row],[Hora Inicio]],0),0)</f>
        <v>0</v>
      </c>
      <c r="W89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9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91" s="46">
        <v>46151.838993055557</v>
      </c>
      <c r="Z891" s="47">
        <v>46151.919583333336</v>
      </c>
      <c r="AA891" s="48" t="s">
        <v>228</v>
      </c>
      <c r="AB891" s="48" t="s">
        <v>978</v>
      </c>
      <c r="AC891" s="43" t="s">
        <v>204</v>
      </c>
      <c r="AD891" s="46" t="s">
        <v>144</v>
      </c>
      <c r="AE891" s="46" t="s">
        <v>172</v>
      </c>
      <c r="AF891" s="88" t="s">
        <v>210</v>
      </c>
      <c r="AG891" s="105">
        <f>IF(TAB_HISTORICO_MANUT[[#This Row],[Hora Inicio]]="","",MONTH(TAB_HISTORICO_MANUT[[#This Row],[Hora Inicio]]))</f>
        <v>5</v>
      </c>
      <c r="AH891" s="58" t="s">
        <v>974</v>
      </c>
      <c r="AI891" s="43" t="s">
        <v>22</v>
      </c>
      <c r="AJ891" s="43" t="s">
        <v>692</v>
      </c>
      <c r="AK891" s="43" t="s">
        <v>693</v>
      </c>
      <c r="AL891" s="43" t="s">
        <v>282</v>
      </c>
      <c r="AM891" s="114" t="s">
        <v>283</v>
      </c>
      <c r="AN891" s="43" t="s">
        <v>215</v>
      </c>
      <c r="AO891" s="43" t="s">
        <v>222</v>
      </c>
      <c r="AP891" s="43" t="s">
        <v>976</v>
      </c>
    </row>
    <row r="892" spans="1:42" ht="50.1" customHeight="1" x14ac:dyDescent="0.25">
      <c r="A892" s="115">
        <f>MONTH(TAB_HISTORICO_MANUT[[#This Row],[Hora Final]])-MONTH(TAB_HISTORICO_MANUT[[#This Row],[Hora Inicio]])</f>
        <v>0</v>
      </c>
      <c r="B892" s="116"/>
      <c r="C892" s="115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Inicio]]=Z891,TAB_HISTORICO_MANUT[[#This Row],[Equipamento]]=AA891,TAB_HISTORICO_MANUT[[#This Row],[Descricao Despacho]]=AD891),0,1)))</f>
        <v>1</v>
      </c>
      <c r="O89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89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89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892" s="107">
        <f>IF($Q892="","",(TAB_HISTORICO_MANUT[[#This Row],[Hora Final]]-TAB_HISTORICO_MANUT[[#This Row],[Hora Inicio]])*24)</f>
        <v>3.0405555556062609</v>
      </c>
      <c r="S89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92" s="109" t="str">
        <f>IF(AND(TAB_HISTORICO_MANUT[[#This Row],[EXPURGO Mãe]]="SIM",TAB_HISTORICO_MANUT[[#This Row],[Tipo]]="MÃE"),"EXP.MAE",IF(TAB_HISTORICO_MANUT[[#This Row],[EXPURGO Mãe]]="NÃO","NÃO EXP.MAE",T891))</f>
        <v>NÃO EXP.MAE</v>
      </c>
      <c r="U89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92" s="110">
        <f>IF(TAB_HISTORICO_MANUT[[#This Row],[EXPURGO Filhas]]="SIM",MAX(TAB_HISTORICO_MANUT[[#This Row],[Hora Final]]-TAB_HISTORICO_MANUT[[#This Row],[Hora Inicio]],0),0)</f>
        <v>0</v>
      </c>
      <c r="W89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9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92" s="117">
        <v>46154.828587962962</v>
      </c>
      <c r="Z892" s="118">
        <v>46154.955277777779</v>
      </c>
      <c r="AA892" s="119" t="s">
        <v>228</v>
      </c>
      <c r="AB892" s="119"/>
      <c r="AC892" s="115" t="s">
        <v>301</v>
      </c>
      <c r="AD892" s="117" t="s">
        <v>146</v>
      </c>
      <c r="AE892" s="117" t="s">
        <v>310</v>
      </c>
      <c r="AF892" s="122" t="s">
        <v>210</v>
      </c>
      <c r="AG892" s="123">
        <f>IF(TAB_HISTORICO_MANUT[[#This Row],[Hora Inicio]]="","",MONTH(TAB_HISTORICO_MANUT[[#This Row],[Hora Inicio]]))</f>
        <v>5</v>
      </c>
      <c r="AH892" s="120" t="s">
        <v>437</v>
      </c>
      <c r="AI892" s="115" t="s">
        <v>340</v>
      </c>
      <c r="AJ892" s="115" t="s">
        <v>436</v>
      </c>
      <c r="AK892" s="115"/>
      <c r="AL892" s="115"/>
      <c r="AM892" s="121"/>
      <c r="AN892" s="115"/>
      <c r="AO892" s="115"/>
      <c r="AP892" s="115"/>
    </row>
    <row r="893" spans="1:42" ht="50.1" customHeight="1" x14ac:dyDescent="0.25">
      <c r="A893" s="43">
        <f>MONTH(TAB_HISTORICO_MANUT[[#This Row],[Hora Final]])-MONTH(TAB_HISTORICO_MANUT[[#This Row],[Hora Inicio]])</f>
        <v>0</v>
      </c>
      <c r="B893" s="42"/>
      <c r="C893" s="43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Inicio]]=Z892,TAB_HISTORICO_MANUT[[#This Row],[Equipamento]]=AA892,TAB_HISTORICO_MANUT[[#This Row],[Descricao Despacho]]=AD892),0,1)))</f>
        <v>1</v>
      </c>
      <c r="O89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893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9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893" s="50">
        <f>IF($Q893="","",(TAB_HISTORICO_MANUT[[#This Row],[Hora Final]]-TAB_HISTORICO_MANUT[[#This Row],[Hora Inicio]])*24)</f>
        <v>56.470555555599276</v>
      </c>
      <c r="S89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93" s="54" t="str">
        <f>IF(AND(TAB_HISTORICO_MANUT[[#This Row],[EXPURGO Mãe]]="SIM",TAB_HISTORICO_MANUT[[#This Row],[Tipo]]="MÃE"),"EXP.MAE",IF(TAB_HISTORICO_MANUT[[#This Row],[EXPURGO Mãe]]="NÃO","NÃO EXP.MAE",T892))</f>
        <v>NÃO EXP.MAE</v>
      </c>
      <c r="U89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93" s="56">
        <f>IF(TAB_HISTORICO_MANUT[[#This Row],[EXPURGO Filhas]]="SIM",MAX(TAB_HISTORICO_MANUT[[#This Row],[Hora Final]]-TAB_HISTORICO_MANUT[[#This Row],[Hora Inicio]],0),0)</f>
        <v>0</v>
      </c>
      <c r="W89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9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93" s="46">
        <v>46157.211504629631</v>
      </c>
      <c r="Z893" s="47">
        <v>46159.564444444448</v>
      </c>
      <c r="AA893" s="48" t="s">
        <v>228</v>
      </c>
      <c r="AB893" s="48" t="s">
        <v>1000</v>
      </c>
      <c r="AC893" s="43" t="s">
        <v>204</v>
      </c>
      <c r="AD893" s="46" t="s">
        <v>144</v>
      </c>
      <c r="AE893" s="46" t="s">
        <v>172</v>
      </c>
      <c r="AF893" s="88" t="s">
        <v>210</v>
      </c>
      <c r="AG893" s="105">
        <f>IF(TAB_HISTORICO_MANUT[[#This Row],[Hora Inicio]]="","",MONTH(TAB_HISTORICO_MANUT[[#This Row],[Hora Inicio]]))</f>
        <v>5</v>
      </c>
      <c r="AH893" s="58" t="s">
        <v>996</v>
      </c>
      <c r="AI893" s="43" t="s">
        <v>24</v>
      </c>
      <c r="AJ893" s="43" t="s">
        <v>623</v>
      </c>
      <c r="AK893" s="43" t="s">
        <v>1004</v>
      </c>
      <c r="AL893" s="43" t="s">
        <v>275</v>
      </c>
      <c r="AM893" s="114" t="s">
        <v>276</v>
      </c>
      <c r="AN893" s="43" t="s">
        <v>217</v>
      </c>
      <c r="AO893" s="43" t="s">
        <v>993</v>
      </c>
      <c r="AP893" s="43" t="s">
        <v>994</v>
      </c>
    </row>
    <row r="894" spans="1:42" ht="50.1" customHeight="1" x14ac:dyDescent="0.25">
      <c r="A894" s="43">
        <f>MONTH(TAB_HISTORICO_MANUT[[#This Row],[Hora Final]])-MONTH(TAB_HISTORICO_MANUT[[#This Row],[Hora Inicio]])</f>
        <v>0</v>
      </c>
      <c r="B894" s="42"/>
      <c r="C894" s="43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Inicio]]=Z893,TAB_HISTORICO_MANUT[[#This Row],[Equipamento]]=AA893,TAB_HISTORICO_MANUT[[#This Row],[Descricao Despacho]]=AD893),0,1)))</f>
        <v/>
      </c>
      <c r="O89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94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9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94" s="50" t="str">
        <f>IF($Q894="","",(TAB_HISTORICO_MANUT[[#This Row],[Hora Final]]-TAB_HISTORICO_MANUT[[#This Row],[Hora Inicio]])*24)</f>
        <v/>
      </c>
      <c r="S89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94" s="54" t="str">
        <f>IF(AND(TAB_HISTORICO_MANUT[[#This Row],[EXPURGO Mãe]]="SIM",TAB_HISTORICO_MANUT[[#This Row],[Tipo]]="MÃE"),"EXP.MAE",IF(TAB_HISTORICO_MANUT[[#This Row],[EXPURGO Mãe]]="NÃO","NÃO EXP.MAE",T893))</f>
        <v>NÃO EXP.MAE</v>
      </c>
      <c r="U89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94" s="56">
        <f>IF(TAB_HISTORICO_MANUT[[#This Row],[EXPURGO Filhas]]="SIM",MAX(TAB_HISTORICO_MANUT[[#This Row],[Hora Final]]-TAB_HISTORICO_MANUT[[#This Row],[Hora Inicio]],0),0)</f>
        <v>0.16666666666424135</v>
      </c>
      <c r="W89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9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94" s="46">
        <v>46157.25</v>
      </c>
      <c r="Z894" s="47">
        <v>46157.416666666664</v>
      </c>
      <c r="AA894" s="48" t="s">
        <v>228</v>
      </c>
      <c r="AB894" s="48" t="s">
        <v>1000</v>
      </c>
      <c r="AC894" s="43" t="s">
        <v>204</v>
      </c>
      <c r="AD894" s="46" t="s">
        <v>144</v>
      </c>
      <c r="AE894" s="46" t="s">
        <v>766</v>
      </c>
      <c r="AF894" s="88" t="s">
        <v>767</v>
      </c>
      <c r="AG894" s="105">
        <f>IF(TAB_HISTORICO_MANUT[[#This Row],[Hora Inicio]]="","",MONTH(TAB_HISTORICO_MANUT[[#This Row],[Hora Inicio]]))</f>
        <v>5</v>
      </c>
      <c r="AH894" s="58" t="s">
        <v>1286</v>
      </c>
      <c r="AI894" s="43" t="s">
        <v>24</v>
      </c>
      <c r="AJ894" s="43" t="s">
        <v>623</v>
      </c>
      <c r="AK894" s="43" t="s">
        <v>1004</v>
      </c>
      <c r="AL894" s="43" t="s">
        <v>275</v>
      </c>
      <c r="AM894" s="114" t="s">
        <v>276</v>
      </c>
      <c r="AN894" s="43"/>
      <c r="AO894" s="43"/>
      <c r="AP894" s="43"/>
    </row>
    <row r="895" spans="1:42" ht="50.1" customHeight="1" x14ac:dyDescent="0.25">
      <c r="A895" s="43">
        <f>MONTH(TAB_HISTORICO_MANUT[[#This Row],[Hora Final]])-MONTH(TAB_HISTORICO_MANUT[[#This Row],[Hora Inicio]])</f>
        <v>0</v>
      </c>
      <c r="B895" s="42"/>
      <c r="C895" s="43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Inicio]]=Z894,TAB_HISTORICO_MANUT[[#This Row],[Equipamento]]=AA894,TAB_HISTORICO_MANUT[[#This Row],[Descricao Despacho]]=AD894),0,1)))</f>
        <v/>
      </c>
      <c r="O89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95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9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95" s="50" t="str">
        <f>IF($Q895="","",(TAB_HISTORICO_MANUT[[#This Row],[Hora Final]]-TAB_HISTORICO_MANUT[[#This Row],[Hora Inicio]])*24)</f>
        <v/>
      </c>
      <c r="S89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95" s="54" t="str">
        <f>IF(AND(TAB_HISTORICO_MANUT[[#This Row],[EXPURGO Mãe]]="SIM",TAB_HISTORICO_MANUT[[#This Row],[Tipo]]="MÃE"),"EXP.MAE",IF(TAB_HISTORICO_MANUT[[#This Row],[EXPURGO Mãe]]="NÃO","NÃO EXP.MAE",T894))</f>
        <v>NÃO EXP.MAE</v>
      </c>
      <c r="U89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95" s="56">
        <f>IF(TAB_HISTORICO_MANUT[[#This Row],[EXPURGO Filhas]]="SIM",MAX(TAB_HISTORICO_MANUT[[#This Row],[Hora Final]]-TAB_HISTORICO_MANUT[[#This Row],[Hora Inicio]],0),0)</f>
        <v>0.29166666666424135</v>
      </c>
      <c r="W89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9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95" s="46">
        <v>46157.75</v>
      </c>
      <c r="Z895" s="47">
        <v>46158.041666666664</v>
      </c>
      <c r="AA895" s="48" t="s">
        <v>228</v>
      </c>
      <c r="AB895" s="48" t="s">
        <v>1000</v>
      </c>
      <c r="AC895" s="43" t="s">
        <v>204</v>
      </c>
      <c r="AD895" s="46" t="s">
        <v>144</v>
      </c>
      <c r="AE895" s="46" t="s">
        <v>768</v>
      </c>
      <c r="AF895" s="88" t="s">
        <v>767</v>
      </c>
      <c r="AG895" s="105">
        <f>IF(TAB_HISTORICO_MANUT[[#This Row],[Hora Inicio]]="","",MONTH(TAB_HISTORICO_MANUT[[#This Row],[Hora Inicio]]))</f>
        <v>5</v>
      </c>
      <c r="AH895" s="58" t="s">
        <v>1287</v>
      </c>
      <c r="AI895" s="43" t="s">
        <v>24</v>
      </c>
      <c r="AJ895" s="43" t="s">
        <v>623</v>
      </c>
      <c r="AK895" s="43" t="s">
        <v>1004</v>
      </c>
      <c r="AL895" s="43" t="s">
        <v>275</v>
      </c>
      <c r="AM895" s="114" t="s">
        <v>276</v>
      </c>
      <c r="AN895" s="43"/>
      <c r="AO895" s="43"/>
      <c r="AP895" s="43"/>
    </row>
    <row r="896" spans="1:42" ht="50.1" customHeight="1" x14ac:dyDescent="0.25">
      <c r="A896" s="115">
        <f>MONTH(TAB_HISTORICO_MANUT[[#This Row],[Hora Final]])-MONTH(TAB_HISTORICO_MANUT[[#This Row],[Hora Inicio]])</f>
        <v>0</v>
      </c>
      <c r="B896" s="116"/>
      <c r="C896" s="115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Inicio]]=Z895,TAB_HISTORICO_MANUT[[#This Row],[Equipamento]]=AA895,TAB_HISTORICO_MANUT[[#This Row],[Descricao Despacho]]=AD895),0,1)))</f>
        <v/>
      </c>
      <c r="O89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96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9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96" s="107" t="str">
        <f>IF($Q896="","",(TAB_HISTORICO_MANUT[[#This Row],[Hora Final]]-TAB_HISTORICO_MANUT[[#This Row],[Hora Inicio]])*24)</f>
        <v/>
      </c>
      <c r="S89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96" s="109" t="str">
        <f>IF(AND(TAB_HISTORICO_MANUT[[#This Row],[EXPURGO Mãe]]="SIM",TAB_HISTORICO_MANUT[[#This Row],[Tipo]]="MÃE"),"EXP.MAE",IF(TAB_HISTORICO_MANUT[[#This Row],[EXPURGO Mãe]]="NÃO","NÃO EXP.MAE",T895))</f>
        <v>NÃO EXP.MAE</v>
      </c>
      <c r="U89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96" s="110">
        <f>IF(TAB_HISTORICO_MANUT[[#This Row],[EXPURGO Filhas]]="SIM",MAX(TAB_HISTORICO_MANUT[[#This Row],[Hora Final]]-TAB_HISTORICO_MANUT[[#This Row],[Hora Inicio]],0),0)</f>
        <v>0.14583333333575865</v>
      </c>
      <c r="W89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9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96" s="117">
        <v>46158.416666666664</v>
      </c>
      <c r="Z896" s="118">
        <v>46158.5625</v>
      </c>
      <c r="AA896" s="119" t="s">
        <v>228</v>
      </c>
      <c r="AB896" s="119" t="s">
        <v>1000</v>
      </c>
      <c r="AC896" s="115" t="s">
        <v>204</v>
      </c>
      <c r="AD896" s="117" t="s">
        <v>144</v>
      </c>
      <c r="AE896" s="117" t="s">
        <v>768</v>
      </c>
      <c r="AF896" s="122" t="s">
        <v>767</v>
      </c>
      <c r="AG896" s="123">
        <f>IF(TAB_HISTORICO_MANUT[[#This Row],[Hora Inicio]]="","",MONTH(TAB_HISTORICO_MANUT[[#This Row],[Hora Inicio]]))</f>
        <v>5</v>
      </c>
      <c r="AH896" s="120" t="s">
        <v>1287</v>
      </c>
      <c r="AI896" s="115" t="s">
        <v>24</v>
      </c>
      <c r="AJ896" s="115" t="s">
        <v>623</v>
      </c>
      <c r="AK896" s="115" t="s">
        <v>1004</v>
      </c>
      <c r="AL896" s="115" t="s">
        <v>275</v>
      </c>
      <c r="AM896" s="121" t="s">
        <v>276</v>
      </c>
      <c r="AN896" s="115"/>
      <c r="AO896" s="115"/>
      <c r="AP896" s="115"/>
    </row>
    <row r="897" spans="1:42" ht="50.1" customHeight="1" x14ac:dyDescent="0.25">
      <c r="A897" s="115">
        <f>MONTH(TAB_HISTORICO_MANUT[[#This Row],[Hora Final]])-MONTH(TAB_HISTORICO_MANUT[[#This Row],[Hora Inicio]])</f>
        <v>0</v>
      </c>
      <c r="B897" s="116"/>
      <c r="C897" s="115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Inicio]]=Z896,TAB_HISTORICO_MANUT[[#This Row],[Equipamento]]=AA896,TAB_HISTORICO_MANUT[[#This Row],[Descricao Despacho]]=AD896),0,1)))</f>
        <v>1</v>
      </c>
      <c r="O89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DE FREIO</v>
      </c>
      <c r="P89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89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897" s="107">
        <f>IF($Q897="","",(TAB_HISTORICO_MANUT[[#This Row],[Hora Final]]-TAB_HISTORICO_MANUT[[#This Row],[Hora Inicio]])*24)</f>
        <v>4.0127777777379379</v>
      </c>
      <c r="S89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97" s="109" t="str">
        <f>IF(AND(TAB_HISTORICO_MANUT[[#This Row],[EXPURGO Mãe]]="SIM",TAB_HISTORICO_MANUT[[#This Row],[Tipo]]="MÃE"),"EXP.MAE",IF(TAB_HISTORICO_MANUT[[#This Row],[EXPURGO Mãe]]="NÃO","NÃO EXP.MAE",T896))</f>
        <v>NÃO EXP.MAE</v>
      </c>
      <c r="U89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97" s="110">
        <f>IF(TAB_HISTORICO_MANUT[[#This Row],[EXPURGO Filhas]]="SIM",MAX(TAB_HISTORICO_MANUT[[#This Row],[Hora Final]]-TAB_HISTORICO_MANUT[[#This Row],[Hora Inicio]],0),0)</f>
        <v>0</v>
      </c>
      <c r="W89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9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97" s="117">
        <v>46159.679351851853</v>
      </c>
      <c r="Z897" s="118">
        <v>46159.846550925926</v>
      </c>
      <c r="AA897" s="119" t="s">
        <v>228</v>
      </c>
      <c r="AB897" s="119" t="s">
        <v>1003</v>
      </c>
      <c r="AC897" s="115" t="s">
        <v>204</v>
      </c>
      <c r="AD897" s="117" t="s">
        <v>144</v>
      </c>
      <c r="AE897" s="117" t="s">
        <v>172</v>
      </c>
      <c r="AF897" s="122" t="s">
        <v>210</v>
      </c>
      <c r="AG897" s="123">
        <f>IF(TAB_HISTORICO_MANUT[[#This Row],[Hora Inicio]]="","",MONTH(TAB_HISTORICO_MANUT[[#This Row],[Hora Inicio]]))</f>
        <v>5</v>
      </c>
      <c r="AH897" s="120" t="s">
        <v>998</v>
      </c>
      <c r="AI897" s="115" t="s">
        <v>46</v>
      </c>
      <c r="AJ897" s="115" t="s">
        <v>537</v>
      </c>
      <c r="AK897" s="115" t="s">
        <v>529</v>
      </c>
      <c r="AL897" s="115" t="s">
        <v>1005</v>
      </c>
      <c r="AM897" s="121" t="s">
        <v>283</v>
      </c>
      <c r="AN897" s="115" t="s">
        <v>217</v>
      </c>
      <c r="AO897" s="115" t="s">
        <v>579</v>
      </c>
      <c r="AP897" s="115" t="s">
        <v>584</v>
      </c>
    </row>
    <row r="898" spans="1:42" ht="50.1" customHeight="1" x14ac:dyDescent="0.25">
      <c r="A898" s="115">
        <f>MONTH(TAB_HISTORICO_MANUT[[#This Row],[Hora Final]])-MONTH(TAB_HISTORICO_MANUT[[#This Row],[Hora Inicio]])</f>
        <v>0</v>
      </c>
      <c r="B898" s="116"/>
      <c r="C898" s="115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Inicio]]=Z897,TAB_HISTORICO_MANUT[[#This Row],[Equipamento]]=AA897,TAB_HISTORICO_MANUT[[#This Row],[Descricao Despacho]]=AD897),0,1)))</f>
        <v/>
      </c>
      <c r="O89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898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89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898" s="107" t="str">
        <f>IF($Q898="","",(TAB_HISTORICO_MANUT[[#This Row],[Hora Final]]-TAB_HISTORICO_MANUT[[#This Row],[Hora Inicio]])*24)</f>
        <v/>
      </c>
      <c r="S89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898" s="109" t="str">
        <f>IF(AND(TAB_HISTORICO_MANUT[[#This Row],[EXPURGO Mãe]]="SIM",TAB_HISTORICO_MANUT[[#This Row],[Tipo]]="MÃE"),"EXP.MAE",IF(TAB_HISTORICO_MANUT[[#This Row],[EXPURGO Mãe]]="NÃO","NÃO EXP.MAE",T897))</f>
        <v>NÃO EXP.MAE</v>
      </c>
      <c r="U89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898" s="110">
        <f>IF(TAB_HISTORICO_MANUT[[#This Row],[EXPURGO Filhas]]="SIM",MAX(TAB_HISTORICO_MANUT[[#This Row],[Hora Final]]-TAB_HISTORICO_MANUT[[#This Row],[Hora Inicio]],0),0)</f>
        <v>4.9803240741312038E-2</v>
      </c>
      <c r="W89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9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98" s="117">
        <v>46159.679363425923</v>
      </c>
      <c r="Z898" s="118">
        <v>46159.729166666664</v>
      </c>
      <c r="AA898" s="119" t="s">
        <v>228</v>
      </c>
      <c r="AB898" s="119">
        <v>202602520162</v>
      </c>
      <c r="AC898" s="115" t="s">
        <v>204</v>
      </c>
      <c r="AD898" s="117" t="s">
        <v>144</v>
      </c>
      <c r="AE898" s="117" t="s">
        <v>772</v>
      </c>
      <c r="AF898" s="122" t="s">
        <v>767</v>
      </c>
      <c r="AG898" s="123">
        <f>IF(TAB_HISTORICO_MANUT[[#This Row],[Hora Inicio]]="","",MONTH(TAB_HISTORICO_MANUT[[#This Row],[Hora Inicio]]))</f>
        <v>5</v>
      </c>
      <c r="AH898" s="120" t="s">
        <v>1289</v>
      </c>
      <c r="AI898" s="115" t="s">
        <v>46</v>
      </c>
      <c r="AJ898" s="115" t="s">
        <v>537</v>
      </c>
      <c r="AK898" s="115" t="s">
        <v>529</v>
      </c>
      <c r="AL898" s="115" t="s">
        <v>1005</v>
      </c>
      <c r="AM898" s="121" t="s">
        <v>283</v>
      </c>
      <c r="AN898" s="115"/>
      <c r="AO898" s="115"/>
      <c r="AP898" s="115"/>
    </row>
    <row r="899" spans="1:42" ht="50.1" customHeight="1" x14ac:dyDescent="0.25">
      <c r="A899" s="43">
        <f>MONTH(TAB_HISTORICO_MANUT[[#This Row],[Hora Final]])-MONTH(TAB_HISTORICO_MANUT[[#This Row],[Hora Inicio]])</f>
        <v>0</v>
      </c>
      <c r="B899" s="42"/>
      <c r="C899" s="43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Inicio]]=Z898,TAB_HISTORICO_MANUT[[#This Row],[Equipamento]]=AA898,TAB_HISTORICO_MANUT[[#This Row],[Descricao Despacho]]=AD898),0,1)))</f>
        <v>1</v>
      </c>
      <c r="O89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899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89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899" s="50">
        <f>IF($Q899="","",(TAB_HISTORICO_MANUT[[#This Row],[Hora Final]]-TAB_HISTORICO_MANUT[[#This Row],[Hora Inicio]])*24)</f>
        <v>14.181666666758247</v>
      </c>
      <c r="S89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899" s="54" t="str">
        <f>IF(AND(TAB_HISTORICO_MANUT[[#This Row],[EXPURGO Mãe]]="SIM",TAB_HISTORICO_MANUT[[#This Row],[Tipo]]="MÃE"),"EXP.MAE",IF(TAB_HISTORICO_MANUT[[#This Row],[EXPURGO Mãe]]="NÃO","NÃO EXP.MAE",T898))</f>
        <v>NÃO EXP.MAE</v>
      </c>
      <c r="U89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899" s="56">
        <f>IF(TAB_HISTORICO_MANUT[[#This Row],[EXPURGO Filhas]]="SIM",MAX(TAB_HISTORICO_MANUT[[#This Row],[Hora Final]]-TAB_HISTORICO_MANUT[[#This Row],[Hora Inicio]],0),0)</f>
        <v>0</v>
      </c>
      <c r="W89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89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899" s="46">
        <v>46160.508298611108</v>
      </c>
      <c r="Z899" s="47">
        <v>46161.09920138889</v>
      </c>
      <c r="AA899" s="48" t="s">
        <v>228</v>
      </c>
      <c r="AB899" s="48"/>
      <c r="AC899" s="43" t="s">
        <v>481</v>
      </c>
      <c r="AD899" s="46" t="s">
        <v>146</v>
      </c>
      <c r="AE899" s="46" t="s">
        <v>480</v>
      </c>
      <c r="AF899" s="88" t="s">
        <v>210</v>
      </c>
      <c r="AG899" s="105">
        <f>IF(TAB_HISTORICO_MANUT[[#This Row],[Hora Inicio]]="","",MONTH(TAB_HISTORICO_MANUT[[#This Row],[Hora Inicio]]))</f>
        <v>5</v>
      </c>
      <c r="AH899" s="58" t="s">
        <v>1300</v>
      </c>
      <c r="AI899" s="43" t="s">
        <v>21</v>
      </c>
      <c r="AJ899" s="43" t="s">
        <v>1008</v>
      </c>
      <c r="AK899" s="43" t="s">
        <v>291</v>
      </c>
      <c r="AL899" s="43" t="s">
        <v>275</v>
      </c>
      <c r="AM899" s="114" t="s">
        <v>276</v>
      </c>
      <c r="AN899" s="43"/>
      <c r="AO899" s="43"/>
      <c r="AP899" s="43"/>
    </row>
    <row r="900" spans="1:42" ht="50.1" customHeight="1" x14ac:dyDescent="0.25">
      <c r="A900" s="115">
        <f>MONTH(TAB_HISTORICO_MANUT[[#This Row],[Hora Final]])-MONTH(TAB_HISTORICO_MANUT[[#This Row],[Hora Inicio]])</f>
        <v>0</v>
      </c>
      <c r="B900" s="116"/>
      <c r="C900" s="115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Inicio]]=Z899,TAB_HISTORICO_MANUT[[#This Row],[Equipamento]]=AA899,TAB_HISTORICO_MANUT[[#This Row],[Descricao Despacho]]=AD899),0,1)))</f>
        <v/>
      </c>
      <c r="O90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900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90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900" s="107" t="str">
        <f>IF($Q900="","",(TAB_HISTORICO_MANUT[[#This Row],[Hora Final]]-TAB_HISTORICO_MANUT[[#This Row],[Hora Inicio]])*24)</f>
        <v/>
      </c>
      <c r="S90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900" s="109" t="str">
        <f>IF(AND(TAB_HISTORICO_MANUT[[#This Row],[EXPURGO Mãe]]="SIM",TAB_HISTORICO_MANUT[[#This Row],[Tipo]]="MÃE"),"EXP.MAE",IF(TAB_HISTORICO_MANUT[[#This Row],[EXPURGO Mãe]]="NÃO","NÃO EXP.MAE",T899))</f>
        <v>NÃO EXP.MAE</v>
      </c>
      <c r="U90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00" s="110">
        <f>IF(TAB_HISTORICO_MANUT[[#This Row],[EXPURGO Filhas]]="SIM",MAX(TAB_HISTORICO_MANUT[[#This Row],[Hora Final]]-TAB_HISTORICO_MANUT[[#This Row],[Hora Inicio]],0),0)</f>
        <v>0</v>
      </c>
      <c r="W90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0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00" s="46">
        <v>46160.689233041667</v>
      </c>
      <c r="Z900" s="118">
        <v>46161.09920138889</v>
      </c>
      <c r="AA900" s="119" t="s">
        <v>228</v>
      </c>
      <c r="AB900" s="119"/>
      <c r="AC900" s="115" t="s">
        <v>481</v>
      </c>
      <c r="AD900" s="117" t="s">
        <v>146</v>
      </c>
      <c r="AE900" s="117" t="s">
        <v>480</v>
      </c>
      <c r="AF900" s="122" t="s">
        <v>767</v>
      </c>
      <c r="AG900" s="123">
        <f>IF(TAB_HISTORICO_MANUT[[#This Row],[Hora Inicio]]="","",MONTH(TAB_HISTORICO_MANUT[[#This Row],[Hora Inicio]]))</f>
        <v>5</v>
      </c>
      <c r="AH900" s="120" t="s">
        <v>1300</v>
      </c>
      <c r="AI900" s="115" t="s">
        <v>21</v>
      </c>
      <c r="AJ900" s="115" t="s">
        <v>1008</v>
      </c>
      <c r="AK900" s="115" t="s">
        <v>291</v>
      </c>
      <c r="AL900" s="115" t="s">
        <v>275</v>
      </c>
      <c r="AM900" s="121" t="s">
        <v>276</v>
      </c>
      <c r="AN900" s="115"/>
      <c r="AO900" s="115"/>
      <c r="AP900" s="115"/>
    </row>
    <row r="901" spans="1:42" ht="50.1" customHeight="1" x14ac:dyDescent="0.25">
      <c r="A901" s="43">
        <f>MONTH(TAB_HISTORICO_MANUT[[#This Row],[Hora Final]])-MONTH(TAB_HISTORICO_MANUT[[#This Row],[Hora Inicio]])</f>
        <v>0</v>
      </c>
      <c r="B901" s="42"/>
      <c r="C901" s="43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Inicio]]=Z900,TAB_HISTORICO_MANUT[[#This Row],[Equipamento]]=AA900,TAB_HISTORICO_MANUT[[#This Row],[Descricao Despacho]]=AD900),0,1)))</f>
        <v>1</v>
      </c>
      <c r="O90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901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0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01" s="50">
        <f>IF($Q901="","",(TAB_HISTORICO_MANUT[[#This Row],[Hora Final]]-TAB_HISTORICO_MANUT[[#This Row],[Hora Inicio]])*24)</f>
        <v>3.4502777777379379</v>
      </c>
      <c r="S90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01" s="54" t="str">
        <f>IF(AND(TAB_HISTORICO_MANUT[[#This Row],[EXPURGO Mãe]]="SIM",TAB_HISTORICO_MANUT[[#This Row],[Tipo]]="MÃE"),"EXP.MAE",IF(TAB_HISTORICO_MANUT[[#This Row],[EXPURGO Mãe]]="NÃO","NÃO EXP.MAE",T900))</f>
        <v>NÃO EXP.MAE</v>
      </c>
      <c r="U90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01" s="56">
        <f>IF(TAB_HISTORICO_MANUT[[#This Row],[EXPURGO Filhas]]="SIM",MAX(TAB_HISTORICO_MANUT[[#This Row],[Hora Final]]-TAB_HISTORICO_MANUT[[#This Row],[Hora Inicio]],0),0)</f>
        <v>0</v>
      </c>
      <c r="W90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0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01" s="46">
        <v>46163.076886574076</v>
      </c>
      <c r="Z901" s="47">
        <v>46163.220648148148</v>
      </c>
      <c r="AA901" s="48" t="s">
        <v>228</v>
      </c>
      <c r="AB901" s="48" t="s">
        <v>1010</v>
      </c>
      <c r="AC901" s="43" t="s">
        <v>204</v>
      </c>
      <c r="AD901" s="46" t="s">
        <v>144</v>
      </c>
      <c r="AE901" s="46" t="s">
        <v>172</v>
      </c>
      <c r="AF901" s="88" t="s">
        <v>210</v>
      </c>
      <c r="AG901" s="105">
        <f>IF(TAB_HISTORICO_MANUT[[#This Row],[Hora Inicio]]="","",MONTH(TAB_HISTORICO_MANUT[[#This Row],[Hora Inicio]]))</f>
        <v>5</v>
      </c>
      <c r="AH901" s="58" t="s">
        <v>1027</v>
      </c>
      <c r="AI901" s="43" t="s">
        <v>24</v>
      </c>
      <c r="AJ901" s="43" t="s">
        <v>223</v>
      </c>
      <c r="AK901" s="43" t="s">
        <v>422</v>
      </c>
      <c r="AL901" s="43" t="s">
        <v>1044</v>
      </c>
      <c r="AM901" s="114" t="s">
        <v>280</v>
      </c>
      <c r="AN901" s="43" t="s">
        <v>217</v>
      </c>
      <c r="AO901" s="43" t="s">
        <v>405</v>
      </c>
      <c r="AP901" s="43" t="s">
        <v>403</v>
      </c>
    </row>
    <row r="902" spans="1:42" ht="50.1" customHeight="1" x14ac:dyDescent="0.25">
      <c r="A902" s="43">
        <f>MONTH(TAB_HISTORICO_MANUT[[#This Row],[Hora Final]])-MONTH(TAB_HISTORICO_MANUT[[#This Row],[Hora Inicio]])</f>
        <v>0</v>
      </c>
      <c r="B902" s="42"/>
      <c r="C902" s="43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Inicio]]=Z901,TAB_HISTORICO_MANUT[[#This Row],[Equipamento]]=AA901,TAB_HISTORICO_MANUT[[#This Row],[Descricao Despacho]]=AD901),0,1)))</f>
        <v/>
      </c>
      <c r="O90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902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90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902" s="50" t="str">
        <f>IF($Q902="","",(TAB_HISTORICO_MANUT[[#This Row],[Hora Final]]-TAB_HISTORICO_MANUT[[#This Row],[Hora Inicio]])*24)</f>
        <v/>
      </c>
      <c r="S90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902" s="54" t="str">
        <f>IF(AND(TAB_HISTORICO_MANUT[[#This Row],[EXPURGO Mãe]]="SIM",TAB_HISTORICO_MANUT[[#This Row],[Tipo]]="MÃE"),"EXP.MAE",IF(TAB_HISTORICO_MANUT[[#This Row],[EXPURGO Mãe]]="NÃO","NÃO EXP.MAE",T901))</f>
        <v>NÃO EXP.MAE</v>
      </c>
      <c r="U90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902" s="56">
        <f>IF(TAB_HISTORICO_MANUT[[#This Row],[EXPURGO Filhas]]="SIM",MAX(TAB_HISTORICO_MANUT[[#This Row],[Hora Final]]-TAB_HISTORICO_MANUT[[#This Row],[Hora Inicio]],0),0)</f>
        <v>0.12103009259590181</v>
      </c>
      <c r="W90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0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02" s="46">
        <v>46163.097719907404</v>
      </c>
      <c r="Z902" s="47">
        <v>46163.21875</v>
      </c>
      <c r="AA902" s="48" t="s">
        <v>228</v>
      </c>
      <c r="AB902" s="48" t="s">
        <v>1010</v>
      </c>
      <c r="AC902" s="43" t="s">
        <v>204</v>
      </c>
      <c r="AD902" s="46" t="s">
        <v>144</v>
      </c>
      <c r="AE902" s="46" t="s">
        <v>765</v>
      </c>
      <c r="AF902" s="88" t="s">
        <v>767</v>
      </c>
      <c r="AG902" s="105">
        <f>IF(TAB_HISTORICO_MANUT[[#This Row],[Hora Inicio]]="","",MONTH(TAB_HISTORICO_MANUT[[#This Row],[Hora Inicio]]))</f>
        <v>5</v>
      </c>
      <c r="AH902" s="58" t="s">
        <v>1299</v>
      </c>
      <c r="AI902" s="43" t="s">
        <v>24</v>
      </c>
      <c r="AJ902" s="43" t="s">
        <v>223</v>
      </c>
      <c r="AK902" s="43" t="s">
        <v>422</v>
      </c>
      <c r="AL902" s="43" t="s">
        <v>1044</v>
      </c>
      <c r="AM902" s="114" t="s">
        <v>280</v>
      </c>
      <c r="AN902" s="43"/>
      <c r="AO902" s="43"/>
      <c r="AP902" s="43"/>
    </row>
    <row r="903" spans="1:42" ht="50.1" customHeight="1" x14ac:dyDescent="0.25">
      <c r="A903" s="115">
        <f>MONTH(TAB_HISTORICO_MANUT[[#This Row],[Hora Final]])-MONTH(TAB_HISTORICO_MANUT[[#This Row],[Hora Inicio]])</f>
        <v>0</v>
      </c>
      <c r="B903" s="116"/>
      <c r="C903" s="115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Inicio]]=Z902,TAB_HISTORICO_MANUT[[#This Row],[Equipamento]]=AA902,TAB_HISTORICO_MANUT[[#This Row],[Descricao Despacho]]=AD902),0,1)))</f>
        <v>1</v>
      </c>
      <c r="O90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90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90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903" s="107">
        <f>IF($Q903="","",(TAB_HISTORICO_MANUT[[#This Row],[Hora Final]]-TAB_HISTORICO_MANUT[[#This Row],[Hora Inicio]])*24)</f>
        <v>0.31583333329763263</v>
      </c>
      <c r="S90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03" s="109" t="str">
        <f>IF(AND(TAB_HISTORICO_MANUT[[#This Row],[EXPURGO Mãe]]="SIM",TAB_HISTORICO_MANUT[[#This Row],[Tipo]]="MÃE"),"EXP.MAE",IF(TAB_HISTORICO_MANUT[[#This Row],[EXPURGO Mãe]]="NÃO","NÃO EXP.MAE",T902))</f>
        <v>NÃO EXP.MAE</v>
      </c>
      <c r="U90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03" s="110">
        <f>IF(TAB_HISTORICO_MANUT[[#This Row],[EXPURGO Filhas]]="SIM",MAX(TAB_HISTORICO_MANUT[[#This Row],[Hora Final]]-TAB_HISTORICO_MANUT[[#This Row],[Hora Inicio]],0),0)</f>
        <v>0</v>
      </c>
      <c r="W90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0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03" s="117">
        <v>46163.358622685184</v>
      </c>
      <c r="Z903" s="118">
        <v>46163.371782407405</v>
      </c>
      <c r="AA903" s="119" t="s">
        <v>228</v>
      </c>
      <c r="AB903" s="119"/>
      <c r="AC903" s="115" t="s">
        <v>481</v>
      </c>
      <c r="AD903" s="117" t="s">
        <v>146</v>
      </c>
      <c r="AE903" s="117" t="s">
        <v>480</v>
      </c>
      <c r="AF903" s="122" t="s">
        <v>210</v>
      </c>
      <c r="AG903" s="123">
        <f>IF(TAB_HISTORICO_MANUT[[#This Row],[Hora Inicio]]="","",MONTH(TAB_HISTORICO_MANUT[[#This Row],[Hora Inicio]]))</f>
        <v>5</v>
      </c>
      <c r="AH903" s="120" t="s">
        <v>482</v>
      </c>
      <c r="AI903" s="115" t="s">
        <v>21</v>
      </c>
      <c r="AJ903" s="115" t="s">
        <v>21</v>
      </c>
      <c r="AK903" s="115" t="s">
        <v>21</v>
      </c>
      <c r="AL903" s="115" t="s">
        <v>21</v>
      </c>
      <c r="AM903" s="121" t="s">
        <v>21</v>
      </c>
      <c r="AN903" s="115"/>
      <c r="AO903" s="115"/>
      <c r="AP903" s="115"/>
    </row>
    <row r="904" spans="1:42" ht="50.1" customHeight="1" x14ac:dyDescent="0.25">
      <c r="A904" s="43">
        <f>MONTH(TAB_HISTORICO_MANUT[[#This Row],[Hora Final]])-MONTH(TAB_HISTORICO_MANUT[[#This Row],[Hora Inicio]])</f>
        <v>0</v>
      </c>
      <c r="B904" s="42"/>
      <c r="C904" s="43"/>
      <c r="D904" s="42"/>
      <c r="E904" s="42"/>
      <c r="F904" s="42"/>
      <c r="G904" s="42"/>
      <c r="H904" s="42"/>
      <c r="I904" s="42"/>
      <c r="J904" s="42"/>
      <c r="K904" s="42"/>
      <c r="L904" s="42"/>
      <c r="M904" s="42" t="s">
        <v>98</v>
      </c>
      <c r="N904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Inicio]]=Z903,TAB_HISTORICO_MANUT[[#This Row],[Equipamento]]=AA903,TAB_HISTORICO_MANUT[[#This Row],[Descricao Despacho]]=AD903),0,1)))</f>
        <v/>
      </c>
      <c r="O90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904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90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904" s="50" t="str">
        <f>IF($Q904="","",(TAB_HISTORICO_MANUT[[#This Row],[Hora Final]]-TAB_HISTORICO_MANUT[[#This Row],[Hora Inicio]])*24)</f>
        <v/>
      </c>
      <c r="S90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904" s="54" t="str">
        <f>IF(AND(TAB_HISTORICO_MANUT[[#This Row],[EXPURGO Mãe]]="SIM",TAB_HISTORICO_MANUT[[#This Row],[Tipo]]="MÃE"),"EXP.MAE",IF(TAB_HISTORICO_MANUT[[#This Row],[EXPURGO Mãe]]="NÃO","NÃO EXP.MAE",T903))</f>
        <v>NÃO EXP.MAE</v>
      </c>
      <c r="U90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904" s="56">
        <f>IF(TAB_HISTORICO_MANUT[[#This Row],[EXPURGO Filhas]]="SIM",MAX(TAB_HISTORICO_MANUT[[#This Row],[Hora Final]]-TAB_HISTORICO_MANUT[[#This Row],[Hora Inicio]],0),0)</f>
        <v>9.1302152795833535E-3</v>
      </c>
      <c r="W90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0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04" s="46">
        <v>46163.362652192125</v>
      </c>
      <c r="Z904" s="47">
        <v>46163.371782407405</v>
      </c>
      <c r="AA904" s="48" t="s">
        <v>228</v>
      </c>
      <c r="AB904" s="48"/>
      <c r="AC904" s="43" t="s">
        <v>481</v>
      </c>
      <c r="AD904" s="46" t="s">
        <v>146</v>
      </c>
      <c r="AE904" s="46" t="s">
        <v>480</v>
      </c>
      <c r="AF904" s="88" t="s">
        <v>767</v>
      </c>
      <c r="AG904" s="105">
        <f>IF(TAB_HISTORICO_MANUT[[#This Row],[Hora Inicio]]="","",MONTH(TAB_HISTORICO_MANUT[[#This Row],[Hora Inicio]]))</f>
        <v>5</v>
      </c>
      <c r="AH904" s="58" t="s">
        <v>482</v>
      </c>
      <c r="AI904" s="43" t="s">
        <v>21</v>
      </c>
      <c r="AJ904" s="43" t="s">
        <v>21</v>
      </c>
      <c r="AK904" s="43" t="s">
        <v>21</v>
      </c>
      <c r="AL904" s="43" t="s">
        <v>21</v>
      </c>
      <c r="AM904" s="114" t="s">
        <v>21</v>
      </c>
      <c r="AN904" s="43"/>
      <c r="AO904" s="43"/>
      <c r="AP904" s="43"/>
    </row>
    <row r="905" spans="1:42" ht="50.1" customHeight="1" x14ac:dyDescent="0.25">
      <c r="A905" s="43">
        <f>MONTH(TAB_HISTORICO_MANUT[[#This Row],[Hora Final]])-MONTH(TAB_HISTORICO_MANUT[[#This Row],[Hora Inicio]])</f>
        <v>0</v>
      </c>
      <c r="B905" s="42"/>
      <c r="C905" s="43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Inicio]]=Z904,TAB_HISTORICO_MANUT[[#This Row],[Equipamento]]=AA904,TAB_HISTORICO_MANUT[[#This Row],[Descricao Despacho]]=AD904),0,1)))</f>
        <v>1</v>
      </c>
      <c r="O90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905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0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05" s="50">
        <f>IF($Q905="","",(TAB_HISTORICO_MANUT[[#This Row],[Hora Final]]-TAB_HISTORICO_MANUT[[#This Row],[Hora Inicio]])*24)</f>
        <v>0.74611111107515171</v>
      </c>
      <c r="S90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05" s="54" t="str">
        <f>IF(AND(TAB_HISTORICO_MANUT[[#This Row],[EXPURGO Mãe]]="SIM",TAB_HISTORICO_MANUT[[#This Row],[Tipo]]="MÃE"),"EXP.MAE",IF(TAB_HISTORICO_MANUT[[#This Row],[EXPURGO Mãe]]="NÃO","NÃO EXP.MAE",T904))</f>
        <v>NÃO EXP.MAE</v>
      </c>
      <c r="U90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05" s="56">
        <f>IF(TAB_HISTORICO_MANUT[[#This Row],[EXPURGO Filhas]]="SIM",MAX(TAB_HISTORICO_MANUT[[#This Row],[Hora Final]]-TAB_HISTORICO_MANUT[[#This Row],[Hora Inicio]],0),0)</f>
        <v>0</v>
      </c>
      <c r="W90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0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05" s="46">
        <v>46164.04859953704</v>
      </c>
      <c r="Z905" s="47">
        <v>46164.079687500001</v>
      </c>
      <c r="AA905" s="48" t="s">
        <v>228</v>
      </c>
      <c r="AB905" s="48" t="s">
        <v>1013</v>
      </c>
      <c r="AC905" s="43" t="s">
        <v>204</v>
      </c>
      <c r="AD905" s="46" t="s">
        <v>144</v>
      </c>
      <c r="AE905" s="46" t="s">
        <v>172</v>
      </c>
      <c r="AF905" s="88" t="s">
        <v>210</v>
      </c>
      <c r="AG905" s="105">
        <f>IF(TAB_HISTORICO_MANUT[[#This Row],[Hora Inicio]]="","",MONTH(TAB_HISTORICO_MANUT[[#This Row],[Hora Inicio]]))</f>
        <v>5</v>
      </c>
      <c r="AH905" s="58" t="s">
        <v>1030</v>
      </c>
      <c r="AI905" s="43" t="s">
        <v>24</v>
      </c>
      <c r="AJ905" s="43" t="s">
        <v>223</v>
      </c>
      <c r="AK905" s="43" t="s">
        <v>422</v>
      </c>
      <c r="AL905" s="43" t="s">
        <v>1044</v>
      </c>
      <c r="AM905" s="114" t="s">
        <v>280</v>
      </c>
      <c r="AN905" s="43" t="s">
        <v>217</v>
      </c>
      <c r="AO905" s="43" t="s">
        <v>405</v>
      </c>
      <c r="AP905" s="43" t="s">
        <v>403</v>
      </c>
    </row>
    <row r="906" spans="1:42" ht="50.1" customHeight="1" x14ac:dyDescent="0.25">
      <c r="A906" s="115">
        <f>MONTH(TAB_HISTORICO_MANUT[[#This Row],[Hora Final]])-MONTH(TAB_HISTORICO_MANUT[[#This Row],[Hora Inicio]])</f>
        <v>0</v>
      </c>
      <c r="B906" s="116"/>
      <c r="C906" s="115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Inicio]]=Z905,TAB_HISTORICO_MANUT[[#This Row],[Equipamento]]=AA905,TAB_HISTORICO_MANUT[[#This Row],[Descricao Despacho]]=AD905),0,1)))</f>
        <v>1</v>
      </c>
      <c r="O90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90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0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06" s="107">
        <f>IF($Q906="","",(TAB_HISTORICO_MANUT[[#This Row],[Hora Final]]-TAB_HISTORICO_MANUT[[#This Row],[Hora Inicio]])*24)</f>
        <v>1.433888888801448</v>
      </c>
      <c r="S90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06" s="109" t="str">
        <f>IF(AND(TAB_HISTORICO_MANUT[[#This Row],[EXPURGO Mãe]]="SIM",TAB_HISTORICO_MANUT[[#This Row],[Tipo]]="MÃE"),"EXP.MAE",IF(TAB_HISTORICO_MANUT[[#This Row],[EXPURGO Mãe]]="NÃO","NÃO EXP.MAE",T905))</f>
        <v>NÃO EXP.MAE</v>
      </c>
      <c r="U90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06" s="110">
        <f>IF(TAB_HISTORICO_MANUT[[#This Row],[EXPURGO Filhas]]="SIM",MAX(TAB_HISTORICO_MANUT[[#This Row],[Hora Final]]-TAB_HISTORICO_MANUT[[#This Row],[Hora Inicio]],0),0)</f>
        <v>0</v>
      </c>
      <c r="W90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0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06" s="117">
        <v>46164.864108796297</v>
      </c>
      <c r="Z906" s="118">
        <v>46164.923854166664</v>
      </c>
      <c r="AA906" s="119" t="s">
        <v>228</v>
      </c>
      <c r="AB906" s="119" t="s">
        <v>1017</v>
      </c>
      <c r="AC906" s="115" t="s">
        <v>204</v>
      </c>
      <c r="AD906" s="117" t="s">
        <v>144</v>
      </c>
      <c r="AE906" s="117" t="s">
        <v>172</v>
      </c>
      <c r="AF906" s="122" t="s">
        <v>210</v>
      </c>
      <c r="AG906" s="123">
        <f>IF(TAB_HISTORICO_MANUT[[#This Row],[Hora Inicio]]="","",MONTH(TAB_HISTORICO_MANUT[[#This Row],[Hora Inicio]]))</f>
        <v>5</v>
      </c>
      <c r="AH906" s="120" t="s">
        <v>1034</v>
      </c>
      <c r="AI906" s="115" t="s">
        <v>235</v>
      </c>
      <c r="AJ906" s="115" t="s">
        <v>223</v>
      </c>
      <c r="AK906" s="115" t="s">
        <v>644</v>
      </c>
      <c r="AL906" s="115" t="s">
        <v>275</v>
      </c>
      <c r="AM906" s="121" t="s">
        <v>276</v>
      </c>
      <c r="AN906" s="115" t="s">
        <v>217</v>
      </c>
      <c r="AO906" s="115" t="s">
        <v>684</v>
      </c>
      <c r="AP906" s="115" t="s">
        <v>469</v>
      </c>
    </row>
    <row r="907" spans="1:42" ht="50.1" customHeight="1" x14ac:dyDescent="0.25">
      <c r="A907" s="43">
        <f>MONTH(TAB_HISTORICO_MANUT[[#This Row],[Hora Final]])-MONTH(TAB_HISTORICO_MANUT[[#This Row],[Hora Inicio]])</f>
        <v>0</v>
      </c>
      <c r="B907" s="42"/>
      <c r="C907" s="43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Inicio]]=Z906,TAB_HISTORICO_MANUT[[#This Row],[Equipamento]]=AA906,TAB_HISTORICO_MANUT[[#This Row],[Descricao Despacho]]=AD906),0,1)))</f>
        <v>1</v>
      </c>
      <c r="O90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907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0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07" s="50">
        <f>IF($Q907="","",(TAB_HISTORICO_MANUT[[#This Row],[Hora Final]]-TAB_HISTORICO_MANUT[[#This Row],[Hora Inicio]])*24)</f>
        <v>0.96722222218522802</v>
      </c>
      <c r="S90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07" s="54" t="str">
        <f>IF(AND(TAB_HISTORICO_MANUT[[#This Row],[EXPURGO Mãe]]="SIM",TAB_HISTORICO_MANUT[[#This Row],[Tipo]]="MÃE"),"EXP.MAE",IF(TAB_HISTORICO_MANUT[[#This Row],[EXPURGO Mãe]]="NÃO","NÃO EXP.MAE",T906))</f>
        <v>NÃO EXP.MAE</v>
      </c>
      <c r="U90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07" s="56">
        <f>IF(TAB_HISTORICO_MANUT[[#This Row],[EXPURGO Filhas]]="SIM",MAX(TAB_HISTORICO_MANUT[[#This Row],[Hora Final]]-TAB_HISTORICO_MANUT[[#This Row],[Hora Inicio]],0),0)</f>
        <v>0</v>
      </c>
      <c r="W90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0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07" s="46">
        <v>46164.968657407408</v>
      </c>
      <c r="Z907" s="47">
        <v>46165.008958333332</v>
      </c>
      <c r="AA907" s="48" t="s">
        <v>228</v>
      </c>
      <c r="AB907" s="48" t="s">
        <v>1017</v>
      </c>
      <c r="AC907" s="43" t="s">
        <v>204</v>
      </c>
      <c r="AD907" s="46" t="s">
        <v>144</v>
      </c>
      <c r="AE907" s="46" t="s">
        <v>172</v>
      </c>
      <c r="AF907" s="88" t="s">
        <v>210</v>
      </c>
      <c r="AG907" s="105">
        <f>IF(TAB_HISTORICO_MANUT[[#This Row],[Hora Inicio]]="","",MONTH(TAB_HISTORICO_MANUT[[#This Row],[Hora Inicio]]))</f>
        <v>5</v>
      </c>
      <c r="AH907" s="58" t="s">
        <v>1035</v>
      </c>
      <c r="AI907" s="43" t="s">
        <v>235</v>
      </c>
      <c r="AJ907" s="43" t="s">
        <v>532</v>
      </c>
      <c r="AK907" s="43" t="s">
        <v>422</v>
      </c>
      <c r="AL907" s="43" t="s">
        <v>1044</v>
      </c>
      <c r="AM907" s="114" t="s">
        <v>280</v>
      </c>
      <c r="AN907" s="43" t="s">
        <v>217</v>
      </c>
      <c r="AO907" s="43" t="s">
        <v>684</v>
      </c>
      <c r="AP907" s="43" t="s">
        <v>685</v>
      </c>
    </row>
    <row r="908" spans="1:42" ht="50.1" customHeight="1" x14ac:dyDescent="0.25">
      <c r="A908" s="115">
        <f>MONTH(TAB_HISTORICO_MANUT[[#This Row],[Hora Final]])-MONTH(TAB_HISTORICO_MANUT[[#This Row],[Hora Inicio]])</f>
        <v>0</v>
      </c>
      <c r="B908" s="116"/>
      <c r="C908" s="115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Inicio]]=Z907,TAB_HISTORICO_MANUT[[#This Row],[Equipamento]]=AA907,TAB_HISTORICO_MANUT[[#This Row],[Descricao Despacho]]=AD907),0,1)))</f>
        <v>1</v>
      </c>
      <c r="O90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90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0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08" s="107">
        <f>IF($Q908="","",(TAB_HISTORICO_MANUT[[#This Row],[Hora Final]]-TAB_HISTORICO_MANUT[[#This Row],[Hora Inicio]])*24)</f>
        <v>1.3169444444356486</v>
      </c>
      <c r="S90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08" s="109" t="str">
        <f>IF(AND(TAB_HISTORICO_MANUT[[#This Row],[EXPURGO Mãe]]="SIM",TAB_HISTORICO_MANUT[[#This Row],[Tipo]]="MÃE"),"EXP.MAE",IF(TAB_HISTORICO_MANUT[[#This Row],[EXPURGO Mãe]]="NÃO","NÃO EXP.MAE",T907))</f>
        <v>NÃO EXP.MAE</v>
      </c>
      <c r="U90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08" s="110">
        <f>IF(TAB_HISTORICO_MANUT[[#This Row],[EXPURGO Filhas]]="SIM",MAX(TAB_HISTORICO_MANUT[[#This Row],[Hora Final]]-TAB_HISTORICO_MANUT[[#This Row],[Hora Inicio]],0),0)</f>
        <v>0</v>
      </c>
      <c r="W90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0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08" s="117">
        <v>46165.296724537038</v>
      </c>
      <c r="Z908" s="118">
        <v>46165.351597222223</v>
      </c>
      <c r="AA908" s="119" t="s">
        <v>228</v>
      </c>
      <c r="AB908" s="119" t="s">
        <v>1018</v>
      </c>
      <c r="AC908" s="115" t="s">
        <v>204</v>
      </c>
      <c r="AD908" s="117" t="s">
        <v>144</v>
      </c>
      <c r="AE908" s="117" t="s">
        <v>172</v>
      </c>
      <c r="AF908" s="122" t="s">
        <v>210</v>
      </c>
      <c r="AG908" s="123">
        <f>IF(TAB_HISTORICO_MANUT[[#This Row],[Hora Inicio]]="","",MONTH(TAB_HISTORICO_MANUT[[#This Row],[Hora Inicio]]))</f>
        <v>5</v>
      </c>
      <c r="AH908" s="120" t="s">
        <v>1037</v>
      </c>
      <c r="AI908" s="115" t="s">
        <v>235</v>
      </c>
      <c r="AJ908" s="115" t="s">
        <v>149</v>
      </c>
      <c r="AK908" s="115" t="s">
        <v>644</v>
      </c>
      <c r="AL908" s="115" t="s">
        <v>275</v>
      </c>
      <c r="AM908" s="121" t="s">
        <v>276</v>
      </c>
      <c r="AN908" s="115" t="s">
        <v>217</v>
      </c>
      <c r="AO908" s="115" t="s">
        <v>419</v>
      </c>
      <c r="AP908" s="115" t="s">
        <v>577</v>
      </c>
    </row>
    <row r="909" spans="1:42" ht="50.1" customHeight="1" x14ac:dyDescent="0.25">
      <c r="A909" s="115">
        <f>MONTH(TAB_HISTORICO_MANUT[[#This Row],[Hora Final]])-MONTH(TAB_HISTORICO_MANUT[[#This Row],[Hora Inicio]])</f>
        <v>0</v>
      </c>
      <c r="B909" s="116"/>
      <c r="C909" s="115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Inicio]]=Z908,TAB_HISTORICO_MANUT[[#This Row],[Equipamento]]=AA908,TAB_HISTORICO_MANUT[[#This Row],[Descricao Despacho]]=AD908),0,1)))</f>
        <v>1</v>
      </c>
      <c r="O90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90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0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09" s="107">
        <f>IF($Q909="","",(TAB_HISTORICO_MANUT[[#This Row],[Hora Final]]-TAB_HISTORICO_MANUT[[#This Row],[Hora Inicio]])*24)</f>
        <v>1.1738888887921348</v>
      </c>
      <c r="S90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09" s="109" t="str">
        <f>IF(AND(TAB_HISTORICO_MANUT[[#This Row],[EXPURGO Mãe]]="SIM",TAB_HISTORICO_MANUT[[#This Row],[Tipo]]="MÃE"),"EXP.MAE",IF(TAB_HISTORICO_MANUT[[#This Row],[EXPURGO Mãe]]="NÃO","NÃO EXP.MAE",T908))</f>
        <v>NÃO EXP.MAE</v>
      </c>
      <c r="U90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09" s="110">
        <f>IF(TAB_HISTORICO_MANUT[[#This Row],[EXPURGO Filhas]]="SIM",MAX(TAB_HISTORICO_MANUT[[#This Row],[Hora Final]]-TAB_HISTORICO_MANUT[[#This Row],[Hora Inicio]],0),0)</f>
        <v>0</v>
      </c>
      <c r="W90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0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09" s="117">
        <v>46166.326921296299</v>
      </c>
      <c r="Z909" s="118">
        <v>46166.375833333332</v>
      </c>
      <c r="AA909" s="119" t="s">
        <v>228</v>
      </c>
      <c r="AB909" s="119" t="s">
        <v>1022</v>
      </c>
      <c r="AC909" s="115" t="s">
        <v>204</v>
      </c>
      <c r="AD909" s="117" t="s">
        <v>144</v>
      </c>
      <c r="AE909" s="117" t="s">
        <v>172</v>
      </c>
      <c r="AF909" s="122" t="s">
        <v>210</v>
      </c>
      <c r="AG909" s="123">
        <f>IF(TAB_HISTORICO_MANUT[[#This Row],[Hora Inicio]]="","",MONTH(TAB_HISTORICO_MANUT[[#This Row],[Hora Inicio]]))</f>
        <v>5</v>
      </c>
      <c r="AH909" s="120" t="s">
        <v>1041</v>
      </c>
      <c r="AI909" s="115" t="s">
        <v>24</v>
      </c>
      <c r="AJ909" s="115" t="s">
        <v>149</v>
      </c>
      <c r="AK909" s="115" t="s">
        <v>422</v>
      </c>
      <c r="AL909" s="115" t="s">
        <v>1044</v>
      </c>
      <c r="AM909" s="121" t="s">
        <v>280</v>
      </c>
      <c r="AN909" s="115" t="s">
        <v>217</v>
      </c>
      <c r="AO909" s="115" t="s">
        <v>405</v>
      </c>
      <c r="AP909" s="115" t="s">
        <v>403</v>
      </c>
    </row>
    <row r="910" spans="1:42" ht="50.1" customHeight="1" x14ac:dyDescent="0.25">
      <c r="A910" s="43">
        <f>MONTH(TAB_HISTORICO_MANUT[[#This Row],[Hora Final]])-MONTH(TAB_HISTORICO_MANUT[[#This Row],[Hora Inicio]])</f>
        <v>0</v>
      </c>
      <c r="B910" s="42"/>
      <c r="C910" s="43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Inicio]]=Z909,TAB_HISTORICO_MANUT[[#This Row],[Equipamento]]=AA909,TAB_HISTORICO_MANUT[[#This Row],[Descricao Despacho]]=AD909),0,1)))</f>
        <v>1</v>
      </c>
      <c r="O91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DE FREIO</v>
      </c>
      <c r="P910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1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10" s="50">
        <f>IF($Q910="","",(TAB_HISTORICO_MANUT[[#This Row],[Hora Final]]-TAB_HISTORICO_MANUT[[#This Row],[Hora Inicio]])*24)</f>
        <v>0.19500000000698492</v>
      </c>
      <c r="S91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10" s="54" t="str">
        <f>IF(AND(TAB_HISTORICO_MANUT[[#This Row],[EXPURGO Mãe]]="SIM",TAB_HISTORICO_MANUT[[#This Row],[Tipo]]="MÃE"),"EXP.MAE",IF(TAB_HISTORICO_MANUT[[#This Row],[EXPURGO Mãe]]="NÃO","NÃO EXP.MAE",T909))</f>
        <v>NÃO EXP.MAE</v>
      </c>
      <c r="U91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10" s="56">
        <f>IF(TAB_HISTORICO_MANUT[[#This Row],[EXPURGO Filhas]]="SIM",MAX(TAB_HISTORICO_MANUT[[#This Row],[Hora Final]]-TAB_HISTORICO_MANUT[[#This Row],[Hora Inicio]],0),0)</f>
        <v>0</v>
      </c>
      <c r="W91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1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10" s="46">
        <v>46166.498703703706</v>
      </c>
      <c r="Z910" s="47">
        <v>46166.506828703707</v>
      </c>
      <c r="AA910" s="48" t="s">
        <v>228</v>
      </c>
      <c r="AB910" s="48"/>
      <c r="AC910" s="43" t="s">
        <v>204</v>
      </c>
      <c r="AD910" s="46" t="s">
        <v>144</v>
      </c>
      <c r="AE910" s="46" t="s">
        <v>172</v>
      </c>
      <c r="AF910" s="88" t="s">
        <v>210</v>
      </c>
      <c r="AG910" s="105">
        <f>IF(TAB_HISTORICO_MANUT[[#This Row],[Hora Inicio]]="","",MONTH(TAB_HISTORICO_MANUT[[#This Row],[Hora Inicio]]))</f>
        <v>5</v>
      </c>
      <c r="AH910" s="120" t="s">
        <v>1042</v>
      </c>
      <c r="AI910" s="43" t="s">
        <v>46</v>
      </c>
      <c r="AJ910" s="115" t="s">
        <v>295</v>
      </c>
      <c r="AK910" s="43" t="s">
        <v>693</v>
      </c>
      <c r="AL910" s="43" t="s">
        <v>282</v>
      </c>
      <c r="AM910" s="114" t="s">
        <v>276</v>
      </c>
      <c r="AN910" s="43" t="s">
        <v>217</v>
      </c>
      <c r="AO910" s="43" t="s">
        <v>579</v>
      </c>
      <c r="AP910" s="43" t="s">
        <v>584</v>
      </c>
    </row>
    <row r="911" spans="1:42" ht="50.1" customHeight="1" x14ac:dyDescent="0.25">
      <c r="A911" s="115">
        <f>MONTH(TAB_HISTORICO_MANUT[[#This Row],[Hora Final]])-MONTH(TAB_HISTORICO_MANUT[[#This Row],[Hora Inicio]])</f>
        <v>0</v>
      </c>
      <c r="B911" s="116"/>
      <c r="C911" s="115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Inicio]]=Z910,TAB_HISTORICO_MANUT[[#This Row],[Equipamento]]=AA910,TAB_HISTORICO_MANUT[[#This Row],[Descricao Despacho]]=AD910),0,1)))</f>
        <v>1</v>
      </c>
      <c r="O91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91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1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11" s="107">
        <f>IF($Q911="","",(TAB_HISTORICO_MANUT[[#This Row],[Hora Final]]-TAB_HISTORICO_MANUT[[#This Row],[Hora Inicio]])*24)</f>
        <v>1.5444444445311092</v>
      </c>
      <c r="S91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11" s="109" t="str">
        <f>IF(AND(TAB_HISTORICO_MANUT[[#This Row],[EXPURGO Mãe]]="SIM",TAB_HISTORICO_MANUT[[#This Row],[Tipo]]="MÃE"),"EXP.MAE",IF(TAB_HISTORICO_MANUT[[#This Row],[EXPURGO Mãe]]="NÃO","NÃO EXP.MAE",T910))</f>
        <v>NÃO EXP.MAE</v>
      </c>
      <c r="U91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11" s="110">
        <f>IF(TAB_HISTORICO_MANUT[[#This Row],[EXPURGO Filhas]]="SIM",MAX(TAB_HISTORICO_MANUT[[#This Row],[Hora Final]]-TAB_HISTORICO_MANUT[[#This Row],[Hora Inicio]],0),0)</f>
        <v>0</v>
      </c>
      <c r="W91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1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11" s="117">
        <v>46168.867743055554</v>
      </c>
      <c r="Z911" s="118">
        <v>46168.93209490741</v>
      </c>
      <c r="AA911" s="119" t="s">
        <v>228</v>
      </c>
      <c r="AB911" s="119" t="s">
        <v>1052</v>
      </c>
      <c r="AC911" s="115" t="s">
        <v>204</v>
      </c>
      <c r="AD911" s="117" t="s">
        <v>144</v>
      </c>
      <c r="AE911" s="117" t="s">
        <v>172</v>
      </c>
      <c r="AF911" s="122" t="s">
        <v>210</v>
      </c>
      <c r="AG911" s="123">
        <f>IF(TAB_HISTORICO_MANUT[[#This Row],[Hora Inicio]]="","",MONTH(TAB_HISTORICO_MANUT[[#This Row],[Hora Inicio]]))</f>
        <v>5</v>
      </c>
      <c r="AH911" s="120" t="s">
        <v>1059</v>
      </c>
      <c r="AI911" s="115" t="s">
        <v>24</v>
      </c>
      <c r="AJ911" s="115" t="s">
        <v>149</v>
      </c>
      <c r="AK911" s="115" t="s">
        <v>422</v>
      </c>
      <c r="AL911" s="115" t="s">
        <v>1045</v>
      </c>
      <c r="AM911" s="121" t="s">
        <v>280</v>
      </c>
      <c r="AN911" s="115" t="s">
        <v>217</v>
      </c>
      <c r="AO911" s="115" t="s">
        <v>405</v>
      </c>
      <c r="AP911" s="115" t="s">
        <v>403</v>
      </c>
    </row>
    <row r="912" spans="1:42" ht="50.1" customHeight="1" x14ac:dyDescent="0.25">
      <c r="A912" s="115">
        <f>MONTH(TAB_HISTORICO_MANUT[[#This Row],[Hora Final]])-MONTH(TAB_HISTORICO_MANUT[[#This Row],[Hora Inicio]])</f>
        <v>0</v>
      </c>
      <c r="B912" s="116"/>
      <c r="C912" s="115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Inicio]]=Z911,TAB_HISTORICO_MANUT[[#This Row],[Equipamento]]=AA911,TAB_HISTORICO_MANUT[[#This Row],[Descricao Despacho]]=AD911),0,1)))</f>
        <v/>
      </c>
      <c r="O91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912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91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912" s="107" t="str">
        <f>IF($Q912="","",(TAB_HISTORICO_MANUT[[#This Row],[Hora Final]]-TAB_HISTORICO_MANUT[[#This Row],[Hora Inicio]])*24)</f>
        <v/>
      </c>
      <c r="S91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912" s="109" t="str">
        <f>IF(AND(TAB_HISTORICO_MANUT[[#This Row],[EXPURGO Mãe]]="SIM",TAB_HISTORICO_MANUT[[#This Row],[Tipo]]="MÃE"),"EXP.MAE",IF(TAB_HISTORICO_MANUT[[#This Row],[EXPURGO Mãe]]="NÃO","NÃO EXP.MAE",T911))</f>
        <v>NÃO EXP.MAE</v>
      </c>
      <c r="U91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912" s="110">
        <f>IF(TAB_HISTORICO_MANUT[[#This Row],[EXPURGO Filhas]]="SIM",MAX(TAB_HISTORICO_MANUT[[#This Row],[Hora Final]]-TAB_HISTORICO_MANUT[[#This Row],[Hora Inicio]],0),0)</f>
        <v>3.3333333332848269E-2</v>
      </c>
      <c r="W91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1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12" s="117">
        <v>46168.898611111108</v>
      </c>
      <c r="Z912" s="118">
        <v>46168.931944444441</v>
      </c>
      <c r="AA912" s="119" t="s">
        <v>228</v>
      </c>
      <c r="AB912" s="119" t="s">
        <v>1052</v>
      </c>
      <c r="AC912" s="115" t="s">
        <v>204</v>
      </c>
      <c r="AD912" s="117" t="s">
        <v>144</v>
      </c>
      <c r="AE912" s="117" t="s">
        <v>765</v>
      </c>
      <c r="AF912" s="122" t="s">
        <v>767</v>
      </c>
      <c r="AG912" s="123">
        <f>IF(TAB_HISTORICO_MANUT[[#This Row],[Hora Inicio]]="","",MONTH(TAB_HISTORICO_MANUT[[#This Row],[Hora Inicio]]))</f>
        <v>5</v>
      </c>
      <c r="AH912" s="120" t="s">
        <v>1299</v>
      </c>
      <c r="AI912" s="115" t="s">
        <v>24</v>
      </c>
      <c r="AJ912" s="115" t="s">
        <v>149</v>
      </c>
      <c r="AK912" s="115" t="s">
        <v>422</v>
      </c>
      <c r="AL912" s="115" t="s">
        <v>1045</v>
      </c>
      <c r="AM912" s="121" t="s">
        <v>280</v>
      </c>
      <c r="AN912" s="115"/>
      <c r="AO912" s="115"/>
      <c r="AP912" s="115"/>
    </row>
    <row r="913" spans="1:42" ht="50.1" customHeight="1" x14ac:dyDescent="0.25">
      <c r="A913" s="115">
        <f>MONTH(TAB_HISTORICO_MANUT[[#This Row],[Hora Final]])-MONTH(TAB_HISTORICO_MANUT[[#This Row],[Hora Inicio]])</f>
        <v>0</v>
      </c>
      <c r="B913" s="116"/>
      <c r="C913" s="115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Inicio]]=Z912,TAB_HISTORICO_MANUT[[#This Row],[Equipamento]]=AA912,TAB_HISTORICO_MANUT[[#This Row],[Descricao Despacho]]=AD912),0,1)))</f>
        <v>1</v>
      </c>
      <c r="O91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91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1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13" s="107">
        <f>IF($Q913="","",(TAB_HISTORICO_MANUT[[#This Row],[Hora Final]]-TAB_HISTORICO_MANUT[[#This Row],[Hora Inicio]])*24)</f>
        <v>4.2899999999790452</v>
      </c>
      <c r="S91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13" s="109" t="str">
        <f>IF(AND(TAB_HISTORICO_MANUT[[#This Row],[EXPURGO Mãe]]="SIM",TAB_HISTORICO_MANUT[[#This Row],[Tipo]]="MÃE"),"EXP.MAE",IF(TAB_HISTORICO_MANUT[[#This Row],[EXPURGO Mãe]]="NÃO","NÃO EXP.MAE",T912))</f>
        <v>NÃO EXP.MAE</v>
      </c>
      <c r="U91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13" s="110">
        <f>IF(TAB_HISTORICO_MANUT[[#This Row],[EXPURGO Filhas]]="SIM",MAX(TAB_HISTORICO_MANUT[[#This Row],[Hora Final]]-TAB_HISTORICO_MANUT[[#This Row],[Hora Inicio]],0),0)</f>
        <v>0</v>
      </c>
      <c r="W91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1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13" s="117">
        <v>46169.269479166665</v>
      </c>
      <c r="Z913" s="118">
        <v>46169.448229166665</v>
      </c>
      <c r="AA913" s="119" t="s">
        <v>228</v>
      </c>
      <c r="AB913" s="119" t="s">
        <v>1061</v>
      </c>
      <c r="AC913" s="115" t="s">
        <v>204</v>
      </c>
      <c r="AD913" s="117" t="s">
        <v>144</v>
      </c>
      <c r="AE913" s="117" t="s">
        <v>172</v>
      </c>
      <c r="AF913" s="122" t="s">
        <v>210</v>
      </c>
      <c r="AG913" s="123">
        <f>IF(TAB_HISTORICO_MANUT[[#This Row],[Hora Inicio]]="","",MONTH(TAB_HISTORICO_MANUT[[#This Row],[Hora Inicio]]))</f>
        <v>5</v>
      </c>
      <c r="AH913" s="120" t="s">
        <v>1064</v>
      </c>
      <c r="AI913" s="115" t="s">
        <v>28</v>
      </c>
      <c r="AJ913" s="115" t="s">
        <v>30</v>
      </c>
      <c r="AK913" s="115" t="s">
        <v>1067</v>
      </c>
      <c r="AL913" s="115" t="s">
        <v>275</v>
      </c>
      <c r="AM913" s="121" t="s">
        <v>276</v>
      </c>
      <c r="AN913" s="115" t="s">
        <v>217</v>
      </c>
      <c r="AO913" s="115" t="s">
        <v>316</v>
      </c>
      <c r="AP913" s="115" t="s">
        <v>1063</v>
      </c>
    </row>
    <row r="914" spans="1:42" ht="50.1" customHeight="1" x14ac:dyDescent="0.25">
      <c r="A914" s="115">
        <f>MONTH(TAB_HISTORICO_MANUT[[#This Row],[Hora Final]])-MONTH(TAB_HISTORICO_MANUT[[#This Row],[Hora Inicio]])</f>
        <v>0</v>
      </c>
      <c r="B914" s="116"/>
      <c r="C914" s="115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Inicio]]=Z913,TAB_HISTORICO_MANUT[[#This Row],[Equipamento]]=AA913,TAB_HISTORICO_MANUT[[#This Row],[Descricao Despacho]]=AD913),0,1)))</f>
        <v>1</v>
      </c>
      <c r="O91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91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91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914" s="107">
        <f>IF($Q914="","",(TAB_HISTORICO_MANUT[[#This Row],[Hora Final]]-TAB_HISTORICO_MANUT[[#This Row],[Hora Inicio]])*24)</f>
        <v>0.65527777781244367</v>
      </c>
      <c r="S91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14" s="109" t="str">
        <f>IF(AND(TAB_HISTORICO_MANUT[[#This Row],[EXPURGO Mãe]]="SIM",TAB_HISTORICO_MANUT[[#This Row],[Tipo]]="MÃE"),"EXP.MAE",IF(TAB_HISTORICO_MANUT[[#This Row],[EXPURGO Mãe]]="NÃO","NÃO EXP.MAE",T913))</f>
        <v>NÃO EXP.MAE</v>
      </c>
      <c r="U91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14" s="110">
        <f>IF(TAB_HISTORICO_MANUT[[#This Row],[EXPURGO Filhas]]="SIM",MAX(TAB_HISTORICO_MANUT[[#This Row],[Hora Final]]-TAB_HISTORICO_MANUT[[#This Row],[Hora Inicio]],0),0)</f>
        <v>0</v>
      </c>
      <c r="W91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1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14" s="117">
        <v>46169.630949074075</v>
      </c>
      <c r="Z914" s="118">
        <v>46169.658252314817</v>
      </c>
      <c r="AA914" s="119" t="s">
        <v>228</v>
      </c>
      <c r="AB914" s="119"/>
      <c r="AC914" s="115" t="s">
        <v>205</v>
      </c>
      <c r="AD914" s="117" t="s">
        <v>145</v>
      </c>
      <c r="AE914" s="117" t="s">
        <v>173</v>
      </c>
      <c r="AF914" s="122" t="s">
        <v>210</v>
      </c>
      <c r="AG914" s="123">
        <f>IF(TAB_HISTORICO_MANUT[[#This Row],[Hora Inicio]]="","",MONTH(TAB_HISTORICO_MANUT[[#This Row],[Hora Inicio]]))</f>
        <v>5</v>
      </c>
      <c r="AH914" s="120" t="s">
        <v>326</v>
      </c>
      <c r="AI914" s="115" t="s">
        <v>21</v>
      </c>
      <c r="AJ914" s="115" t="s">
        <v>21</v>
      </c>
      <c r="AK914" s="115" t="s">
        <v>21</v>
      </c>
      <c r="AL914" s="115" t="s">
        <v>21</v>
      </c>
      <c r="AM914" s="121" t="s">
        <v>21</v>
      </c>
      <c r="AN914" s="115"/>
      <c r="AO914" s="115"/>
      <c r="AP914" s="115"/>
    </row>
    <row r="915" spans="1:42" ht="50.1" customHeight="1" x14ac:dyDescent="0.25">
      <c r="A915" s="115">
        <f>MONTH(TAB_HISTORICO_MANUT[[#This Row],[Hora Final]])-MONTH(TAB_HISTORICO_MANUT[[#This Row],[Hora Inicio]])</f>
        <v>0</v>
      </c>
      <c r="B915" s="116"/>
      <c r="C915" s="115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 t="s">
        <v>98</v>
      </c>
      <c r="N915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Inicio]]=Z914,TAB_HISTORICO_MANUT[[#This Row],[Equipamento]]=AA914,TAB_HISTORICO_MANUT[[#This Row],[Descricao Despacho]]=AD914),0,1)))</f>
        <v/>
      </c>
      <c r="O91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915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91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915" s="107" t="str">
        <f>IF($Q915="","",(TAB_HISTORICO_MANUT[[#This Row],[Hora Final]]-TAB_HISTORICO_MANUT[[#This Row],[Hora Inicio]])*24)</f>
        <v/>
      </c>
      <c r="S91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915" s="109" t="str">
        <f>IF(AND(TAB_HISTORICO_MANUT[[#This Row],[EXPURGO Mãe]]="SIM",TAB_HISTORICO_MANUT[[#This Row],[Tipo]]="MÃE"),"EXP.MAE",IF(TAB_HISTORICO_MANUT[[#This Row],[EXPURGO Mãe]]="NÃO","NÃO EXP.MAE",T914))</f>
        <v>NÃO EXP.MAE</v>
      </c>
      <c r="U91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915" s="110">
        <f>IF(TAB_HISTORICO_MANUT[[#This Row],[EXPURGO Filhas]]="SIM",MAX(TAB_HISTORICO_MANUT[[#This Row],[Hora Final]]-TAB_HISTORICO_MANUT[[#This Row],[Hora Inicio]],0),0)</f>
        <v>1.8942988426715601E-2</v>
      </c>
      <c r="W91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1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15" s="117">
        <v>46169.639309326391</v>
      </c>
      <c r="Z915" s="118">
        <v>46169.658252314817</v>
      </c>
      <c r="AA915" s="119" t="s">
        <v>228</v>
      </c>
      <c r="AB915" s="119"/>
      <c r="AC915" s="115" t="s">
        <v>205</v>
      </c>
      <c r="AD915" s="117" t="s">
        <v>145</v>
      </c>
      <c r="AE915" s="117" t="s">
        <v>173</v>
      </c>
      <c r="AF915" s="122" t="s">
        <v>767</v>
      </c>
      <c r="AG915" s="123">
        <f>IF(TAB_HISTORICO_MANUT[[#This Row],[Hora Inicio]]="","",MONTH(TAB_HISTORICO_MANUT[[#This Row],[Hora Inicio]]))</f>
        <v>5</v>
      </c>
      <c r="AH915" s="120" t="s">
        <v>326</v>
      </c>
      <c r="AI915" s="115" t="s">
        <v>21</v>
      </c>
      <c r="AJ915" s="115" t="s">
        <v>21</v>
      </c>
      <c r="AK915" s="115" t="s">
        <v>21</v>
      </c>
      <c r="AL915" s="115" t="s">
        <v>21</v>
      </c>
      <c r="AM915" s="121" t="s">
        <v>21</v>
      </c>
      <c r="AN915" s="115"/>
      <c r="AO915" s="115"/>
      <c r="AP915" s="115"/>
    </row>
    <row r="916" spans="1:42" ht="50.1" customHeight="1" x14ac:dyDescent="0.25">
      <c r="A916" s="115">
        <f>MONTH(TAB_HISTORICO_MANUT[[#This Row],[Hora Final]])-MONTH(TAB_HISTORICO_MANUT[[#This Row],[Hora Inicio]])</f>
        <v>0</v>
      </c>
      <c r="B916" s="116"/>
      <c r="C916" s="115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Inicio]]=Z915,TAB_HISTORICO_MANUT[[#This Row],[Equipamento]]=AA915,TAB_HISTORICO_MANUT[[#This Row],[Descricao Despacho]]=AD915),0,1)))</f>
        <v>1</v>
      </c>
      <c r="O91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91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HAC - Hora Acidente</v>
      </c>
      <c r="Q91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Acidente operacional</v>
      </c>
      <c r="R916" s="107">
        <f>IF($Q916="","",(TAB_HISTORICO_MANUT[[#This Row],[Hora Final]]-TAB_HISTORICO_MANUT[[#This Row],[Hora Inicio]])*24)</f>
        <v>0.39222222223179415</v>
      </c>
      <c r="S91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916" s="109" t="str">
        <f>IF(AND(TAB_HISTORICO_MANUT[[#This Row],[EXPURGO Mãe]]="SIM",TAB_HISTORICO_MANUT[[#This Row],[Tipo]]="MÃE"),"EXP.MAE",IF(TAB_HISTORICO_MANUT[[#This Row],[EXPURGO Mãe]]="NÃO","NÃO EXP.MAE",T915))</f>
        <v>EXP.MAE</v>
      </c>
      <c r="U91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16" s="110">
        <f>IF(TAB_HISTORICO_MANUT[[#This Row],[EXPURGO Filhas]]="SIM",MAX(TAB_HISTORICO_MANUT[[#This Row],[Hora Final]]-TAB_HISTORICO_MANUT[[#This Row],[Hora Inicio]],0),0)</f>
        <v>0</v>
      </c>
      <c r="W91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1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16" s="117">
        <v>46171.333738425928</v>
      </c>
      <c r="Z916" s="118">
        <v>46171.350081018521</v>
      </c>
      <c r="AA916" s="119" t="s">
        <v>228</v>
      </c>
      <c r="AB916" s="119"/>
      <c r="AC916" s="115" t="s">
        <v>243</v>
      </c>
      <c r="AD916" s="117" t="s">
        <v>147</v>
      </c>
      <c r="AE916" s="117" t="s">
        <v>244</v>
      </c>
      <c r="AF916" s="122" t="s">
        <v>210</v>
      </c>
      <c r="AG916" s="123">
        <f>IF(TAB_HISTORICO_MANUT[[#This Row],[Hora Inicio]]="","",MONTH(TAB_HISTORICO_MANUT[[#This Row],[Hora Inicio]]))</f>
        <v>5</v>
      </c>
      <c r="AH916" s="120" t="s">
        <v>1080</v>
      </c>
      <c r="AI916" s="115" t="s">
        <v>21</v>
      </c>
      <c r="AJ916" s="115" t="s">
        <v>21</v>
      </c>
      <c r="AK916" s="115" t="s">
        <v>21</v>
      </c>
      <c r="AL916" s="115" t="s">
        <v>21</v>
      </c>
      <c r="AM916" s="121" t="s">
        <v>21</v>
      </c>
      <c r="AN916" s="115"/>
      <c r="AO916" s="115"/>
      <c r="AP916" s="115"/>
    </row>
    <row r="917" spans="1:42" ht="50.1" customHeight="1" x14ac:dyDescent="0.25">
      <c r="A917" s="115">
        <f>MONTH(TAB_HISTORICO_MANUT[[#This Row],[Hora Final]])-MONTH(TAB_HISTORICO_MANUT[[#This Row],[Hora Inicio]])</f>
        <v>0</v>
      </c>
      <c r="B917" s="116"/>
      <c r="C917" s="115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Inicio]]=Z916,TAB_HISTORICO_MANUT[[#This Row],[Equipamento]]=AA916,TAB_HISTORICO_MANUT[[#This Row],[Descricao Despacho]]=AD916),0,1)))</f>
        <v>1</v>
      </c>
      <c r="O91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91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HAC - Hora Acidente</v>
      </c>
      <c r="Q91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Acidente operacional</v>
      </c>
      <c r="R917" s="107">
        <f>IF($Q917="","",(TAB_HISTORICO_MANUT[[#This Row],[Hora Final]]-TAB_HISTORICO_MANUT[[#This Row],[Hora Inicio]])*24)</f>
        <v>8.8816666665952653</v>
      </c>
      <c r="S91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917" s="109" t="str">
        <f>IF(AND(TAB_HISTORICO_MANUT[[#This Row],[EXPURGO Mãe]]="SIM",TAB_HISTORICO_MANUT[[#This Row],[Tipo]]="MÃE"),"EXP.MAE",IF(TAB_HISTORICO_MANUT[[#This Row],[EXPURGO Mãe]]="NÃO","NÃO EXP.MAE",T916))</f>
        <v>EXP.MAE</v>
      </c>
      <c r="U91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17" s="110">
        <f>IF(TAB_HISTORICO_MANUT[[#This Row],[EXPURGO Filhas]]="SIM",MAX(TAB_HISTORICO_MANUT[[#This Row],[Hora Final]]-TAB_HISTORICO_MANUT[[#This Row],[Hora Inicio]],0),0)</f>
        <v>0</v>
      </c>
      <c r="W91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1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17" s="117">
        <v>46171.365486111114</v>
      </c>
      <c r="Z917" s="118">
        <v>46171.735555555555</v>
      </c>
      <c r="AA917" s="119" t="s">
        <v>228</v>
      </c>
      <c r="AB917" s="119"/>
      <c r="AC917" s="115" t="s">
        <v>243</v>
      </c>
      <c r="AD917" s="117" t="s">
        <v>147</v>
      </c>
      <c r="AE917" s="117" t="s">
        <v>244</v>
      </c>
      <c r="AF917" s="122" t="s">
        <v>210</v>
      </c>
      <c r="AG917" s="123">
        <f>IF(TAB_HISTORICO_MANUT[[#This Row],[Hora Inicio]]="","",MONTH(TAB_HISTORICO_MANUT[[#This Row],[Hora Inicio]]))</f>
        <v>5</v>
      </c>
      <c r="AH917" s="120" t="s">
        <v>1081</v>
      </c>
      <c r="AI917" s="115" t="s">
        <v>21</v>
      </c>
      <c r="AJ917" s="115" t="s">
        <v>555</v>
      </c>
      <c r="AK917" s="115" t="s">
        <v>291</v>
      </c>
      <c r="AL917" s="115" t="s">
        <v>275</v>
      </c>
      <c r="AM917" s="115" t="s">
        <v>276</v>
      </c>
      <c r="AN917" s="115"/>
      <c r="AO917" s="115"/>
      <c r="AP917" s="115"/>
    </row>
    <row r="918" spans="1:42" ht="50.1" customHeight="1" x14ac:dyDescent="0.25">
      <c r="A918" s="115">
        <f>MONTH(TAB_HISTORICO_MANUT[[#This Row],[Hora Final]])-MONTH(TAB_HISTORICO_MANUT[[#This Row],[Hora Inicio]])</f>
        <v>0</v>
      </c>
      <c r="B918" s="116"/>
      <c r="C918" s="115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Inicio]]=Z917,TAB_HISTORICO_MANUT[[#This Row],[Equipamento]]=AA917,TAB_HISTORICO_MANUT[[#This Row],[Descricao Despacho]]=AD917),0,1)))</f>
        <v>1</v>
      </c>
      <c r="O91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91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1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18" s="107">
        <f>IF($Q918="","",(TAB_HISTORICO_MANUT[[#This Row],[Hora Final]]-TAB_HISTORICO_MANUT[[#This Row],[Hora Inicio]])*24)</f>
        <v>2.3194444444379769</v>
      </c>
      <c r="S91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18" s="109" t="str">
        <f>IF(AND(TAB_HISTORICO_MANUT[[#This Row],[EXPURGO Mãe]]="SIM",TAB_HISTORICO_MANUT[[#This Row],[Tipo]]="MÃE"),"EXP.MAE",IF(TAB_HISTORICO_MANUT[[#This Row],[EXPURGO Mãe]]="NÃO","NÃO EXP.MAE",T917))</f>
        <v>NÃO EXP.MAE</v>
      </c>
      <c r="U91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18" s="110">
        <f>IF(TAB_HISTORICO_MANUT[[#This Row],[EXPURGO Filhas]]="SIM",MAX(TAB_HISTORICO_MANUT[[#This Row],[Hora Final]]-TAB_HISTORICO_MANUT[[#This Row],[Hora Inicio]],0),0)</f>
        <v>0</v>
      </c>
      <c r="W91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1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18" s="117">
        <v>46172.233587962961</v>
      </c>
      <c r="Z918" s="118">
        <v>46172.330231481479</v>
      </c>
      <c r="AA918" s="119" t="s">
        <v>228</v>
      </c>
      <c r="AB918" s="119" t="s">
        <v>1077</v>
      </c>
      <c r="AC918" s="115" t="s">
        <v>204</v>
      </c>
      <c r="AD918" s="117" t="s">
        <v>144</v>
      </c>
      <c r="AE918" s="117" t="s">
        <v>172</v>
      </c>
      <c r="AF918" s="122" t="s">
        <v>210</v>
      </c>
      <c r="AG918" s="123">
        <f>IF(TAB_HISTORICO_MANUT[[#This Row],[Hora Inicio]]="","",MONTH(TAB_HISTORICO_MANUT[[#This Row],[Hora Inicio]]))</f>
        <v>5</v>
      </c>
      <c r="AH918" s="120" t="s">
        <v>1087</v>
      </c>
      <c r="AI918" s="115" t="s">
        <v>24</v>
      </c>
      <c r="AJ918" s="115" t="s">
        <v>223</v>
      </c>
      <c r="AK918" s="115" t="s">
        <v>422</v>
      </c>
      <c r="AL918" s="115" t="s">
        <v>1099</v>
      </c>
      <c r="AM918" s="115" t="s">
        <v>280</v>
      </c>
      <c r="AN918" s="115" t="s">
        <v>217</v>
      </c>
      <c r="AO918" s="115" t="s">
        <v>405</v>
      </c>
      <c r="AP918" s="115" t="s">
        <v>403</v>
      </c>
    </row>
    <row r="919" spans="1:42" ht="50.1" customHeight="1" x14ac:dyDescent="0.25">
      <c r="A919" s="115">
        <f>MONTH(TAB_HISTORICO_MANUT[[#This Row],[Hora Final]])-MONTH(TAB_HISTORICO_MANUT[[#This Row],[Hora Inicio]])</f>
        <v>0</v>
      </c>
      <c r="B919" s="116"/>
      <c r="C919" s="115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Inicio]]=Z918,TAB_HISTORICO_MANUT[[#This Row],[Equipamento]]=AA918,TAB_HISTORICO_MANUT[[#This Row],[Descricao Despacho]]=AD918),0,1)))</f>
        <v>1</v>
      </c>
      <c r="O91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91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91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919" s="107">
        <f>IF($Q919="","",(TAB_HISTORICO_MANUT[[#This Row],[Hora Final]]-TAB_HISTORICO_MANUT[[#This Row],[Hora Inicio]])*24)</f>
        <v>0.59305555553874001</v>
      </c>
      <c r="S91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19" s="109" t="str">
        <f>IF(AND(TAB_HISTORICO_MANUT[[#This Row],[EXPURGO Mãe]]="SIM",TAB_HISTORICO_MANUT[[#This Row],[Tipo]]="MÃE"),"EXP.MAE",IF(TAB_HISTORICO_MANUT[[#This Row],[EXPURGO Mãe]]="NÃO","NÃO EXP.MAE",T918))</f>
        <v>NÃO EXP.MAE</v>
      </c>
      <c r="U91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19" s="110">
        <f>IF(TAB_HISTORICO_MANUT[[#This Row],[EXPURGO Filhas]]="SIM",MAX(TAB_HISTORICO_MANUT[[#This Row],[Hora Final]]-TAB_HISTORICO_MANUT[[#This Row],[Hora Inicio]],0),0)</f>
        <v>0</v>
      </c>
      <c r="W91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1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19" s="117">
        <v>46172.335625</v>
      </c>
      <c r="Z919" s="118">
        <v>46172.360335648147</v>
      </c>
      <c r="AA919" s="119" t="s">
        <v>228</v>
      </c>
      <c r="AB919" s="119"/>
      <c r="AC919" s="115" t="s">
        <v>205</v>
      </c>
      <c r="AD919" s="117" t="s">
        <v>145</v>
      </c>
      <c r="AE919" s="117" t="s">
        <v>173</v>
      </c>
      <c r="AF919" s="122" t="s">
        <v>210</v>
      </c>
      <c r="AG919" s="123">
        <f>IF(TAB_HISTORICO_MANUT[[#This Row],[Hora Inicio]]="","",MONTH(TAB_HISTORICO_MANUT[[#This Row],[Hora Inicio]]))</f>
        <v>5</v>
      </c>
      <c r="AH919" s="120" t="s">
        <v>1088</v>
      </c>
      <c r="AI919" s="115" t="s">
        <v>21</v>
      </c>
      <c r="AJ919" s="115" t="s">
        <v>21</v>
      </c>
      <c r="AK919" s="115" t="s">
        <v>21</v>
      </c>
      <c r="AL919" s="115" t="s">
        <v>21</v>
      </c>
      <c r="AM919" s="121" t="s">
        <v>21</v>
      </c>
      <c r="AN919" s="115"/>
      <c r="AO919" s="115"/>
      <c r="AP919" s="115"/>
    </row>
    <row r="920" spans="1:42" ht="50.1" customHeight="1" x14ac:dyDescent="0.25">
      <c r="A920" s="43">
        <f>MONTH(TAB_HISTORICO_MANUT[[#This Row],[Hora Final]])-MONTH(TAB_HISTORICO_MANUT[[#This Row],[Hora Inicio]])</f>
        <v>0</v>
      </c>
      <c r="B920" s="42"/>
      <c r="C920" s="43"/>
      <c r="D920" s="42"/>
      <c r="E920" s="42"/>
      <c r="F920" s="42"/>
      <c r="G920" s="42"/>
      <c r="H920" s="42"/>
      <c r="I920" s="42"/>
      <c r="J920" s="42"/>
      <c r="K920" s="42"/>
      <c r="L920" s="42"/>
      <c r="M920" s="42" t="s">
        <v>98</v>
      </c>
      <c r="N920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Inicio]]=Z919,TAB_HISTORICO_MANUT[[#This Row],[Equipamento]]=AA919,TAB_HISTORICO_MANUT[[#This Row],[Descricao Despacho]]=AD919),0,1)))</f>
        <v/>
      </c>
      <c r="O92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920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92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920" s="50" t="str">
        <f>IF($Q920="","",(TAB_HISTORICO_MANUT[[#This Row],[Hora Final]]-TAB_HISTORICO_MANUT[[#This Row],[Hora Inicio]])*24)</f>
        <v/>
      </c>
      <c r="S92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920" s="54" t="str">
        <f>IF(AND(TAB_HISTORICO_MANUT[[#This Row],[EXPURGO Mãe]]="SIM",TAB_HISTORICO_MANUT[[#This Row],[Tipo]]="MÃE"),"EXP.MAE",IF(TAB_HISTORICO_MANUT[[#This Row],[EXPURGO Mãe]]="NÃO","NÃO EXP.MAE",T919))</f>
        <v>NÃO EXP.MAE</v>
      </c>
      <c r="U92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920" s="56">
        <f>IF(TAB_HISTORICO_MANUT[[#This Row],[EXPURGO Filhas]]="SIM",MAX(TAB_HISTORICO_MANUT[[#This Row],[Hora Final]]-TAB_HISTORICO_MANUT[[#This Row],[Hora Inicio]],0),0)</f>
        <v>1.7144247685791925E-2</v>
      </c>
      <c r="W92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2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20" s="46">
        <v>46172.343191400461</v>
      </c>
      <c r="Z920" s="47">
        <v>46172.360335648147</v>
      </c>
      <c r="AA920" s="48" t="s">
        <v>228</v>
      </c>
      <c r="AB920" s="48"/>
      <c r="AC920" s="43" t="s">
        <v>205</v>
      </c>
      <c r="AD920" s="46" t="s">
        <v>145</v>
      </c>
      <c r="AE920" s="46" t="s">
        <v>173</v>
      </c>
      <c r="AF920" s="88" t="s">
        <v>767</v>
      </c>
      <c r="AG920" s="105">
        <f>IF(TAB_HISTORICO_MANUT[[#This Row],[Hora Inicio]]="","",MONTH(TAB_HISTORICO_MANUT[[#This Row],[Hora Inicio]]))</f>
        <v>5</v>
      </c>
      <c r="AH920" s="58" t="s">
        <v>1088</v>
      </c>
      <c r="AI920" s="43" t="s">
        <v>21</v>
      </c>
      <c r="AJ920" s="43" t="s">
        <v>21</v>
      </c>
      <c r="AK920" s="43" t="s">
        <v>21</v>
      </c>
      <c r="AL920" s="43" t="s">
        <v>21</v>
      </c>
      <c r="AM920" s="43" t="s">
        <v>21</v>
      </c>
      <c r="AN920" s="43"/>
      <c r="AO920" s="43"/>
      <c r="AP920" s="43"/>
    </row>
    <row r="921" spans="1:42" ht="50.1" customHeight="1" x14ac:dyDescent="0.25">
      <c r="A921" s="115">
        <f>MONTH(TAB_HISTORICO_MANUT[[#This Row],[Hora Final]])-MONTH(TAB_HISTORICO_MANUT[[#This Row],[Hora Inicio]])</f>
        <v>0</v>
      </c>
      <c r="B921" s="116"/>
      <c r="C921" s="115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Inicio]]=Z920,TAB_HISTORICO_MANUT[[#This Row],[Equipamento]]=AA920,TAB_HISTORICO_MANUT[[#This Row],[Descricao Despacho]]=AD920),0,1)))</f>
        <v>1</v>
      </c>
      <c r="O92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DE FREIO</v>
      </c>
      <c r="P92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2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21" s="107">
        <f>IF($Q921="","",(TAB_HISTORICO_MANUT[[#This Row],[Hora Final]]-TAB_HISTORICO_MANUT[[#This Row],[Hora Inicio]])*24)</f>
        <v>2.432500000053551</v>
      </c>
      <c r="S92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21" s="109" t="str">
        <f>IF(AND(TAB_HISTORICO_MANUT[[#This Row],[EXPURGO Mãe]]="SIM",TAB_HISTORICO_MANUT[[#This Row],[Tipo]]="MÃE"),"EXP.MAE",IF(TAB_HISTORICO_MANUT[[#This Row],[EXPURGO Mãe]]="NÃO","NÃO EXP.MAE",T920))</f>
        <v>NÃO EXP.MAE</v>
      </c>
      <c r="U92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21" s="110">
        <f>IF(TAB_HISTORICO_MANUT[[#This Row],[EXPURGO Filhas]]="SIM",MAX(TAB_HISTORICO_MANUT[[#This Row],[Hora Final]]-TAB_HISTORICO_MANUT[[#This Row],[Hora Inicio]],0),0)</f>
        <v>0</v>
      </c>
      <c r="W92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2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21" s="117">
        <v>46172.488564814812</v>
      </c>
      <c r="Z921" s="118">
        <v>46172.589918981481</v>
      </c>
      <c r="AA921" s="119" t="s">
        <v>228</v>
      </c>
      <c r="AB921" s="119" t="s">
        <v>1077</v>
      </c>
      <c r="AC921" s="115" t="s">
        <v>204</v>
      </c>
      <c r="AD921" s="117" t="s">
        <v>144</v>
      </c>
      <c r="AE921" s="117" t="s">
        <v>172</v>
      </c>
      <c r="AF921" s="122" t="s">
        <v>210</v>
      </c>
      <c r="AG921" s="123">
        <f>IF(TAB_HISTORICO_MANUT[[#This Row],[Hora Inicio]]="","",MONTH(TAB_HISTORICO_MANUT[[#This Row],[Hora Inicio]]))</f>
        <v>5</v>
      </c>
      <c r="AH921" s="120" t="s">
        <v>1089</v>
      </c>
      <c r="AI921" s="115" t="s">
        <v>46</v>
      </c>
      <c r="AJ921" s="115" t="s">
        <v>295</v>
      </c>
      <c r="AK921" s="115" t="s">
        <v>529</v>
      </c>
      <c r="AL921" s="115" t="s">
        <v>334</v>
      </c>
      <c r="AM921" s="121"/>
      <c r="AN921" s="115" t="s">
        <v>217</v>
      </c>
      <c r="AO921" s="115" t="s">
        <v>586</v>
      </c>
      <c r="AP921" s="115" t="s">
        <v>469</v>
      </c>
    </row>
    <row r="922" spans="1:42" ht="50.1" customHeight="1" x14ac:dyDescent="0.25">
      <c r="A922" s="115">
        <f>MONTH(TAB_HISTORICO_MANUT[[#This Row],[Hora Final]])-MONTH(TAB_HISTORICO_MANUT[[#This Row],[Hora Inicio]])</f>
        <v>0</v>
      </c>
      <c r="B922" s="116"/>
      <c r="C922" s="115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Inicio]]=Z921,TAB_HISTORICO_MANUT[[#This Row],[Equipamento]]=AA921,TAB_HISTORICO_MANUT[[#This Row],[Descricao Despacho]]=AD921),0,1)))</f>
        <v>1</v>
      </c>
      <c r="O92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DE FREIO</v>
      </c>
      <c r="P92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2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22" s="107">
        <f>IF($Q922="","",(TAB_HISTORICO_MANUT[[#This Row],[Hora Final]]-TAB_HISTORICO_MANUT[[#This Row],[Hora Inicio]])*24)</f>
        <v>1.9125000000349246</v>
      </c>
      <c r="S92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22" s="109" t="str">
        <f>IF(AND(TAB_HISTORICO_MANUT[[#This Row],[EXPURGO Mãe]]="SIM",TAB_HISTORICO_MANUT[[#This Row],[Tipo]]="MÃE"),"EXP.MAE",IF(TAB_HISTORICO_MANUT[[#This Row],[EXPURGO Mãe]]="NÃO","NÃO EXP.MAE",T921))</f>
        <v>NÃO EXP.MAE</v>
      </c>
      <c r="U92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22" s="110">
        <f>IF(TAB_HISTORICO_MANUT[[#This Row],[EXPURGO Filhas]]="SIM",MAX(TAB_HISTORICO_MANUT[[#This Row],[Hora Final]]-TAB_HISTORICO_MANUT[[#This Row],[Hora Inicio]],0),0)</f>
        <v>0</v>
      </c>
      <c r="W92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2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22" s="117">
        <v>46173.341909722221</v>
      </c>
      <c r="Z922" s="118">
        <v>46173.421597222223</v>
      </c>
      <c r="AA922" s="119" t="s">
        <v>228</v>
      </c>
      <c r="AB922" s="119" t="s">
        <v>1079</v>
      </c>
      <c r="AC922" s="115" t="s">
        <v>204</v>
      </c>
      <c r="AD922" s="117" t="s">
        <v>144</v>
      </c>
      <c r="AE922" s="117" t="s">
        <v>172</v>
      </c>
      <c r="AF922" s="122" t="s">
        <v>210</v>
      </c>
      <c r="AG922" s="123">
        <f>IF(TAB_HISTORICO_MANUT[[#This Row],[Hora Inicio]]="","",MONTH(TAB_HISTORICO_MANUT[[#This Row],[Hora Inicio]]))</f>
        <v>5</v>
      </c>
      <c r="AH922" s="120" t="s">
        <v>1092</v>
      </c>
      <c r="AI922" s="115" t="s">
        <v>46</v>
      </c>
      <c r="AJ922" s="115" t="s">
        <v>295</v>
      </c>
      <c r="AK922" s="115" t="s">
        <v>529</v>
      </c>
      <c r="AL922" s="115" t="s">
        <v>1100</v>
      </c>
      <c r="AM922" s="121" t="s">
        <v>294</v>
      </c>
      <c r="AN922" s="115" t="s">
        <v>217</v>
      </c>
      <c r="AO922" s="115" t="s">
        <v>579</v>
      </c>
      <c r="AP922" s="115" t="s">
        <v>584</v>
      </c>
    </row>
    <row r="923" spans="1:42" ht="50.1" customHeight="1" x14ac:dyDescent="0.25">
      <c r="A923" s="115">
        <f>MONTH(TAB_HISTORICO_MANUT[[#This Row],[Hora Final]])-MONTH(TAB_HISTORICO_MANUT[[#This Row],[Hora Inicio]])</f>
        <v>0</v>
      </c>
      <c r="B923" s="116"/>
      <c r="C923" s="115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Inicio]]=Z922,TAB_HISTORICO_MANUT[[#This Row],[Equipamento]]=AA922,TAB_HISTORICO_MANUT[[#This Row],[Descricao Despacho]]=AD922),0,1)))</f>
        <v>1</v>
      </c>
      <c r="O92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92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2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23" s="107">
        <f>IF($Q923="","",(TAB_HISTORICO_MANUT[[#This Row],[Hora Final]]-TAB_HISTORICO_MANUT[[#This Row],[Hora Inicio]])*24)</f>
        <v>3.8422222221270204</v>
      </c>
      <c r="S92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23" s="109" t="str">
        <f>IF(AND(TAB_HISTORICO_MANUT[[#This Row],[EXPURGO Mãe]]="SIM",TAB_HISTORICO_MANUT[[#This Row],[Tipo]]="MÃE"),"EXP.MAE",IF(TAB_HISTORICO_MANUT[[#This Row],[EXPURGO Mãe]]="NÃO","NÃO EXP.MAE",T922))</f>
        <v>NÃO EXP.MAE</v>
      </c>
      <c r="U92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23" s="110">
        <f>IF(TAB_HISTORICO_MANUT[[#This Row],[EXPURGO Filhas]]="SIM",MAX(TAB_HISTORICO_MANUT[[#This Row],[Hora Final]]-TAB_HISTORICO_MANUT[[#This Row],[Hora Inicio]],0),0)</f>
        <v>0</v>
      </c>
      <c r="W92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2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23" s="117">
        <v>46173.697812500002</v>
      </c>
      <c r="Z923" s="118">
        <v>46173.857905092591</v>
      </c>
      <c r="AA923" s="119" t="s">
        <v>228</v>
      </c>
      <c r="AB923" s="119"/>
      <c r="AC923" s="115" t="s">
        <v>204</v>
      </c>
      <c r="AD923" s="117" t="s">
        <v>144</v>
      </c>
      <c r="AE923" s="117" t="s">
        <v>172</v>
      </c>
      <c r="AF923" s="122" t="s">
        <v>210</v>
      </c>
      <c r="AG923" s="123">
        <f>IF(TAB_HISTORICO_MANUT[[#This Row],[Hora Inicio]]="","",MONTH(TAB_HISTORICO_MANUT[[#This Row],[Hora Inicio]]))</f>
        <v>5</v>
      </c>
      <c r="AH923" s="120" t="s">
        <v>1093</v>
      </c>
      <c r="AI923" s="115" t="s">
        <v>28</v>
      </c>
      <c r="AJ923" s="115" t="s">
        <v>30</v>
      </c>
      <c r="AK923" s="115" t="s">
        <v>673</v>
      </c>
      <c r="AL923" s="115" t="s">
        <v>526</v>
      </c>
      <c r="AM923" s="121" t="s">
        <v>527</v>
      </c>
      <c r="AN923" s="115"/>
      <c r="AO923" s="115"/>
      <c r="AP923" s="115"/>
    </row>
    <row r="924" spans="1:42" ht="50.1" customHeight="1" x14ac:dyDescent="0.25">
      <c r="A924" s="115">
        <f>MONTH(TAB_HISTORICO_MANUT[[#This Row],[Hora Final]])-MONTH(TAB_HISTORICO_MANUT[[#This Row],[Hora Inicio]])</f>
        <v>0</v>
      </c>
      <c r="B924" s="116"/>
      <c r="C924" s="115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Inicio]]=Z923,TAB_HISTORICO_MANUT[[#This Row],[Equipamento]]=AA923,TAB_HISTORICO_MANUT[[#This Row],[Descricao Despacho]]=AD923),0,1)))</f>
        <v>1</v>
      </c>
      <c r="O92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92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92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924" s="107">
        <f>IF($Q924="","",(TAB_HISTORICO_MANUT[[#This Row],[Hora Final]]-TAB_HISTORICO_MANUT[[#This Row],[Hora Inicio]])*24)</f>
        <v>0.28444444458000362</v>
      </c>
      <c r="S92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924" s="109" t="str">
        <f>IF(AND(TAB_HISTORICO_MANUT[[#This Row],[EXPURGO Mãe]]="SIM",TAB_HISTORICO_MANUT[[#This Row],[Tipo]]="MÃE"),"EXP.MAE",IF(TAB_HISTORICO_MANUT[[#This Row],[EXPURGO Mãe]]="NÃO","NÃO EXP.MAE",T923))</f>
        <v>EXP.MAE</v>
      </c>
      <c r="U92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24" s="110">
        <f>IF(TAB_HISTORICO_MANUT[[#This Row],[EXPURGO Filhas]]="SIM",MAX(TAB_HISTORICO_MANUT[[#This Row],[Hora Final]]-TAB_HISTORICO_MANUT[[#This Row],[Hora Inicio]],0),0)</f>
        <v>0</v>
      </c>
      <c r="W92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2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24" s="117">
        <v>46175.138807870368</v>
      </c>
      <c r="Z924" s="118">
        <v>46175.150659722225</v>
      </c>
      <c r="AA924" s="119" t="s">
        <v>228</v>
      </c>
      <c r="AB924" s="119"/>
      <c r="AC924" s="115" t="s">
        <v>300</v>
      </c>
      <c r="AD924" s="117" t="s">
        <v>146</v>
      </c>
      <c r="AE924" s="117" t="s">
        <v>178</v>
      </c>
      <c r="AF924" s="122" t="s">
        <v>210</v>
      </c>
      <c r="AG924" s="123">
        <f>IF(TAB_HISTORICO_MANUT[[#This Row],[Hora Inicio]]="","",MONTH(TAB_HISTORICO_MANUT[[#This Row],[Hora Inicio]]))</f>
        <v>6</v>
      </c>
      <c r="AH924" s="120" t="s">
        <v>1106</v>
      </c>
      <c r="AI924" s="115" t="s">
        <v>340</v>
      </c>
      <c r="AJ924" s="115" t="s">
        <v>617</v>
      </c>
      <c r="AK924" s="115"/>
      <c r="AL924" s="115"/>
      <c r="AM924" s="121"/>
      <c r="AN924" s="115"/>
      <c r="AO924" s="115"/>
      <c r="AP924" s="115"/>
    </row>
    <row r="925" spans="1:42" ht="50.1" customHeight="1" x14ac:dyDescent="0.25">
      <c r="A925" s="115">
        <f>MONTH(TAB_HISTORICO_MANUT[[#This Row],[Hora Final]])-MONTH(TAB_HISTORICO_MANUT[[#This Row],[Hora Inicio]])</f>
        <v>0</v>
      </c>
      <c r="B925" s="116"/>
      <c r="C925" s="115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Inicio]]=Z924,TAB_HISTORICO_MANUT[[#This Row],[Equipamento]]=AA924,TAB_HISTORICO_MANUT[[#This Row],[Descricao Despacho]]=AD924),0,1)))</f>
        <v>0</v>
      </c>
      <c r="O92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92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92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925" s="107">
        <f>IF($Q925="","",(TAB_HISTORICO_MANUT[[#This Row],[Hora Final]]-TAB_HISTORICO_MANUT[[#This Row],[Hora Inicio]])*24)</f>
        <v>1.752777777670417</v>
      </c>
      <c r="S92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25" s="109" t="str">
        <f>IF(AND(TAB_HISTORICO_MANUT[[#This Row],[EXPURGO Mãe]]="SIM",TAB_HISTORICO_MANUT[[#This Row],[Tipo]]="MÃE"),"EXP.MAE",IF(TAB_HISTORICO_MANUT[[#This Row],[EXPURGO Mãe]]="NÃO","NÃO EXP.MAE",T924))</f>
        <v>NÃO EXP.MAE</v>
      </c>
      <c r="U92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25" s="110">
        <f>IF(TAB_HISTORICO_MANUT[[#This Row],[EXPURGO Filhas]]="SIM",MAX(TAB_HISTORICO_MANUT[[#This Row],[Hora Final]]-TAB_HISTORICO_MANUT[[#This Row],[Hora Inicio]],0),0)</f>
        <v>0</v>
      </c>
      <c r="W92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2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25" s="117">
        <v>46175.150659722225</v>
      </c>
      <c r="Z925" s="118">
        <v>46175.223692129628</v>
      </c>
      <c r="AA925" s="119" t="s">
        <v>228</v>
      </c>
      <c r="AB925" s="119"/>
      <c r="AC925" s="115" t="s">
        <v>301</v>
      </c>
      <c r="AD925" s="117" t="s">
        <v>146</v>
      </c>
      <c r="AE925" s="117" t="s">
        <v>310</v>
      </c>
      <c r="AF925" s="122" t="s">
        <v>210</v>
      </c>
      <c r="AG925" s="123">
        <f>IF(TAB_HISTORICO_MANUT[[#This Row],[Hora Inicio]]="","",MONTH(TAB_HISTORICO_MANUT[[#This Row],[Hora Inicio]]))</f>
        <v>6</v>
      </c>
      <c r="AH925" s="120" t="s">
        <v>1106</v>
      </c>
      <c r="AI925" s="115" t="s">
        <v>340</v>
      </c>
      <c r="AJ925" s="115" t="s">
        <v>617</v>
      </c>
      <c r="AK925" s="115"/>
      <c r="AL925" s="115"/>
      <c r="AM925" s="121"/>
      <c r="AN925" s="115"/>
      <c r="AO925" s="115"/>
      <c r="AP925" s="115"/>
    </row>
    <row r="926" spans="1:42" ht="50.1" customHeight="1" x14ac:dyDescent="0.25">
      <c r="A926" s="115">
        <f>MONTH(TAB_HISTORICO_MANUT[[#This Row],[Hora Final]])-MONTH(TAB_HISTORICO_MANUT[[#This Row],[Hora Inicio]])</f>
        <v>0</v>
      </c>
      <c r="B926" s="116"/>
      <c r="C926" s="115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Inicio]]=Z925,TAB_HISTORICO_MANUT[[#This Row],[Equipamento]]=AA925,TAB_HISTORICO_MANUT[[#This Row],[Descricao Despacho]]=AD925),0,1)))</f>
        <v>0</v>
      </c>
      <c r="O92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92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92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926" s="107">
        <f>IF($Q926="","",(TAB_HISTORICO_MANUT[[#This Row],[Hora Final]]-TAB_HISTORICO_MANUT[[#This Row],[Hora Inicio]])*24)</f>
        <v>5.7694444445078261</v>
      </c>
      <c r="S92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26" s="109" t="str">
        <f>IF(AND(TAB_HISTORICO_MANUT[[#This Row],[EXPURGO Mãe]]="SIM",TAB_HISTORICO_MANUT[[#This Row],[Tipo]]="MÃE"),"EXP.MAE",IF(TAB_HISTORICO_MANUT[[#This Row],[EXPURGO Mãe]]="NÃO","NÃO EXP.MAE",T925))</f>
        <v>NÃO EXP.MAE</v>
      </c>
      <c r="U92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26" s="110">
        <f>IF(TAB_HISTORICO_MANUT[[#This Row],[EXPURGO Filhas]]="SIM",MAX(TAB_HISTORICO_MANUT[[#This Row],[Hora Final]]-TAB_HISTORICO_MANUT[[#This Row],[Hora Inicio]],0),0)</f>
        <v>0</v>
      </c>
      <c r="W92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2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26" s="117">
        <v>46175.223692129628</v>
      </c>
      <c r="Z926" s="118">
        <v>46175.464085648149</v>
      </c>
      <c r="AA926" s="119" t="s">
        <v>228</v>
      </c>
      <c r="AB926" s="119"/>
      <c r="AC926" s="115" t="s">
        <v>302</v>
      </c>
      <c r="AD926" s="117" t="s">
        <v>146</v>
      </c>
      <c r="AE926" s="117" t="s">
        <v>311</v>
      </c>
      <c r="AF926" s="122" t="s">
        <v>210</v>
      </c>
      <c r="AG926" s="123">
        <f>IF(TAB_HISTORICO_MANUT[[#This Row],[Hora Inicio]]="","",MONTH(TAB_HISTORICO_MANUT[[#This Row],[Hora Inicio]]))</f>
        <v>6</v>
      </c>
      <c r="AH926" s="120" t="s">
        <v>1106</v>
      </c>
      <c r="AI926" s="115" t="s">
        <v>340</v>
      </c>
      <c r="AJ926" s="115" t="s">
        <v>617</v>
      </c>
      <c r="AK926" s="115"/>
      <c r="AL926" s="115"/>
      <c r="AM926" s="121"/>
      <c r="AN926" s="115"/>
      <c r="AO926" s="115"/>
      <c r="AP926" s="115"/>
    </row>
    <row r="927" spans="1:42" ht="50.1" customHeight="1" x14ac:dyDescent="0.25">
      <c r="A927" s="115">
        <f>MONTH(TAB_HISTORICO_MANUT[[#This Row],[Hora Final]])-MONTH(TAB_HISTORICO_MANUT[[#This Row],[Hora Inicio]])</f>
        <v>0</v>
      </c>
      <c r="B927" s="116"/>
      <c r="C927" s="115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 t="s">
        <v>98</v>
      </c>
      <c r="N927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Inicio]]=Z926,TAB_HISTORICO_MANUT[[#This Row],[Equipamento]]=AA926,TAB_HISTORICO_MANUT[[#This Row],[Descricao Despacho]]=AD926),0,1)))</f>
        <v/>
      </c>
      <c r="O92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927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92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927" s="107" t="str">
        <f>IF($Q927="","",(TAB_HISTORICO_MANUT[[#This Row],[Hora Final]]-TAB_HISTORICO_MANUT[[#This Row],[Hora Inicio]])*24)</f>
        <v/>
      </c>
      <c r="S92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927" s="109" t="str">
        <f>IF(AND(TAB_HISTORICO_MANUT[[#This Row],[EXPURGO Mãe]]="SIM",TAB_HISTORICO_MANUT[[#This Row],[Tipo]]="MÃE"),"EXP.MAE",IF(TAB_HISTORICO_MANUT[[#This Row],[EXPURGO Mãe]]="NÃO","NÃO EXP.MAE",T926))</f>
        <v>NÃO EXP.MAE</v>
      </c>
      <c r="U92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927" s="110">
        <f>IF(TAB_HISTORICO_MANUT[[#This Row],[EXPURGO Filhas]]="SIM",MAX(TAB_HISTORICO_MANUT[[#This Row],[Hora Final]]-TAB_HISTORICO_MANUT[[#This Row],[Hora Inicio]],0),0)</f>
        <v>7.3726851849642117E-2</v>
      </c>
      <c r="W92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2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27" s="117">
        <v>46175.3903587963</v>
      </c>
      <c r="Z927" s="118">
        <v>46175.464085648149</v>
      </c>
      <c r="AA927" s="119" t="s">
        <v>228</v>
      </c>
      <c r="AB927" s="119"/>
      <c r="AC927" s="115" t="s">
        <v>302</v>
      </c>
      <c r="AD927" s="117" t="s">
        <v>146</v>
      </c>
      <c r="AE927" s="117" t="s">
        <v>311</v>
      </c>
      <c r="AF927" s="122" t="s">
        <v>767</v>
      </c>
      <c r="AG927" s="123">
        <f>IF(TAB_HISTORICO_MANUT[[#This Row],[Hora Inicio]]="","",MONTH(TAB_HISTORICO_MANUT[[#This Row],[Hora Inicio]]))</f>
        <v>6</v>
      </c>
      <c r="AH927" s="120" t="s">
        <v>1282</v>
      </c>
      <c r="AI927" s="115" t="s">
        <v>340</v>
      </c>
      <c r="AJ927" s="115" t="s">
        <v>617</v>
      </c>
      <c r="AK927" s="115"/>
      <c r="AL927" s="115"/>
      <c r="AM927" s="121"/>
      <c r="AN927" s="115"/>
      <c r="AO927" s="115"/>
      <c r="AP927" s="115"/>
    </row>
    <row r="928" spans="1:42" ht="50.1" customHeight="1" x14ac:dyDescent="0.25">
      <c r="A928" s="115">
        <f>MONTH(TAB_HISTORICO_MANUT[[#This Row],[Hora Final]])-MONTH(TAB_HISTORICO_MANUT[[#This Row],[Hora Inicio]])</f>
        <v>0</v>
      </c>
      <c r="B928" s="116"/>
      <c r="C928" s="115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Inicio]]=Z927,TAB_HISTORICO_MANUT[[#This Row],[Equipamento]]=AA927,TAB_HISTORICO_MANUT[[#This Row],[Descricao Despacho]]=AD927),0,1)))</f>
        <v>0</v>
      </c>
      <c r="O92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92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92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928" s="107">
        <f>IF($Q928="","",(TAB_HISTORICO_MANUT[[#This Row],[Hora Final]]-TAB_HISTORICO_MANUT[[#This Row],[Hora Inicio]])*24)</f>
        <v>25.783611111051869</v>
      </c>
      <c r="S92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28" s="109" t="str">
        <f>IF(AND(TAB_HISTORICO_MANUT[[#This Row],[EXPURGO Mãe]]="SIM",TAB_HISTORICO_MANUT[[#This Row],[Tipo]]="MÃE"),"EXP.MAE",IF(TAB_HISTORICO_MANUT[[#This Row],[EXPURGO Mãe]]="NÃO","NÃO EXP.MAE",T927))</f>
        <v>NÃO EXP.MAE</v>
      </c>
      <c r="U92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28" s="110">
        <f>IF(TAB_HISTORICO_MANUT[[#This Row],[EXPURGO Filhas]]="SIM",MAX(TAB_HISTORICO_MANUT[[#This Row],[Hora Final]]-TAB_HISTORICO_MANUT[[#This Row],[Hora Inicio]],0),0)</f>
        <v>0</v>
      </c>
      <c r="W92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2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28" s="117">
        <v>46175.464085648149</v>
      </c>
      <c r="Z928" s="118">
        <v>46176.538402777776</v>
      </c>
      <c r="AA928" s="119" t="s">
        <v>228</v>
      </c>
      <c r="AB928" s="119"/>
      <c r="AC928" s="115" t="s">
        <v>301</v>
      </c>
      <c r="AD928" s="117" t="s">
        <v>146</v>
      </c>
      <c r="AE928" s="117" t="s">
        <v>310</v>
      </c>
      <c r="AF928" s="122" t="s">
        <v>210</v>
      </c>
      <c r="AG928" s="123">
        <f>IF(TAB_HISTORICO_MANUT[[#This Row],[Hora Inicio]]="","",MONTH(TAB_HISTORICO_MANUT[[#This Row],[Hora Inicio]]))</f>
        <v>6</v>
      </c>
      <c r="AH928" s="120" t="s">
        <v>1106</v>
      </c>
      <c r="AI928" s="115" t="s">
        <v>340</v>
      </c>
      <c r="AJ928" s="115" t="s">
        <v>617</v>
      </c>
      <c r="AK928" s="115"/>
      <c r="AL928" s="115"/>
      <c r="AM928" s="121"/>
      <c r="AN928" s="115"/>
      <c r="AO928" s="115"/>
      <c r="AP928" s="115"/>
    </row>
    <row r="929" spans="1:42" ht="50.1" customHeight="1" x14ac:dyDescent="0.25">
      <c r="A929" s="115">
        <f>MONTH(TAB_HISTORICO_MANUT[[#This Row],[Hora Final]])-MONTH(TAB_HISTORICO_MANUT[[#This Row],[Hora Inicio]])</f>
        <v>0</v>
      </c>
      <c r="B929" s="116"/>
      <c r="C929" s="115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Inicio]]=Z928,TAB_HISTORICO_MANUT[[#This Row],[Equipamento]]=AA928,TAB_HISTORICO_MANUT[[#This Row],[Descricao Despacho]]=AD928),0,1)))</f>
        <v/>
      </c>
      <c r="O92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929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92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929" s="107" t="str">
        <f>IF($Q929="","",(TAB_HISTORICO_MANUT[[#This Row],[Hora Final]]-TAB_HISTORICO_MANUT[[#This Row],[Hora Inicio]])*24)</f>
        <v/>
      </c>
      <c r="S92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929" s="109" t="str">
        <f>IF(AND(TAB_HISTORICO_MANUT[[#This Row],[EXPURGO Mãe]]="SIM",TAB_HISTORICO_MANUT[[#This Row],[Tipo]]="MÃE"),"EXP.MAE",IF(TAB_HISTORICO_MANUT[[#This Row],[EXPURGO Mãe]]="NÃO","NÃO EXP.MAE",T928))</f>
        <v>NÃO EXP.MAE</v>
      </c>
      <c r="U92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929" s="110">
        <f>IF(TAB_HISTORICO_MANUT[[#This Row],[EXPURGO Filhas]]="SIM",MAX(TAB_HISTORICO_MANUT[[#This Row],[Hora Final]]-TAB_HISTORICO_MANUT[[#This Row],[Hora Inicio]],0),0)</f>
        <v>0.18611111111385981</v>
      </c>
      <c r="W92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2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29" s="117">
        <v>46176.166666666664</v>
      </c>
      <c r="Z929" s="118">
        <v>46176.352777777778</v>
      </c>
      <c r="AA929" s="119" t="s">
        <v>228</v>
      </c>
      <c r="AB929" s="119">
        <v>202602798500</v>
      </c>
      <c r="AC929" s="115" t="s">
        <v>301</v>
      </c>
      <c r="AD929" s="117" t="s">
        <v>146</v>
      </c>
      <c r="AE929" s="117" t="s">
        <v>177</v>
      </c>
      <c r="AF929" s="122" t="s">
        <v>767</v>
      </c>
      <c r="AG929" s="123">
        <f>IF(TAB_HISTORICO_MANUT[[#This Row],[Hora Inicio]]="","",MONTH(TAB_HISTORICO_MANUT[[#This Row],[Hora Inicio]]))</f>
        <v>6</v>
      </c>
      <c r="AH929" s="120" t="s">
        <v>1316</v>
      </c>
      <c r="AI929" s="115" t="s">
        <v>340</v>
      </c>
      <c r="AJ929" s="115" t="s">
        <v>617</v>
      </c>
      <c r="AK929" s="115"/>
      <c r="AL929" s="115"/>
      <c r="AM929" s="121"/>
      <c r="AN929" s="115"/>
      <c r="AO929" s="115"/>
      <c r="AP929" s="115"/>
    </row>
    <row r="930" spans="1:42" ht="50.1" customHeight="1" x14ac:dyDescent="0.25">
      <c r="A930" s="43">
        <f>MONTH(TAB_HISTORICO_MANUT[[#This Row],[Hora Final]])-MONTH(TAB_HISTORICO_MANUT[[#This Row],[Hora Inicio]])</f>
        <v>0</v>
      </c>
      <c r="B930" s="42"/>
      <c r="C930" s="43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Inicio]]=Z929,TAB_HISTORICO_MANUT[[#This Row],[Equipamento]]=AA929,TAB_HISTORICO_MANUT[[#This Row],[Descricao Despacho]]=AD929),0,1)))</f>
        <v/>
      </c>
      <c r="O93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930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93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930" s="107" t="str">
        <f>IF($Q930="","",(TAB_HISTORICO_MANUT[[#This Row],[Hora Final]]-TAB_HISTORICO_MANUT[[#This Row],[Hora Inicio]])*24)</f>
        <v/>
      </c>
      <c r="S93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930" s="109" t="str">
        <f>IF(AND(TAB_HISTORICO_MANUT[[#This Row],[EXPURGO Mãe]]="SIM",TAB_HISTORICO_MANUT[[#This Row],[Tipo]]="MÃE"),"EXP.MAE",IF(TAB_HISTORICO_MANUT[[#This Row],[EXPURGO Mãe]]="NÃO","NÃO EXP.MAE",T929))</f>
        <v>NÃO EXP.MAE</v>
      </c>
      <c r="U93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930" s="110">
        <f>IF(TAB_HISTORICO_MANUT[[#This Row],[EXPURGO Filhas]]="SIM",MAX(TAB_HISTORICO_MANUT[[#This Row],[Hora Final]]-TAB_HISTORICO_MANUT[[#This Row],[Hora Inicio]],0),0)</f>
        <v>4.1666666671517305E-2</v>
      </c>
      <c r="W93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3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30" s="46">
        <v>46176.479166666664</v>
      </c>
      <c r="Z930" s="47">
        <v>46176.520833333336</v>
      </c>
      <c r="AA930" s="48" t="s">
        <v>228</v>
      </c>
      <c r="AB930" s="48">
        <v>202602798500</v>
      </c>
      <c r="AC930" s="43" t="s">
        <v>301</v>
      </c>
      <c r="AD930" s="46" t="s">
        <v>146</v>
      </c>
      <c r="AE930" s="46" t="s">
        <v>177</v>
      </c>
      <c r="AF930" s="88" t="s">
        <v>767</v>
      </c>
      <c r="AG930" s="105">
        <f>IF(TAB_HISTORICO_MANUT[[#This Row],[Hora Inicio]]="","",MONTH(TAB_HISTORICO_MANUT[[#This Row],[Hora Inicio]]))</f>
        <v>6</v>
      </c>
      <c r="AH930" s="58" t="s">
        <v>1317</v>
      </c>
      <c r="AI930" s="43" t="s">
        <v>340</v>
      </c>
      <c r="AJ930" s="43" t="s">
        <v>617</v>
      </c>
      <c r="AK930" s="43"/>
      <c r="AL930" s="43"/>
      <c r="AM930" s="114"/>
      <c r="AN930" s="43"/>
      <c r="AO930" s="43"/>
      <c r="AP930" s="43"/>
    </row>
    <row r="931" spans="1:42" ht="50.1" customHeight="1" x14ac:dyDescent="0.25">
      <c r="A931" s="115">
        <f>MONTH(TAB_HISTORICO_MANUT[[#This Row],[Hora Final]])-MONTH(TAB_HISTORICO_MANUT[[#This Row],[Hora Inicio]])</f>
        <v>0</v>
      </c>
      <c r="B931" s="116"/>
      <c r="C931" s="115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Inicio]]=Z930,TAB_HISTORICO_MANUT[[#This Row],[Equipamento]]=AA930,TAB_HISTORICO_MANUT[[#This Row],[Descricao Despacho]]=AD930),0,1)))</f>
        <v>1</v>
      </c>
      <c r="O93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93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3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31" s="107">
        <f>IF($Q931="","",(TAB_HISTORICO_MANUT[[#This Row],[Hora Final]]-TAB_HISTORICO_MANUT[[#This Row],[Hora Inicio]])*24)</f>
        <v>1.3216666665393859</v>
      </c>
      <c r="S93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31" s="109" t="str">
        <f>IF(AND(TAB_HISTORICO_MANUT[[#This Row],[EXPURGO Mãe]]="SIM",TAB_HISTORICO_MANUT[[#This Row],[Tipo]]="MÃE"),"EXP.MAE",IF(TAB_HISTORICO_MANUT[[#This Row],[EXPURGO Mãe]]="NÃO","NÃO EXP.MAE",T930))</f>
        <v>NÃO EXP.MAE</v>
      </c>
      <c r="U93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31" s="110">
        <f>IF(TAB_HISTORICO_MANUT[[#This Row],[EXPURGO Filhas]]="SIM",MAX(TAB_HISTORICO_MANUT[[#This Row],[Hora Final]]-TAB_HISTORICO_MANUT[[#This Row],[Hora Inicio]],0),0)</f>
        <v>0</v>
      </c>
      <c r="W93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3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31" s="117">
        <v>46176.917812500003</v>
      </c>
      <c r="Z931" s="118">
        <v>46176.972881944443</v>
      </c>
      <c r="AA931" s="119" t="s">
        <v>228</v>
      </c>
      <c r="AB931" s="119" t="s">
        <v>1115</v>
      </c>
      <c r="AC931" s="115" t="s">
        <v>204</v>
      </c>
      <c r="AD931" s="117" t="s">
        <v>144</v>
      </c>
      <c r="AE931" s="117" t="s">
        <v>172</v>
      </c>
      <c r="AF931" s="122" t="s">
        <v>210</v>
      </c>
      <c r="AG931" s="123">
        <f>IF(TAB_HISTORICO_MANUT[[#This Row],[Hora Inicio]]="","",MONTH(TAB_HISTORICO_MANUT[[#This Row],[Hora Inicio]]))</f>
        <v>6</v>
      </c>
      <c r="AH931" s="120" t="s">
        <v>1111</v>
      </c>
      <c r="AI931" s="115" t="s">
        <v>22</v>
      </c>
      <c r="AJ931" s="115" t="s">
        <v>277</v>
      </c>
      <c r="AK931" s="115" t="s">
        <v>1318</v>
      </c>
      <c r="AL931" s="115" t="s">
        <v>282</v>
      </c>
      <c r="AM931" s="121" t="s">
        <v>283</v>
      </c>
      <c r="AN931" s="115" t="s">
        <v>215</v>
      </c>
      <c r="AO931" s="115" t="s">
        <v>1108</v>
      </c>
      <c r="AP931" s="115" t="s">
        <v>1109</v>
      </c>
    </row>
    <row r="932" spans="1:42" ht="50.1" customHeight="1" x14ac:dyDescent="0.25">
      <c r="A932" s="43">
        <f>MONTH(TAB_HISTORICO_MANUT[[#This Row],[Hora Final]])-MONTH(TAB_HISTORICO_MANUT[[#This Row],[Hora Inicio]])</f>
        <v>0</v>
      </c>
      <c r="B932" s="42"/>
      <c r="C932" s="43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Inicio]]=Z931,TAB_HISTORICO_MANUT[[#This Row],[Equipamento]]=AA931,TAB_HISTORICO_MANUT[[#This Row],[Descricao Despacho]]=AD931),0,1)))</f>
        <v>1</v>
      </c>
      <c r="O93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AR CONDICIONADO</v>
      </c>
      <c r="P932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3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32" s="50">
        <f>IF($Q932="","",(TAB_HISTORICO_MANUT[[#This Row],[Hora Final]]-TAB_HISTORICO_MANUT[[#This Row],[Hora Inicio]])*24)</f>
        <v>6.9869444444775581</v>
      </c>
      <c r="S93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32" s="54" t="str">
        <f>IF(AND(TAB_HISTORICO_MANUT[[#This Row],[EXPURGO Mãe]]="SIM",TAB_HISTORICO_MANUT[[#This Row],[Tipo]]="MÃE"),"EXP.MAE",IF(TAB_HISTORICO_MANUT[[#This Row],[EXPURGO Mãe]]="NÃO","NÃO EXP.MAE",T931))</f>
        <v>NÃO EXP.MAE</v>
      </c>
      <c r="U93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32" s="56">
        <f>IF(TAB_HISTORICO_MANUT[[#This Row],[EXPURGO Filhas]]="SIM",MAX(TAB_HISTORICO_MANUT[[#This Row],[Hora Final]]-TAB_HISTORICO_MANUT[[#This Row],[Hora Inicio]],0),0)</f>
        <v>0</v>
      </c>
      <c r="W93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3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32" s="46">
        <v>46180.218032407407</v>
      </c>
      <c r="Z932" s="47">
        <v>46180.509155092594</v>
      </c>
      <c r="AA932" s="48" t="s">
        <v>228</v>
      </c>
      <c r="AB932" s="48" t="s">
        <v>1119</v>
      </c>
      <c r="AC932" s="43" t="s">
        <v>204</v>
      </c>
      <c r="AD932" s="46" t="s">
        <v>144</v>
      </c>
      <c r="AE932" s="46" t="s">
        <v>172</v>
      </c>
      <c r="AF932" s="88" t="s">
        <v>210</v>
      </c>
      <c r="AG932" s="105">
        <f>IF(TAB_HISTORICO_MANUT[[#This Row],[Hora Inicio]]="","",MONTH(TAB_HISTORICO_MANUT[[#This Row],[Hora Inicio]]))</f>
        <v>6</v>
      </c>
      <c r="AH932" s="58" t="s">
        <v>1123</v>
      </c>
      <c r="AI932" s="43" t="s">
        <v>37</v>
      </c>
      <c r="AJ932" s="43" t="s">
        <v>273</v>
      </c>
      <c r="AK932" s="43" t="s">
        <v>1098</v>
      </c>
      <c r="AL932" s="43" t="s">
        <v>1127</v>
      </c>
      <c r="AM932" s="114" t="s">
        <v>280</v>
      </c>
      <c r="AN932" s="43" t="s">
        <v>217</v>
      </c>
      <c r="AO932" s="43" t="s">
        <v>216</v>
      </c>
      <c r="AP932" s="43" t="s">
        <v>1095</v>
      </c>
    </row>
    <row r="933" spans="1:42" ht="50.1" customHeight="1" x14ac:dyDescent="0.25">
      <c r="A933" s="115">
        <f>MONTH(TAB_HISTORICO_MANUT[[#This Row],[Hora Final]])-MONTH(TAB_HISTORICO_MANUT[[#This Row],[Hora Inicio]])</f>
        <v>0</v>
      </c>
      <c r="B933" s="116"/>
      <c r="C933" s="115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Inicio]]=Z932,TAB_HISTORICO_MANUT[[#This Row],[Equipamento]]=AA932,TAB_HISTORICO_MANUT[[#This Row],[Descricao Despacho]]=AD932),0,1)))</f>
        <v>1</v>
      </c>
      <c r="O93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93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93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933" s="107">
        <f>IF($Q933="","",(TAB_HISTORICO_MANUT[[#This Row],[Hora Final]]-TAB_HISTORICO_MANUT[[#This Row],[Hora Inicio]])*24)</f>
        <v>1.9880555556155741</v>
      </c>
      <c r="S93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33" s="109" t="str">
        <f>IF(AND(TAB_HISTORICO_MANUT[[#This Row],[EXPURGO Mãe]]="SIM",TAB_HISTORICO_MANUT[[#This Row],[Tipo]]="MÃE"),"EXP.MAE",IF(TAB_HISTORICO_MANUT[[#This Row],[EXPURGO Mãe]]="NÃO","NÃO EXP.MAE",T932))</f>
        <v>NÃO EXP.MAE</v>
      </c>
      <c r="U93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33" s="110">
        <f>IF(TAB_HISTORICO_MANUT[[#This Row],[EXPURGO Filhas]]="SIM",MAX(TAB_HISTORICO_MANUT[[#This Row],[Hora Final]]-TAB_HISTORICO_MANUT[[#This Row],[Hora Inicio]],0),0)</f>
        <v>0</v>
      </c>
      <c r="W93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3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33" s="117">
        <v>46186.537245370368</v>
      </c>
      <c r="Z933" s="118">
        <v>46186.620081018518</v>
      </c>
      <c r="AA933" s="119" t="s">
        <v>228</v>
      </c>
      <c r="AB933" s="119"/>
      <c r="AC933" s="115" t="s">
        <v>481</v>
      </c>
      <c r="AD933" s="117" t="s">
        <v>146</v>
      </c>
      <c r="AE933" s="117" t="s">
        <v>480</v>
      </c>
      <c r="AF933" s="122" t="s">
        <v>210</v>
      </c>
      <c r="AG933" s="123">
        <f>IF(TAB_HISTORICO_MANUT[[#This Row],[Hora Inicio]]="","",MONTH(TAB_HISTORICO_MANUT[[#This Row],[Hora Inicio]]))</f>
        <v>6</v>
      </c>
      <c r="AH933" s="120" t="s">
        <v>482</v>
      </c>
      <c r="AI933" s="115" t="s">
        <v>21</v>
      </c>
      <c r="AJ933" s="115" t="s">
        <v>21</v>
      </c>
      <c r="AK933" s="115" t="s">
        <v>21</v>
      </c>
      <c r="AL933" s="115" t="s">
        <v>21</v>
      </c>
      <c r="AM933" s="121" t="s">
        <v>21</v>
      </c>
      <c r="AN933" s="115"/>
      <c r="AO933" s="115"/>
      <c r="AP933" s="115"/>
    </row>
    <row r="934" spans="1:42" ht="50.1" customHeight="1" x14ac:dyDescent="0.25">
      <c r="A934" s="43">
        <f>MONTH(TAB_HISTORICO_MANUT[[#This Row],[Hora Final]])-MONTH(TAB_HISTORICO_MANUT[[#This Row],[Hora Inicio]])</f>
        <v>0</v>
      </c>
      <c r="B934" s="42"/>
      <c r="C934" s="43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Inicio]]=Z933,TAB_HISTORICO_MANUT[[#This Row],[Equipamento]]=AA933,TAB_HISTORICO_MANUT[[#This Row],[Descricao Despacho]]=AD933),0,1)))</f>
        <v>1</v>
      </c>
      <c r="O93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934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3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34" s="50">
        <f>IF($Q934="","",(TAB_HISTORICO_MANUT[[#This Row],[Hora Final]]-TAB_HISTORICO_MANUT[[#This Row],[Hora Inicio]])*24)</f>
        <v>3.06111111107748</v>
      </c>
      <c r="S93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34" s="54" t="str">
        <f>IF(AND(TAB_HISTORICO_MANUT[[#This Row],[EXPURGO Mãe]]="SIM",TAB_HISTORICO_MANUT[[#This Row],[Tipo]]="MÃE"),"EXP.MAE",IF(TAB_HISTORICO_MANUT[[#This Row],[EXPURGO Mãe]]="NÃO","NÃO EXP.MAE",T933))</f>
        <v>NÃO EXP.MAE</v>
      </c>
      <c r="U93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34" s="56">
        <f>IF(TAB_HISTORICO_MANUT[[#This Row],[EXPURGO Filhas]]="SIM",MAX(TAB_HISTORICO_MANUT[[#This Row],[Hora Final]]-TAB_HISTORICO_MANUT[[#This Row],[Hora Inicio]],0),0)</f>
        <v>0</v>
      </c>
      <c r="W93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3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34" s="46">
        <v>46188.198703703703</v>
      </c>
      <c r="Z934" s="47">
        <v>46188.326249999998</v>
      </c>
      <c r="AA934" s="48" t="s">
        <v>228</v>
      </c>
      <c r="AB934" s="48" t="s">
        <v>1166</v>
      </c>
      <c r="AC934" s="43" t="s">
        <v>204</v>
      </c>
      <c r="AD934" s="46" t="s">
        <v>144</v>
      </c>
      <c r="AE934" s="46" t="s">
        <v>172</v>
      </c>
      <c r="AF934" s="88" t="s">
        <v>210</v>
      </c>
      <c r="AG934" s="105">
        <f>IF(TAB_HISTORICO_MANUT[[#This Row],[Hora Inicio]]="","",MONTH(TAB_HISTORICO_MANUT[[#This Row],[Hora Inicio]]))</f>
        <v>6</v>
      </c>
      <c r="AH934" s="58" t="s">
        <v>1163</v>
      </c>
      <c r="AI934" s="43" t="s">
        <v>24</v>
      </c>
      <c r="AJ934" s="43" t="s">
        <v>223</v>
      </c>
      <c r="AK934" s="43" t="s">
        <v>422</v>
      </c>
      <c r="AL934" s="43" t="s">
        <v>279</v>
      </c>
      <c r="AM934" s="114" t="s">
        <v>280</v>
      </c>
      <c r="AN934" s="43" t="s">
        <v>217</v>
      </c>
      <c r="AO934" s="43" t="s">
        <v>1161</v>
      </c>
      <c r="AP934" s="43" t="s">
        <v>1162</v>
      </c>
    </row>
    <row r="935" spans="1:42" ht="50.1" customHeight="1" x14ac:dyDescent="0.25">
      <c r="A935" s="43">
        <f>MONTH(TAB_HISTORICO_MANUT[[#This Row],[Hora Final]])-MONTH(TAB_HISTORICO_MANUT[[#This Row],[Hora Inicio]])</f>
        <v>0</v>
      </c>
      <c r="B935" s="42"/>
      <c r="C935" s="43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Inicio]]=Z934,TAB_HISTORICO_MANUT[[#This Row],[Equipamento]]=AA934,TAB_HISTORICO_MANUT[[#This Row],[Descricao Despacho]]=AD934),0,1)))</f>
        <v/>
      </c>
      <c r="O93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935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93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935" s="50" t="str">
        <f>IF($Q935="","",(TAB_HISTORICO_MANUT[[#This Row],[Hora Final]]-TAB_HISTORICO_MANUT[[#This Row],[Hora Inicio]])*24)</f>
        <v/>
      </c>
      <c r="S93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935" s="54" t="str">
        <f>IF(AND(TAB_HISTORICO_MANUT[[#This Row],[EXPURGO Mãe]]="SIM",TAB_HISTORICO_MANUT[[#This Row],[Tipo]]="MÃE"),"EXP.MAE",IF(TAB_HISTORICO_MANUT[[#This Row],[EXPURGO Mãe]]="NÃO","NÃO EXP.MAE",T934))</f>
        <v>NÃO EXP.MAE</v>
      </c>
      <c r="U93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935" s="56">
        <f>IF(TAB_HISTORICO_MANUT[[#This Row],[EXPURGO Filhas]]="SIM",MAX(TAB_HISTORICO_MANUT[[#This Row],[Hora Final]]-TAB_HISTORICO_MANUT[[#This Row],[Hora Inicio]],0),0)</f>
        <v>9.3055555553291924E-2</v>
      </c>
      <c r="W93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3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35" s="46">
        <v>46188.219444444447</v>
      </c>
      <c r="Z935" s="47">
        <v>46188.3125</v>
      </c>
      <c r="AA935" s="48" t="s">
        <v>228</v>
      </c>
      <c r="AB935" s="48">
        <v>202603056653</v>
      </c>
      <c r="AC935" s="43" t="s">
        <v>204</v>
      </c>
      <c r="AD935" s="46" t="s">
        <v>144</v>
      </c>
      <c r="AE935" s="46" t="s">
        <v>765</v>
      </c>
      <c r="AF935" s="88" t="s">
        <v>767</v>
      </c>
      <c r="AG935" s="105">
        <f>IF(TAB_HISTORICO_MANUT[[#This Row],[Hora Inicio]]="","",MONTH(TAB_HISTORICO_MANUT[[#This Row],[Hora Inicio]]))</f>
        <v>6</v>
      </c>
      <c r="AH935" s="58" t="s">
        <v>1319</v>
      </c>
      <c r="AI935" s="43" t="s">
        <v>24</v>
      </c>
      <c r="AJ935" s="43" t="s">
        <v>223</v>
      </c>
      <c r="AK935" s="43" t="s">
        <v>422</v>
      </c>
      <c r="AL935" s="43" t="s">
        <v>279</v>
      </c>
      <c r="AM935" s="114" t="s">
        <v>280</v>
      </c>
      <c r="AN935" s="43"/>
      <c r="AO935" s="43"/>
      <c r="AP935" s="43"/>
    </row>
    <row r="936" spans="1:42" ht="50.1" customHeight="1" x14ac:dyDescent="0.25">
      <c r="A936" s="43">
        <f>MONTH(TAB_HISTORICO_MANUT[[#This Row],[Hora Final]])-MONTH(TAB_HISTORICO_MANUT[[#This Row],[Hora Inicio]])</f>
        <v>0</v>
      </c>
      <c r="B936" s="42"/>
      <c r="C936" s="43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Inicio]]=Z935,TAB_HISTORICO_MANUT[[#This Row],[Equipamento]]=AA935,TAB_HISTORICO_MANUT[[#This Row],[Descricao Despacho]]=AD935),0,1)))</f>
        <v>1</v>
      </c>
      <c r="O93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93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93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Reparo Programado</v>
      </c>
      <c r="R936" s="107">
        <f>IF($Q936="","",(TAB_HISTORICO_MANUT[[#This Row],[Hora Final]]-TAB_HISTORICO_MANUT[[#This Row],[Hora Inicio]])*24)</f>
        <v>2.5000000605359674E-3</v>
      </c>
      <c r="S93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36" s="109" t="str">
        <f>IF(AND(TAB_HISTORICO_MANUT[[#This Row],[EXPURGO Mãe]]="SIM",TAB_HISTORICO_MANUT[[#This Row],[Tipo]]="MÃE"),"EXP.MAE",IF(TAB_HISTORICO_MANUT[[#This Row],[EXPURGO Mãe]]="NÃO","NÃO EXP.MAE",T935))</f>
        <v>NÃO EXP.MAE</v>
      </c>
      <c r="U93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36" s="110">
        <f>IF(TAB_HISTORICO_MANUT[[#This Row],[EXPURGO Filhas]]="SIM",MAX(TAB_HISTORICO_MANUT[[#This Row],[Hora Final]]-TAB_HISTORICO_MANUT[[#This Row],[Hora Inicio]],0),0)</f>
        <v>0</v>
      </c>
      <c r="W93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3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36" s="46">
        <v>46189.796342592592</v>
      </c>
      <c r="Z936" s="47">
        <v>46189.796446759261</v>
      </c>
      <c r="AA936" s="48" t="s">
        <v>228</v>
      </c>
      <c r="AB936" s="48"/>
      <c r="AC936" s="43" t="s">
        <v>363</v>
      </c>
      <c r="AD936" s="46" t="s">
        <v>145</v>
      </c>
      <c r="AE936" s="46" t="s">
        <v>359</v>
      </c>
      <c r="AF936" s="88" t="s">
        <v>210</v>
      </c>
      <c r="AG936" s="105">
        <f>IF(TAB_HISTORICO_MANUT[[#This Row],[Hora Inicio]]="","",MONTH(TAB_HISTORICO_MANUT[[#This Row],[Hora Inicio]]))</f>
        <v>6</v>
      </c>
      <c r="AH936" s="58" t="s">
        <v>1170</v>
      </c>
      <c r="AI936" s="43" t="s">
        <v>24</v>
      </c>
      <c r="AJ936" s="43" t="s">
        <v>223</v>
      </c>
      <c r="AK936" s="43" t="s">
        <v>422</v>
      </c>
      <c r="AL936" s="43" t="s">
        <v>279</v>
      </c>
      <c r="AM936" s="114" t="s">
        <v>280</v>
      </c>
      <c r="AN936" s="43"/>
      <c r="AO936" s="43"/>
      <c r="AP936" s="43"/>
    </row>
    <row r="937" spans="1:42" ht="50.1" customHeight="1" x14ac:dyDescent="0.25">
      <c r="A937" s="43">
        <f>MONTH(TAB_HISTORICO_MANUT[[#This Row],[Hora Final]])-MONTH(TAB_HISTORICO_MANUT[[#This Row],[Hora Inicio]])</f>
        <v>0</v>
      </c>
      <c r="B937" s="42"/>
      <c r="C937" s="43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Inicio]]=Z936,TAB_HISTORICO_MANUT[[#This Row],[Equipamento]]=AA936,TAB_HISTORICO_MANUT[[#This Row],[Descricao Despacho]]=AD936),0,1)))</f>
        <v>0</v>
      </c>
      <c r="O93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937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93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Reparo Programado</v>
      </c>
      <c r="R937" s="50">
        <f>IF($Q937="","",(TAB_HISTORICO_MANUT[[#This Row],[Hora Final]]-TAB_HISTORICO_MANUT[[#This Row],[Hora Inicio]])*24)</f>
        <v>0.71388888882938772</v>
      </c>
      <c r="S93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37" s="54" t="str">
        <f>IF(AND(TAB_HISTORICO_MANUT[[#This Row],[EXPURGO Mãe]]="SIM",TAB_HISTORICO_MANUT[[#This Row],[Tipo]]="MÃE"),"EXP.MAE",IF(TAB_HISTORICO_MANUT[[#This Row],[EXPURGO Mãe]]="NÃO","NÃO EXP.MAE",T936))</f>
        <v>NÃO EXP.MAE</v>
      </c>
      <c r="U93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37" s="56">
        <f>IF(TAB_HISTORICO_MANUT[[#This Row],[EXPURGO Filhas]]="SIM",MAX(TAB_HISTORICO_MANUT[[#This Row],[Hora Final]]-TAB_HISTORICO_MANUT[[#This Row],[Hora Inicio]],0),0)</f>
        <v>0</v>
      </c>
      <c r="W93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3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37" s="46">
        <v>46189.796446759261</v>
      </c>
      <c r="Z937" s="47">
        <v>46189.826192129629</v>
      </c>
      <c r="AA937" s="48" t="s">
        <v>228</v>
      </c>
      <c r="AB937" s="48"/>
      <c r="AC937" s="43" t="s">
        <v>363</v>
      </c>
      <c r="AD937" s="46" t="s">
        <v>145</v>
      </c>
      <c r="AE937" s="46" t="s">
        <v>359</v>
      </c>
      <c r="AF937" s="88" t="s">
        <v>210</v>
      </c>
      <c r="AG937" s="105">
        <f>IF(TAB_HISTORICO_MANUT[[#This Row],[Hora Inicio]]="","",MONTH(TAB_HISTORICO_MANUT[[#This Row],[Hora Inicio]]))</f>
        <v>6</v>
      </c>
      <c r="AH937" s="58" t="s">
        <v>1169</v>
      </c>
      <c r="AI937" s="43" t="s">
        <v>24</v>
      </c>
      <c r="AJ937" s="43" t="s">
        <v>223</v>
      </c>
      <c r="AK937" s="43" t="s">
        <v>422</v>
      </c>
      <c r="AL937" s="43" t="s">
        <v>279</v>
      </c>
      <c r="AM937" s="114" t="s">
        <v>280</v>
      </c>
      <c r="AN937" s="43"/>
      <c r="AO937" s="43"/>
      <c r="AP937" s="43"/>
    </row>
    <row r="938" spans="1:42" ht="50.1" customHeight="1" x14ac:dyDescent="0.25">
      <c r="A938" s="115">
        <f>MONTH(TAB_HISTORICO_MANUT[[#This Row],[Hora Final]])-MONTH(TAB_HISTORICO_MANUT[[#This Row],[Hora Inicio]])</f>
        <v>0</v>
      </c>
      <c r="B938" s="116"/>
      <c r="C938" s="115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Inicio]]=Z937,TAB_HISTORICO_MANUT[[#This Row],[Equipamento]]=AA937,TAB_HISTORICO_MANUT[[#This Row],[Descricao Despacho]]=AD937),0,1)))</f>
        <v>1</v>
      </c>
      <c r="O93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93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3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38" s="107">
        <f>IF($Q938="","",(TAB_HISTORICO_MANUT[[#This Row],[Hora Final]]-TAB_HISTORICO_MANUT[[#This Row],[Hora Inicio]])*24)</f>
        <v>0.55611111101461574</v>
      </c>
      <c r="S93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38" s="109" t="str">
        <f>IF(AND(TAB_HISTORICO_MANUT[[#This Row],[EXPURGO Mãe]]="SIM",TAB_HISTORICO_MANUT[[#This Row],[Tipo]]="MÃE"),"EXP.MAE",IF(TAB_HISTORICO_MANUT[[#This Row],[EXPURGO Mãe]]="NÃO","NÃO EXP.MAE",T937))</f>
        <v>NÃO EXP.MAE</v>
      </c>
      <c r="U93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38" s="110">
        <f>IF(TAB_HISTORICO_MANUT[[#This Row],[EXPURGO Filhas]]="SIM",MAX(TAB_HISTORICO_MANUT[[#This Row],[Hora Final]]-TAB_HISTORICO_MANUT[[#This Row],[Hora Inicio]],0),0)</f>
        <v>0</v>
      </c>
      <c r="W93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3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38" s="117">
        <v>46190.186574074076</v>
      </c>
      <c r="Z938" s="118">
        <v>46190.209745370368</v>
      </c>
      <c r="AA938" s="119" t="s">
        <v>228</v>
      </c>
      <c r="AB938" s="119" t="s">
        <v>1173</v>
      </c>
      <c r="AC938" s="115" t="s">
        <v>204</v>
      </c>
      <c r="AD938" s="117" t="s">
        <v>144</v>
      </c>
      <c r="AE938" s="117" t="s">
        <v>172</v>
      </c>
      <c r="AF938" s="122" t="s">
        <v>210</v>
      </c>
      <c r="AG938" s="123">
        <f>IF(TAB_HISTORICO_MANUT[[#This Row],[Hora Inicio]]="","",MONTH(TAB_HISTORICO_MANUT[[#This Row],[Hora Inicio]]))</f>
        <v>6</v>
      </c>
      <c r="AH938" s="120" t="s">
        <v>1177</v>
      </c>
      <c r="AI938" s="115" t="s">
        <v>24</v>
      </c>
      <c r="AJ938" s="115" t="s">
        <v>223</v>
      </c>
      <c r="AK938" s="115" t="s">
        <v>422</v>
      </c>
      <c r="AL938" s="115" t="s">
        <v>279</v>
      </c>
      <c r="AM938" s="121" t="s">
        <v>280</v>
      </c>
      <c r="AN938" s="115" t="s">
        <v>217</v>
      </c>
      <c r="AO938" s="115" t="s">
        <v>405</v>
      </c>
      <c r="AP938" s="115" t="s">
        <v>403</v>
      </c>
    </row>
    <row r="939" spans="1:42" ht="50.1" customHeight="1" x14ac:dyDescent="0.25">
      <c r="A939" s="115">
        <f>MONTH(TAB_HISTORICO_MANUT[[#This Row],[Hora Final]])-MONTH(TAB_HISTORICO_MANUT[[#This Row],[Hora Inicio]])</f>
        <v>0</v>
      </c>
      <c r="B939" s="116"/>
      <c r="C939" s="115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Inicio]]=Z938,TAB_HISTORICO_MANUT[[#This Row],[Equipamento]]=AA938,TAB_HISTORICO_MANUT[[#This Row],[Descricao Despacho]]=AD938),0,1)))</f>
        <v>1</v>
      </c>
      <c r="O93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93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3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39" s="107">
        <f>IF($Q939="","",(TAB_HISTORICO_MANUT[[#This Row],[Hora Final]]-TAB_HISTORICO_MANUT[[#This Row],[Hora Inicio]])*24)</f>
        <v>1.4880555555573665</v>
      </c>
      <c r="S93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39" s="109" t="str">
        <f>IF(AND(TAB_HISTORICO_MANUT[[#This Row],[EXPURGO Mãe]]="SIM",TAB_HISTORICO_MANUT[[#This Row],[Tipo]]="MÃE"),"EXP.MAE",IF(TAB_HISTORICO_MANUT[[#This Row],[EXPURGO Mãe]]="NÃO","NÃO EXP.MAE",T938))</f>
        <v>NÃO EXP.MAE</v>
      </c>
      <c r="U93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39" s="110">
        <f>IF(TAB_HISTORICO_MANUT[[#This Row],[EXPURGO Filhas]]="SIM",MAX(TAB_HISTORICO_MANUT[[#This Row],[Hora Final]]-TAB_HISTORICO_MANUT[[#This Row],[Hora Inicio]],0),0)</f>
        <v>0</v>
      </c>
      <c r="W93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3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39" s="117">
        <v>46190.527268518519</v>
      </c>
      <c r="Z939" s="118">
        <v>46190.589270833334</v>
      </c>
      <c r="AA939" s="119" t="s">
        <v>228</v>
      </c>
      <c r="AB939" s="119" t="s">
        <v>1174</v>
      </c>
      <c r="AC939" s="115" t="s">
        <v>204</v>
      </c>
      <c r="AD939" s="117" t="s">
        <v>144</v>
      </c>
      <c r="AE939" s="117" t="s">
        <v>172</v>
      </c>
      <c r="AF939" s="122" t="s">
        <v>210</v>
      </c>
      <c r="AG939" s="123">
        <f>IF(TAB_HISTORICO_MANUT[[#This Row],[Hora Inicio]]="","",MONTH(TAB_HISTORICO_MANUT[[#This Row],[Hora Inicio]]))</f>
        <v>6</v>
      </c>
      <c r="AH939" s="120" t="s">
        <v>1178</v>
      </c>
      <c r="AI939" s="115" t="s">
        <v>24</v>
      </c>
      <c r="AJ939" s="115" t="s">
        <v>223</v>
      </c>
      <c r="AK939" s="115" t="s">
        <v>422</v>
      </c>
      <c r="AL939" s="115" t="s">
        <v>279</v>
      </c>
      <c r="AM939" s="121" t="s">
        <v>280</v>
      </c>
      <c r="AN939" s="115" t="s">
        <v>217</v>
      </c>
      <c r="AO939" s="115" t="s">
        <v>405</v>
      </c>
      <c r="AP939" s="115" t="s">
        <v>403</v>
      </c>
    </row>
    <row r="940" spans="1:42" ht="50.1" customHeight="1" x14ac:dyDescent="0.25">
      <c r="A940" s="43">
        <f>MONTH(TAB_HISTORICO_MANUT[[#This Row],[Hora Final]])-MONTH(TAB_HISTORICO_MANUT[[#This Row],[Hora Inicio]])</f>
        <v>0</v>
      </c>
      <c r="B940" s="42"/>
      <c r="C940" s="43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Inicio]]=Z939,TAB_HISTORICO_MANUT[[#This Row],[Equipamento]]=AA939,TAB_HISTORICO_MANUT[[#This Row],[Descricao Despacho]]=AD939),0,1)))</f>
        <v>1</v>
      </c>
      <c r="O94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940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4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40" s="50">
        <f>IF($Q940="","",(TAB_HISTORICO_MANUT[[#This Row],[Hora Final]]-TAB_HISTORICO_MANUT[[#This Row],[Hora Inicio]])*24)</f>
        <v>5.4555555555853061</v>
      </c>
      <c r="S94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40" s="54" t="str">
        <f>IF(AND(TAB_HISTORICO_MANUT[[#This Row],[EXPURGO Mãe]]="SIM",TAB_HISTORICO_MANUT[[#This Row],[Tipo]]="MÃE"),"EXP.MAE",IF(TAB_HISTORICO_MANUT[[#This Row],[EXPURGO Mãe]]="NÃO","NÃO EXP.MAE",T939))</f>
        <v>NÃO EXP.MAE</v>
      </c>
      <c r="U94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40" s="56">
        <f>IF(TAB_HISTORICO_MANUT[[#This Row],[EXPURGO Filhas]]="SIM",MAX(TAB_HISTORICO_MANUT[[#This Row],[Hora Final]]-TAB_HISTORICO_MANUT[[#This Row],[Hora Inicio]],0),0)</f>
        <v>0</v>
      </c>
      <c r="W94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4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40" s="46">
        <v>46190.788541666669</v>
      </c>
      <c r="Z940" s="47">
        <v>46191.015856481485</v>
      </c>
      <c r="AA940" s="48" t="s">
        <v>228</v>
      </c>
      <c r="AB940" s="48" t="s">
        <v>1175</v>
      </c>
      <c r="AC940" s="43" t="s">
        <v>204</v>
      </c>
      <c r="AD940" s="46" t="s">
        <v>144</v>
      </c>
      <c r="AE940" s="46" t="s">
        <v>172</v>
      </c>
      <c r="AF940" s="88" t="s">
        <v>210</v>
      </c>
      <c r="AG940" s="105">
        <f>IF(TAB_HISTORICO_MANUT[[#This Row],[Hora Inicio]]="","",MONTH(TAB_HISTORICO_MANUT[[#This Row],[Hora Inicio]]))</f>
        <v>6</v>
      </c>
      <c r="AH940" s="58" t="s">
        <v>1179</v>
      </c>
      <c r="AI940" s="43" t="s">
        <v>24</v>
      </c>
      <c r="AJ940" s="43" t="s">
        <v>223</v>
      </c>
      <c r="AK940" s="43" t="s">
        <v>474</v>
      </c>
      <c r="AL940" s="43" t="s">
        <v>275</v>
      </c>
      <c r="AM940" s="114" t="s">
        <v>276</v>
      </c>
      <c r="AN940" s="43" t="s">
        <v>217</v>
      </c>
      <c r="AO940" s="43" t="s">
        <v>582</v>
      </c>
      <c r="AP940" s="43" t="s">
        <v>577</v>
      </c>
    </row>
    <row r="941" spans="1:42" ht="50.1" customHeight="1" x14ac:dyDescent="0.25">
      <c r="A941" s="115">
        <f>MONTH(TAB_HISTORICO_MANUT[[#This Row],[Hora Final]])-MONTH(TAB_HISTORICO_MANUT[[#This Row],[Hora Inicio]])</f>
        <v>0</v>
      </c>
      <c r="B941" s="116"/>
      <c r="C941" s="115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Inicio]]=Z940,TAB_HISTORICO_MANUT[[#This Row],[Equipamento]]=AA940,TAB_HISTORICO_MANUT[[#This Row],[Descricao Despacho]]=AD940),0,1)))</f>
        <v>1</v>
      </c>
      <c r="O94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94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94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941" s="107">
        <f>IF($Q941="","",(TAB_HISTORICO_MANUT[[#This Row],[Hora Final]]-TAB_HISTORICO_MANUT[[#This Row],[Hora Inicio]])*24)</f>
        <v>0.64722222212003544</v>
      </c>
      <c r="S94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941" s="109" t="str">
        <f>IF(AND(TAB_HISTORICO_MANUT[[#This Row],[EXPURGO Mãe]]="SIM",TAB_HISTORICO_MANUT[[#This Row],[Tipo]]="MÃE"),"EXP.MAE",IF(TAB_HISTORICO_MANUT[[#This Row],[EXPURGO Mãe]]="NÃO","NÃO EXP.MAE",T940))</f>
        <v>EXP.MAE</v>
      </c>
      <c r="U94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41" s="110">
        <f>IF(TAB_HISTORICO_MANUT[[#This Row],[EXPURGO Filhas]]="SIM",MAX(TAB_HISTORICO_MANUT[[#This Row],[Hora Final]]-TAB_HISTORICO_MANUT[[#This Row],[Hora Inicio]],0),0)</f>
        <v>0</v>
      </c>
      <c r="W94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4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41" s="117">
        <v>46193.335324074076</v>
      </c>
      <c r="Z941" s="118">
        <v>46193.362291666665</v>
      </c>
      <c r="AA941" s="119" t="s">
        <v>228</v>
      </c>
      <c r="AB941" s="119"/>
      <c r="AC941" s="115" t="s">
        <v>300</v>
      </c>
      <c r="AD941" s="117" t="s">
        <v>146</v>
      </c>
      <c r="AE941" s="117" t="s">
        <v>178</v>
      </c>
      <c r="AF941" s="122" t="s">
        <v>210</v>
      </c>
      <c r="AG941" s="123">
        <f>IF(TAB_HISTORICO_MANUT[[#This Row],[Hora Inicio]]="","",MONTH(TAB_HISTORICO_MANUT[[#This Row],[Hora Inicio]]))</f>
        <v>6</v>
      </c>
      <c r="AH941" s="120" t="s">
        <v>1211</v>
      </c>
      <c r="AI941" s="115" t="s">
        <v>340</v>
      </c>
      <c r="AJ941" s="115" t="s">
        <v>436</v>
      </c>
      <c r="AK941" s="115"/>
      <c r="AL941" s="115"/>
      <c r="AM941" s="121"/>
      <c r="AN941" s="115"/>
      <c r="AO941" s="115"/>
      <c r="AP941" s="115"/>
    </row>
    <row r="942" spans="1:42" ht="50.1" customHeight="1" x14ac:dyDescent="0.25">
      <c r="A942" s="43">
        <f>MONTH(TAB_HISTORICO_MANUT[[#This Row],[Hora Final]])-MONTH(TAB_HISTORICO_MANUT[[#This Row],[Hora Inicio]])</f>
        <v>0</v>
      </c>
      <c r="B942" s="42"/>
      <c r="C942" s="43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Inicio]]=Z941,TAB_HISTORICO_MANUT[[#This Row],[Equipamento]]=AA941,TAB_HISTORICO_MANUT[[#This Row],[Descricao Despacho]]=AD941),0,1)))</f>
        <v>0</v>
      </c>
      <c r="O94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942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94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942" s="50">
        <f>IF($Q942="","",(TAB_HISTORICO_MANUT[[#This Row],[Hora Final]]-TAB_HISTORICO_MANUT[[#This Row],[Hora Inicio]])*24)</f>
        <v>4.6955555556924082</v>
      </c>
      <c r="S94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42" s="54" t="str">
        <f>IF(AND(TAB_HISTORICO_MANUT[[#This Row],[EXPURGO Mãe]]="SIM",TAB_HISTORICO_MANUT[[#This Row],[Tipo]]="MÃE"),"EXP.MAE",IF(TAB_HISTORICO_MANUT[[#This Row],[EXPURGO Mãe]]="NÃO","NÃO EXP.MAE",T941))</f>
        <v>NÃO EXP.MAE</v>
      </c>
      <c r="U94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42" s="56">
        <f>IF(TAB_HISTORICO_MANUT[[#This Row],[EXPURGO Filhas]]="SIM",MAX(TAB_HISTORICO_MANUT[[#This Row],[Hora Final]]-TAB_HISTORICO_MANUT[[#This Row],[Hora Inicio]],0),0)</f>
        <v>0</v>
      </c>
      <c r="W94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4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42" s="46">
        <v>46193.362291666665</v>
      </c>
      <c r="Z942" s="47">
        <v>46193.557939814818</v>
      </c>
      <c r="AA942" s="48" t="s">
        <v>228</v>
      </c>
      <c r="AB942" s="48"/>
      <c r="AC942" s="43" t="s">
        <v>301</v>
      </c>
      <c r="AD942" s="46" t="s">
        <v>146</v>
      </c>
      <c r="AE942" s="46" t="s">
        <v>310</v>
      </c>
      <c r="AF942" s="88" t="s">
        <v>210</v>
      </c>
      <c r="AG942" s="105">
        <f>IF(TAB_HISTORICO_MANUT[[#This Row],[Hora Inicio]]="","",MONTH(TAB_HISTORICO_MANUT[[#This Row],[Hora Inicio]]))</f>
        <v>6</v>
      </c>
      <c r="AH942" s="58" t="s">
        <v>1211</v>
      </c>
      <c r="AI942" s="43" t="s">
        <v>340</v>
      </c>
      <c r="AJ942" s="43" t="s">
        <v>436</v>
      </c>
      <c r="AK942" s="43"/>
      <c r="AL942" s="43"/>
      <c r="AM942" s="114"/>
      <c r="AN942" s="43"/>
      <c r="AO942" s="43"/>
      <c r="AP942" s="43"/>
    </row>
    <row r="943" spans="1:42" ht="50.1" customHeight="1" x14ac:dyDescent="0.25">
      <c r="A943" s="115">
        <f>MONTH(TAB_HISTORICO_MANUT[[#This Row],[Hora Final]])-MONTH(TAB_HISTORICO_MANUT[[#This Row],[Hora Inicio]])</f>
        <v>0</v>
      </c>
      <c r="B943" s="116"/>
      <c r="C943" s="115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Inicio]]=Z942,TAB_HISTORICO_MANUT[[#This Row],[Equipamento]]=AA942,TAB_HISTORICO_MANUT[[#This Row],[Descricao Despacho]]=AD942),0,1)))</f>
        <v>1</v>
      </c>
      <c r="O94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COMUNICACAO</v>
      </c>
      <c r="P94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4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943" s="107">
        <f>IF($Q943="","",(TAB_HISTORICO_MANUT[[#This Row],[Hora Final]]-TAB_HISTORICO_MANUT[[#This Row],[Hora Inicio]])*24)</f>
        <v>2.3275000001303852</v>
      </c>
      <c r="S94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943" s="109" t="str">
        <f>IF(AND(TAB_HISTORICO_MANUT[[#This Row],[EXPURGO Mãe]]="SIM",TAB_HISTORICO_MANUT[[#This Row],[Tipo]]="MÃE"),"EXP.MAE",IF(TAB_HISTORICO_MANUT[[#This Row],[EXPURGO Mãe]]="NÃO","NÃO EXP.MAE",T942))</f>
        <v>EXP.MAE</v>
      </c>
      <c r="U94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43" s="110">
        <f>IF(TAB_HISTORICO_MANUT[[#This Row],[EXPURGO Filhas]]="SIM",MAX(TAB_HISTORICO_MANUT[[#This Row],[Hora Final]]-TAB_HISTORICO_MANUT[[#This Row],[Hora Inicio]],0),0)</f>
        <v>0</v>
      </c>
      <c r="W94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4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43" s="117">
        <v>46194.13177083333</v>
      </c>
      <c r="Z943" s="118">
        <v>46194.228750000002</v>
      </c>
      <c r="AA943" s="119" t="s">
        <v>228</v>
      </c>
      <c r="AB943" s="119" t="s">
        <v>1190</v>
      </c>
      <c r="AC943" s="115" t="s">
        <v>212</v>
      </c>
      <c r="AD943" s="117" t="s">
        <v>144</v>
      </c>
      <c r="AE943" s="117" t="s">
        <v>214</v>
      </c>
      <c r="AF943" s="122" t="s">
        <v>210</v>
      </c>
      <c r="AG943" s="123">
        <f>IF(TAB_HISTORICO_MANUT[[#This Row],[Hora Inicio]]="","",MONTH(TAB_HISTORICO_MANUT[[#This Row],[Hora Inicio]]))</f>
        <v>6</v>
      </c>
      <c r="AH943" s="120" t="s">
        <v>1203</v>
      </c>
      <c r="AI943" s="115" t="s">
        <v>82</v>
      </c>
      <c r="AJ943" s="115" t="s">
        <v>289</v>
      </c>
      <c r="AK943" s="115" t="s">
        <v>290</v>
      </c>
      <c r="AL943" s="115" t="s">
        <v>275</v>
      </c>
      <c r="AM943" s="121" t="s">
        <v>276</v>
      </c>
      <c r="AN943" s="115" t="s">
        <v>215</v>
      </c>
      <c r="AO943" s="115" t="s">
        <v>759</v>
      </c>
      <c r="AP943" s="115" t="s">
        <v>760</v>
      </c>
    </row>
    <row r="944" spans="1:42" ht="50.1" customHeight="1" x14ac:dyDescent="0.25">
      <c r="A944" s="115">
        <f>MONTH(TAB_HISTORICO_MANUT[[#This Row],[Hora Final]])-MONTH(TAB_HISTORICO_MANUT[[#This Row],[Hora Inicio]])</f>
        <v>0</v>
      </c>
      <c r="B944" s="116"/>
      <c r="C944" s="115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Inicio]]=Z943,TAB_HISTORICO_MANUT[[#This Row],[Equipamento]]=AA943,TAB_HISTORICO_MANUT[[#This Row],[Descricao Despacho]]=AD943),0,1)))</f>
        <v>1</v>
      </c>
      <c r="O94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94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4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44" s="107">
        <f>IF($Q944="","",(TAB_HISTORICO_MANUT[[#This Row],[Hora Final]]-TAB_HISTORICO_MANUT[[#This Row],[Hora Inicio]])*24)</f>
        <v>11.355555555608589</v>
      </c>
      <c r="S94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44" s="109" t="str">
        <f>IF(AND(TAB_HISTORICO_MANUT[[#This Row],[EXPURGO Mãe]]="SIM",TAB_HISTORICO_MANUT[[#This Row],[Tipo]]="MÃE"),"EXP.MAE",IF(TAB_HISTORICO_MANUT[[#This Row],[EXPURGO Mãe]]="NÃO","NÃO EXP.MAE",T943))</f>
        <v>NÃO EXP.MAE</v>
      </c>
      <c r="U94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44" s="110">
        <f>IF(TAB_HISTORICO_MANUT[[#This Row],[EXPURGO Filhas]]="SIM",MAX(TAB_HISTORICO_MANUT[[#This Row],[Hora Final]]-TAB_HISTORICO_MANUT[[#This Row],[Hora Inicio]],0),0)</f>
        <v>0</v>
      </c>
      <c r="W94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4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44" s="117">
        <v>46194.642106481479</v>
      </c>
      <c r="Z944" s="118">
        <v>46195.115254629629</v>
      </c>
      <c r="AA944" s="119" t="s">
        <v>228</v>
      </c>
      <c r="AB944" s="119" t="s">
        <v>1191</v>
      </c>
      <c r="AC944" s="115" t="s">
        <v>204</v>
      </c>
      <c r="AD944" s="117" t="s">
        <v>144</v>
      </c>
      <c r="AE944" s="117" t="s">
        <v>172</v>
      </c>
      <c r="AF944" s="122" t="s">
        <v>210</v>
      </c>
      <c r="AG944" s="123">
        <f>IF(TAB_HISTORICO_MANUT[[#This Row],[Hora Inicio]]="","",MONTH(TAB_HISTORICO_MANUT[[#This Row],[Hora Inicio]]))</f>
        <v>6</v>
      </c>
      <c r="AH944" s="120" t="s">
        <v>1204</v>
      </c>
      <c r="AI944" s="115" t="s">
        <v>23</v>
      </c>
      <c r="AJ944" s="115" t="s">
        <v>277</v>
      </c>
      <c r="AK944" s="115" t="s">
        <v>1206</v>
      </c>
      <c r="AL944" s="115" t="s">
        <v>297</v>
      </c>
      <c r="AM944" s="121" t="s">
        <v>283</v>
      </c>
      <c r="AN944" s="115" t="s">
        <v>217</v>
      </c>
      <c r="AO944" s="115" t="s">
        <v>414</v>
      </c>
      <c r="AP944" s="115" t="s">
        <v>493</v>
      </c>
    </row>
    <row r="945" spans="1:42" ht="50.1" customHeight="1" x14ac:dyDescent="0.25">
      <c r="A945" s="115">
        <f>MONTH(TAB_HISTORICO_MANUT[[#This Row],[Hora Final]])-MONTH(TAB_HISTORICO_MANUT[[#This Row],[Hora Inicio]])</f>
        <v>0</v>
      </c>
      <c r="B945" s="116"/>
      <c r="C945" s="115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Inicio]]=Z944,TAB_HISTORICO_MANUT[[#This Row],[Equipamento]]=AA944,TAB_HISTORICO_MANUT[[#This Row],[Descricao Despacho]]=AD944),0,1)))</f>
        <v>1</v>
      </c>
      <c r="O94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94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94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945" s="107">
        <f>IF($Q945="","",(TAB_HISTORICO_MANUT[[#This Row],[Hora Final]]-TAB_HISTORICO_MANUT[[#This Row],[Hora Inicio]])*24)</f>
        <v>1.5936111111659557</v>
      </c>
      <c r="S94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45" s="109" t="str">
        <f>IF(AND(TAB_HISTORICO_MANUT[[#This Row],[EXPURGO Mãe]]="SIM",TAB_HISTORICO_MANUT[[#This Row],[Tipo]]="MÃE"),"EXP.MAE",IF(TAB_HISTORICO_MANUT[[#This Row],[EXPURGO Mãe]]="NÃO","NÃO EXP.MAE",T944))</f>
        <v>NÃO EXP.MAE</v>
      </c>
      <c r="U94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45" s="110">
        <f>IF(TAB_HISTORICO_MANUT[[#This Row],[EXPURGO Filhas]]="SIM",MAX(TAB_HISTORICO_MANUT[[#This Row],[Hora Final]]-TAB_HISTORICO_MANUT[[#This Row],[Hora Inicio]],0),0)</f>
        <v>0</v>
      </c>
      <c r="W94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4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45" s="117">
        <v>46196.475104166668</v>
      </c>
      <c r="Z945" s="118">
        <v>46196.541504629633</v>
      </c>
      <c r="AA945" s="119" t="s">
        <v>228</v>
      </c>
      <c r="AB945" s="119"/>
      <c r="AC945" s="115" t="s">
        <v>882</v>
      </c>
      <c r="AD945" s="117" t="s">
        <v>146</v>
      </c>
      <c r="AE945" s="117" t="s">
        <v>883</v>
      </c>
      <c r="AF945" s="122" t="s">
        <v>210</v>
      </c>
      <c r="AG945" s="123">
        <f>IF(TAB_HISTORICO_MANUT[[#This Row],[Hora Inicio]]="","",MONTH(TAB_HISTORICO_MANUT[[#This Row],[Hora Inicio]]))</f>
        <v>6</v>
      </c>
      <c r="AH945" s="120"/>
      <c r="AI945" s="115" t="s">
        <v>25</v>
      </c>
      <c r="AJ945" s="115" t="s">
        <v>25</v>
      </c>
      <c r="AK945" s="115" t="s">
        <v>25</v>
      </c>
      <c r="AL945" s="115" t="s">
        <v>25</v>
      </c>
      <c r="AM945" s="121" t="s">
        <v>25</v>
      </c>
      <c r="AN945" s="115"/>
      <c r="AO945" s="115"/>
      <c r="AP945" s="115"/>
    </row>
    <row r="946" spans="1:42" ht="50.1" customHeight="1" x14ac:dyDescent="0.25">
      <c r="A946" s="115">
        <f>MONTH(TAB_HISTORICO_MANUT[[#This Row],[Hora Final]])-MONTH(TAB_HISTORICO_MANUT[[#This Row],[Hora Inicio]])</f>
        <v>0</v>
      </c>
      <c r="B946" s="116"/>
      <c r="C946" s="115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Inicio]]=Z945,TAB_HISTORICO_MANUT[[#This Row],[Equipamento]]=AA945,TAB_HISTORICO_MANUT[[#This Row],[Descricao Despacho]]=AD945),0,1)))</f>
        <v>1</v>
      </c>
      <c r="O94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94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94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946" s="107">
        <f>IF($Q946="","",(TAB_HISTORICO_MANUT[[#This Row],[Hora Final]]-TAB_HISTORICO_MANUT[[#This Row],[Hora Inicio]])*24)</f>
        <v>1.2127777778659947</v>
      </c>
      <c r="S94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46" s="109" t="str">
        <f>IF(AND(TAB_HISTORICO_MANUT[[#This Row],[EXPURGO Mãe]]="SIM",TAB_HISTORICO_MANUT[[#This Row],[Tipo]]="MÃE"),"EXP.MAE",IF(TAB_HISTORICO_MANUT[[#This Row],[EXPURGO Mãe]]="NÃO","NÃO EXP.MAE",T945))</f>
        <v>NÃO EXP.MAE</v>
      </c>
      <c r="U94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46" s="110">
        <f>IF(TAB_HISTORICO_MANUT[[#This Row],[EXPURGO Filhas]]="SIM",MAX(TAB_HISTORICO_MANUT[[#This Row],[Hora Final]]-TAB_HISTORICO_MANUT[[#This Row],[Hora Inicio]],0),0)</f>
        <v>0</v>
      </c>
      <c r="W94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4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46" s="117">
        <v>46199.151192129626</v>
      </c>
      <c r="Z946" s="118">
        <v>46199.201724537037</v>
      </c>
      <c r="AA946" s="119" t="s">
        <v>228</v>
      </c>
      <c r="AB946" s="119"/>
      <c r="AC946" s="115" t="s">
        <v>205</v>
      </c>
      <c r="AD946" s="117" t="s">
        <v>145</v>
      </c>
      <c r="AE946" s="117" t="s">
        <v>173</v>
      </c>
      <c r="AF946" s="122" t="s">
        <v>210</v>
      </c>
      <c r="AG946" s="123">
        <f>IF(TAB_HISTORICO_MANUT[[#This Row],[Hora Inicio]]="","",MONTH(TAB_HISTORICO_MANUT[[#This Row],[Hora Inicio]]))</f>
        <v>6</v>
      </c>
      <c r="AH946" s="120" t="s">
        <v>326</v>
      </c>
      <c r="AI946" s="115" t="s">
        <v>21</v>
      </c>
      <c r="AJ946" s="115" t="s">
        <v>21</v>
      </c>
      <c r="AK946" s="115" t="s">
        <v>21</v>
      </c>
      <c r="AL946" s="115" t="s">
        <v>21</v>
      </c>
      <c r="AM946" s="121" t="s">
        <v>21</v>
      </c>
      <c r="AN946" s="115"/>
      <c r="AO946" s="115"/>
      <c r="AP946" s="115"/>
    </row>
    <row r="947" spans="1:42" ht="50.1" customHeight="1" x14ac:dyDescent="0.25">
      <c r="A947" s="115">
        <f>MONTH(TAB_HISTORICO_MANUT[[#This Row],[Hora Final]])-MONTH(TAB_HISTORICO_MANUT[[#This Row],[Hora Inicio]])</f>
        <v>0</v>
      </c>
      <c r="B947" s="116"/>
      <c r="C947" s="115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Inicio]]=Z946,TAB_HISTORICO_MANUT[[#This Row],[Equipamento]]=AA946,TAB_HISTORICO_MANUT[[#This Row],[Descricao Despacho]]=AD946),0,1)))</f>
        <v>1</v>
      </c>
      <c r="O94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SUSPENSÃO</v>
      </c>
      <c r="P94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4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47" s="107">
        <f>IF($Q947="","",(TAB_HISTORICO_MANUT[[#This Row],[Hora Final]]-TAB_HISTORICO_MANUT[[#This Row],[Hora Inicio]])*24)</f>
        <v>7.0061111110844649</v>
      </c>
      <c r="S94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47" s="109" t="str">
        <f>IF(AND(TAB_HISTORICO_MANUT[[#This Row],[EXPURGO Mãe]]="SIM",TAB_HISTORICO_MANUT[[#This Row],[Tipo]]="MÃE"),"EXP.MAE",IF(TAB_HISTORICO_MANUT[[#This Row],[EXPURGO Mãe]]="NÃO","NÃO EXP.MAE",T946))</f>
        <v>NÃO EXP.MAE</v>
      </c>
      <c r="U94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47" s="110">
        <f>IF(TAB_HISTORICO_MANUT[[#This Row],[EXPURGO Filhas]]="SIM",MAX(TAB_HISTORICO_MANUT[[#This Row],[Hora Final]]-TAB_HISTORICO_MANUT[[#This Row],[Hora Inicio]],0),0)</f>
        <v>0</v>
      </c>
      <c r="W94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4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47" s="117">
        <v>46205.368368055555</v>
      </c>
      <c r="Z947" s="118">
        <v>46205.66028935185</v>
      </c>
      <c r="AA947" s="119" t="s">
        <v>228</v>
      </c>
      <c r="AB947" s="119" t="s">
        <v>1253</v>
      </c>
      <c r="AC947" s="115" t="s">
        <v>204</v>
      </c>
      <c r="AD947" s="117" t="s">
        <v>144</v>
      </c>
      <c r="AE947" s="117" t="s">
        <v>172</v>
      </c>
      <c r="AF947" s="122" t="s">
        <v>210</v>
      </c>
      <c r="AG947" s="123">
        <f>IF(TAB_HISTORICO_MANUT[[#This Row],[Hora Inicio]]="","",MONTH(TAB_HISTORICO_MANUT[[#This Row],[Hora Inicio]]))</f>
        <v>7</v>
      </c>
      <c r="AH947" s="120" t="s">
        <v>1254</v>
      </c>
      <c r="AI947" s="115" t="s">
        <v>39</v>
      </c>
      <c r="AJ947" s="115" t="s">
        <v>762</v>
      </c>
      <c r="AK947" s="115" t="s">
        <v>762</v>
      </c>
      <c r="AL947" s="115" t="s">
        <v>1048</v>
      </c>
      <c r="AM947" s="121" t="s">
        <v>294</v>
      </c>
      <c r="AN947" s="115" t="s">
        <v>217</v>
      </c>
      <c r="AO947" s="115" t="s">
        <v>755</v>
      </c>
      <c r="AP947" s="115" t="s">
        <v>756</v>
      </c>
    </row>
    <row r="948" spans="1:42" ht="50.1" customHeight="1" x14ac:dyDescent="0.25">
      <c r="A948" s="115">
        <f>MONTH(TAB_HISTORICO_MANUT[[#This Row],[Hora Final]])-MONTH(TAB_HISTORICO_MANUT[[#This Row],[Hora Inicio]])</f>
        <v>0</v>
      </c>
      <c r="B948" s="116"/>
      <c r="C948" s="115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Inicio]]=Z947,TAB_HISTORICO_MANUT[[#This Row],[Equipamento]]=AA947,TAB_HISTORICO_MANUT[[#This Row],[Descricao Despacho]]=AD947),0,1)))</f>
        <v>1</v>
      </c>
      <c r="O94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94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4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48" s="107">
        <f>IF($Q948="","",(TAB_HISTORICO_MANUT[[#This Row],[Hora Final]]-TAB_HISTORICO_MANUT[[#This Row],[Hora Inicio]])*24)</f>
        <v>1.8619444443611428</v>
      </c>
      <c r="S94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48" s="109" t="str">
        <f>IF(AND(TAB_HISTORICO_MANUT[[#This Row],[EXPURGO Mãe]]="SIM",TAB_HISTORICO_MANUT[[#This Row],[Tipo]]="MÃE"),"EXP.MAE",IF(TAB_HISTORICO_MANUT[[#This Row],[EXPURGO Mãe]]="NÃO","NÃO EXP.MAE",T947))</f>
        <v>NÃO EXP.MAE</v>
      </c>
      <c r="U94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48" s="110">
        <f>IF(TAB_HISTORICO_MANUT[[#This Row],[EXPURGO Filhas]]="SIM",MAX(TAB_HISTORICO_MANUT[[#This Row],[Hora Final]]-TAB_HISTORICO_MANUT[[#This Row],[Hora Inicio]],0),0)</f>
        <v>0</v>
      </c>
      <c r="W94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4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48" s="117">
        <v>46206.786168981482</v>
      </c>
      <c r="Z948" s="118">
        <v>46206.863749999997</v>
      </c>
      <c r="AA948" s="119" t="s">
        <v>228</v>
      </c>
      <c r="AB948" s="119" t="s">
        <v>1256</v>
      </c>
      <c r="AC948" s="115" t="s">
        <v>204</v>
      </c>
      <c r="AD948" s="117" t="s">
        <v>144</v>
      </c>
      <c r="AE948" s="117" t="s">
        <v>172</v>
      </c>
      <c r="AF948" s="122" t="s">
        <v>210</v>
      </c>
      <c r="AG948" s="123">
        <f>IF(TAB_HISTORICO_MANUT[[#This Row],[Hora Inicio]]="","",MONTH(TAB_HISTORICO_MANUT[[#This Row],[Hora Inicio]]))</f>
        <v>7</v>
      </c>
      <c r="AH948" s="120" t="s">
        <v>1262</v>
      </c>
      <c r="AI948" s="115" t="s">
        <v>235</v>
      </c>
      <c r="AJ948" s="115" t="s">
        <v>717</v>
      </c>
      <c r="AK948" s="115" t="s">
        <v>422</v>
      </c>
      <c r="AL948" s="115" t="s">
        <v>279</v>
      </c>
      <c r="AM948" s="121" t="s">
        <v>280</v>
      </c>
      <c r="AN948" s="115" t="s">
        <v>217</v>
      </c>
      <c r="AO948" s="115" t="s">
        <v>729</v>
      </c>
      <c r="AP948" s="115" t="s">
        <v>403</v>
      </c>
    </row>
    <row r="949" spans="1:42" ht="50.1" customHeight="1" x14ac:dyDescent="0.25">
      <c r="A949" s="43">
        <f>MONTH(TAB_HISTORICO_MANUT[[#This Row],[Hora Final]])-MONTH(TAB_HISTORICO_MANUT[[#This Row],[Hora Inicio]])</f>
        <v>0</v>
      </c>
      <c r="B949" s="42"/>
      <c r="C949" s="43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Inicio]]=Z948,TAB_HISTORICO_MANUT[[#This Row],[Equipamento]]=AA948,TAB_HISTORICO_MANUT[[#This Row],[Descricao Despacho]]=AD948),0,1)))</f>
        <v>1</v>
      </c>
      <c r="O949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949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49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49" s="50">
        <f>IF($Q949="","",(TAB_HISTORICO_MANUT[[#This Row],[Hora Final]]-TAB_HISTORICO_MANUT[[#This Row],[Hora Inicio]])*24)</f>
        <v>0.16000000003259629</v>
      </c>
      <c r="S949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49" s="54" t="str">
        <f>IF(AND(TAB_HISTORICO_MANUT[[#This Row],[EXPURGO Mãe]]="SIM",TAB_HISTORICO_MANUT[[#This Row],[Tipo]]="MÃE"),"EXP.MAE",IF(TAB_HISTORICO_MANUT[[#This Row],[EXPURGO Mãe]]="NÃO","NÃO EXP.MAE",T948))</f>
        <v>NÃO EXP.MAE</v>
      </c>
      <c r="U949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49" s="56">
        <f>IF(TAB_HISTORICO_MANUT[[#This Row],[EXPURGO Filhas]]="SIM",MAX(TAB_HISTORICO_MANUT[[#This Row],[Hora Final]]-TAB_HISTORICO_MANUT[[#This Row],[Hora Inicio]],0),0)</f>
        <v>0</v>
      </c>
      <c r="W94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4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49" s="46">
        <v>46208.658622685187</v>
      </c>
      <c r="Z949" s="47">
        <v>46208.665289351855</v>
      </c>
      <c r="AA949" s="48" t="s">
        <v>228</v>
      </c>
      <c r="AB949" s="48"/>
      <c r="AC949" s="43" t="s">
        <v>204</v>
      </c>
      <c r="AD949" s="46" t="s">
        <v>144</v>
      </c>
      <c r="AE949" s="46" t="s">
        <v>172</v>
      </c>
      <c r="AF949" s="88" t="s">
        <v>210</v>
      </c>
      <c r="AG949" s="105">
        <f>IF(TAB_HISTORICO_MANUT[[#This Row],[Hora Inicio]]="","",MONTH(TAB_HISTORICO_MANUT[[#This Row],[Hora Inicio]]))</f>
        <v>7</v>
      </c>
      <c r="AH949" s="120" t="s">
        <v>1267</v>
      </c>
      <c r="AI949" s="115" t="s">
        <v>28</v>
      </c>
      <c r="AJ949" s="115" t="s">
        <v>30</v>
      </c>
      <c r="AK949" s="43" t="s">
        <v>1270</v>
      </c>
      <c r="AL949" s="43" t="s">
        <v>282</v>
      </c>
      <c r="AM949" s="114" t="s">
        <v>276</v>
      </c>
      <c r="AN949" s="43"/>
      <c r="AO949" s="43"/>
      <c r="AP949" s="43"/>
    </row>
    <row r="950" spans="1:42" ht="50.1" customHeight="1" x14ac:dyDescent="0.25">
      <c r="A950" s="115">
        <f>MONTH(TAB_HISTORICO_MANUT[[#This Row],[Hora Final]])-MONTH(TAB_HISTORICO_MANUT[[#This Row],[Hora Inicio]])</f>
        <v>0</v>
      </c>
      <c r="B950" s="116"/>
      <c r="C950" s="115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Inicio]]=Z949,TAB_HISTORICO_MANUT[[#This Row],[Equipamento]]=AA949,TAB_HISTORICO_MANUT[[#This Row],[Descricao Despacho]]=AD949),0,1)))</f>
        <v>1</v>
      </c>
      <c r="O95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95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5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50" s="107">
        <f>IF($Q950="","",(TAB_HISTORICO_MANUT[[#This Row],[Hora Final]]-TAB_HISTORICO_MANUT[[#This Row],[Hora Inicio]])*24)</f>
        <v>4.8983333333744667</v>
      </c>
      <c r="S95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50" s="109" t="str">
        <f>IF(AND(TAB_HISTORICO_MANUT[[#This Row],[EXPURGO Mãe]]="SIM",TAB_HISTORICO_MANUT[[#This Row],[Tipo]]="MÃE"),"EXP.MAE",IF(TAB_HISTORICO_MANUT[[#This Row],[EXPURGO Mãe]]="NÃO","NÃO EXP.MAE",T949))</f>
        <v>NÃO EXP.MAE</v>
      </c>
      <c r="U95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50" s="110">
        <f>IF(TAB_HISTORICO_MANUT[[#This Row],[EXPURGO Filhas]]="SIM",MAX(TAB_HISTORICO_MANUT[[#This Row],[Hora Final]]-TAB_HISTORICO_MANUT[[#This Row],[Hora Inicio]],0),0)</f>
        <v>0</v>
      </c>
      <c r="W95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5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50" s="117">
        <v>46209.226747685185</v>
      </c>
      <c r="Z950" s="118">
        <v>46209.430844907409</v>
      </c>
      <c r="AA950" s="119" t="s">
        <v>228</v>
      </c>
      <c r="AB950" s="119" t="s">
        <v>1273</v>
      </c>
      <c r="AC950" s="115" t="s">
        <v>204</v>
      </c>
      <c r="AD950" s="117" t="s">
        <v>144</v>
      </c>
      <c r="AE950" s="117" t="s">
        <v>172</v>
      </c>
      <c r="AF950" s="122" t="s">
        <v>210</v>
      </c>
      <c r="AG950" s="123">
        <f>IF(TAB_HISTORICO_MANUT[[#This Row],[Hora Inicio]]="","",MONTH(TAB_HISTORICO_MANUT[[#This Row],[Hora Inicio]]))</f>
        <v>7</v>
      </c>
      <c r="AH950" s="120" t="s">
        <v>1274</v>
      </c>
      <c r="AI950" s="115" t="s">
        <v>22</v>
      </c>
      <c r="AJ950" s="115" t="s">
        <v>23</v>
      </c>
      <c r="AK950" s="115" t="s">
        <v>1276</v>
      </c>
      <c r="AL950" s="115" t="s">
        <v>282</v>
      </c>
      <c r="AM950" s="121" t="s">
        <v>276</v>
      </c>
      <c r="AN950" s="115" t="s">
        <v>217</v>
      </c>
      <c r="AO950" s="115" t="s">
        <v>1275</v>
      </c>
      <c r="AP950" s="115" t="s">
        <v>1162</v>
      </c>
    </row>
    <row r="951" spans="1:42" ht="50.1" customHeight="1" x14ac:dyDescent="0.25">
      <c r="A951" s="115">
        <f>MONTH(TAB_HISTORICO_MANUT[[#This Row],[Hora Final]])-MONTH(TAB_HISTORICO_MANUT[[#This Row],[Hora Inicio]])</f>
        <v>0</v>
      </c>
      <c r="B951" s="116"/>
      <c r="C951" s="115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Inicio]]=Z950,TAB_HISTORICO_MANUT[[#This Row],[Equipamento]]=AA950,TAB_HISTORICO_MANUT[[#This Row],[Descricao Despacho]]=AD950),0,1)))</f>
        <v>1</v>
      </c>
      <c r="O95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95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95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951" s="107">
        <f>IF($Q951="","",(TAB_HISTORICO_MANUT[[#This Row],[Hora Final]]-TAB_HISTORICO_MANUT[[#This Row],[Hora Inicio]])*24)</f>
        <v>1.4963888889178634</v>
      </c>
      <c r="S95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51" s="109" t="str">
        <f>IF(AND(TAB_HISTORICO_MANUT[[#This Row],[EXPURGO Mãe]]="SIM",TAB_HISTORICO_MANUT[[#This Row],[Tipo]]="MÃE"),"EXP.MAE",IF(TAB_HISTORICO_MANUT[[#This Row],[EXPURGO Mãe]]="NÃO","NÃO EXP.MAE",T950))</f>
        <v>NÃO EXP.MAE</v>
      </c>
      <c r="U95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51" s="110">
        <f>IF(TAB_HISTORICO_MANUT[[#This Row],[EXPURGO Filhas]]="SIM",MAX(TAB_HISTORICO_MANUT[[#This Row],[Hora Final]]-TAB_HISTORICO_MANUT[[#This Row],[Hora Inicio]],0),0)</f>
        <v>0</v>
      </c>
      <c r="W95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5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51" s="117">
        <v>46211.665150462963</v>
      </c>
      <c r="Z951" s="118">
        <v>46211.727500000001</v>
      </c>
      <c r="AA951" s="119" t="s">
        <v>228</v>
      </c>
      <c r="AB951" s="119" t="s">
        <v>1272</v>
      </c>
      <c r="AC951" s="115" t="s">
        <v>882</v>
      </c>
      <c r="AD951" s="117" t="s">
        <v>146</v>
      </c>
      <c r="AE951" s="117" t="s">
        <v>883</v>
      </c>
      <c r="AF951" s="122" t="s">
        <v>210</v>
      </c>
      <c r="AG951" s="123">
        <f>IF(TAB_HISTORICO_MANUT[[#This Row],[Hora Inicio]]="","",MONTH(TAB_HISTORICO_MANUT[[#This Row],[Hora Inicio]]))</f>
        <v>7</v>
      </c>
      <c r="AH951" s="120" t="s">
        <v>601</v>
      </c>
      <c r="AI951" s="115" t="s">
        <v>25</v>
      </c>
      <c r="AJ951" s="115" t="s">
        <v>25</v>
      </c>
      <c r="AK951" s="115" t="s">
        <v>25</v>
      </c>
      <c r="AL951" s="115" t="s">
        <v>25</v>
      </c>
      <c r="AM951" s="121" t="s">
        <v>25</v>
      </c>
      <c r="AN951" s="115" t="s">
        <v>1272</v>
      </c>
      <c r="AO951" s="115" t="s">
        <v>1272</v>
      </c>
      <c r="AP951" s="115" t="s">
        <v>1272</v>
      </c>
    </row>
    <row r="952" spans="1:42" ht="50.1" customHeight="1" x14ac:dyDescent="0.25">
      <c r="A952" s="115">
        <f>MONTH(TAB_HISTORICO_MANUT[[#This Row],[Hora Final]])-MONTH(TAB_HISTORICO_MANUT[[#This Row],[Hora Inicio]])</f>
        <v>0</v>
      </c>
      <c r="B952" s="116"/>
      <c r="C952" s="115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Inicio]]=Z951,TAB_HISTORICO_MANUT[[#This Row],[Equipamento]]=AA951,TAB_HISTORICO_MANUT[[#This Row],[Descricao Despacho]]=AD951),0,1)))</f>
        <v>1</v>
      </c>
      <c r="O95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95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95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952" s="107">
        <f>IF($Q952="","",(TAB_HISTORICO_MANUT[[#This Row],[Hora Final]]-TAB_HISTORICO_MANUT[[#This Row],[Hora Inicio]])*24)</f>
        <v>1.028333333437331</v>
      </c>
      <c r="S95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52" s="109" t="str">
        <f>IF(AND(TAB_HISTORICO_MANUT[[#This Row],[EXPURGO Mãe]]="SIM",TAB_HISTORICO_MANUT[[#This Row],[Tipo]]="MÃE"),"EXP.MAE",IF(TAB_HISTORICO_MANUT[[#This Row],[EXPURGO Mãe]]="NÃO","NÃO EXP.MAE",T951))</f>
        <v>NÃO EXP.MAE</v>
      </c>
      <c r="U95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52" s="110">
        <f>IF(TAB_HISTORICO_MANUT[[#This Row],[EXPURGO Filhas]]="SIM",MAX(TAB_HISTORICO_MANUT[[#This Row],[Hora Final]]-TAB_HISTORICO_MANUT[[#This Row],[Hora Inicio]],0),0)</f>
        <v>0</v>
      </c>
      <c r="W95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5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52" s="117">
        <v>46211.86341435185</v>
      </c>
      <c r="Z952" s="118">
        <v>46211.906261574077</v>
      </c>
      <c r="AA952" s="119" t="s">
        <v>228</v>
      </c>
      <c r="AB952" s="119" t="s">
        <v>1272</v>
      </c>
      <c r="AC952" s="115" t="s">
        <v>205</v>
      </c>
      <c r="AD952" s="117" t="s">
        <v>145</v>
      </c>
      <c r="AE952" s="117" t="s">
        <v>173</v>
      </c>
      <c r="AF952" s="122" t="s">
        <v>210</v>
      </c>
      <c r="AG952" s="123">
        <f>IF(TAB_HISTORICO_MANUT[[#This Row],[Hora Inicio]]="","",MONTH(TAB_HISTORICO_MANUT[[#This Row],[Hora Inicio]]))</f>
        <v>7</v>
      </c>
      <c r="AH952" s="120" t="s">
        <v>1279</v>
      </c>
      <c r="AI952" s="115" t="s">
        <v>21</v>
      </c>
      <c r="AJ952" s="115" t="s">
        <v>293</v>
      </c>
      <c r="AK952" s="115" t="s">
        <v>291</v>
      </c>
      <c r="AL952" s="115" t="s">
        <v>1100</v>
      </c>
      <c r="AM952" s="121" t="s">
        <v>294</v>
      </c>
      <c r="AN952" s="115" t="s">
        <v>1272</v>
      </c>
      <c r="AO952" s="115" t="s">
        <v>1272</v>
      </c>
      <c r="AP952" s="115" t="s">
        <v>1272</v>
      </c>
    </row>
    <row r="953" spans="1:42" ht="50.1" customHeight="1" x14ac:dyDescent="0.25">
      <c r="A953" s="115">
        <f>MONTH(TAB_HISTORICO_MANUT[[#This Row],[Hora Final]])-MONTH(TAB_HISTORICO_MANUT[[#This Row],[Hora Inicio]])</f>
        <v>0</v>
      </c>
      <c r="B953" s="116"/>
      <c r="C953" s="115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Inicio]]=Z952,TAB_HISTORICO_MANUT[[#This Row],[Equipamento]]=AA952,TAB_HISTORICO_MANUT[[#This Row],[Descricao Despacho]]=AD952),0,1)))</f>
        <v>1</v>
      </c>
      <c r="O95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95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5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53" s="107">
        <f>IF($Q953="","",(TAB_HISTORICO_MANUT[[#This Row],[Hora Final]]-TAB_HISTORICO_MANUT[[#This Row],[Hora Inicio]])*24)</f>
        <v>0.71611111122183502</v>
      </c>
      <c r="S95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53" s="109" t="str">
        <f>IF(AND(TAB_HISTORICO_MANUT[[#This Row],[EXPURGO Mãe]]="SIM",TAB_HISTORICO_MANUT[[#This Row],[Tipo]]="MÃE"),"EXP.MAE",IF(TAB_HISTORICO_MANUT[[#This Row],[EXPURGO Mãe]]="NÃO","NÃO EXP.MAE",T952))</f>
        <v>NÃO EXP.MAE</v>
      </c>
      <c r="U95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53" s="110">
        <f>IF(TAB_HISTORICO_MANUT[[#This Row],[EXPURGO Filhas]]="SIM",MAX(TAB_HISTORICO_MANUT[[#This Row],[Hora Final]]-TAB_HISTORICO_MANUT[[#This Row],[Hora Inicio]],0),0)</f>
        <v>0</v>
      </c>
      <c r="W95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5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53" s="117">
        <v>46212.927465277775</v>
      </c>
      <c r="Z953" s="118">
        <v>46212.957303240742</v>
      </c>
      <c r="AA953" s="119" t="s">
        <v>228</v>
      </c>
      <c r="AB953" s="119" t="s">
        <v>1320</v>
      </c>
      <c r="AC953" s="115" t="s">
        <v>204</v>
      </c>
      <c r="AD953" s="117" t="s">
        <v>144</v>
      </c>
      <c r="AE953" s="117" t="s">
        <v>172</v>
      </c>
      <c r="AF953" s="122" t="s">
        <v>210</v>
      </c>
      <c r="AG953" s="123">
        <f>IF(TAB_HISTORICO_MANUT[[#This Row],[Hora Inicio]]="","",MONTH(TAB_HISTORICO_MANUT[[#This Row],[Hora Inicio]]))</f>
        <v>7</v>
      </c>
      <c r="AH953" s="120" t="s">
        <v>1321</v>
      </c>
      <c r="AI953" s="115" t="s">
        <v>235</v>
      </c>
      <c r="AJ953" s="115" t="s">
        <v>223</v>
      </c>
      <c r="AK953" s="115" t="s">
        <v>422</v>
      </c>
      <c r="AL953" s="115" t="s">
        <v>279</v>
      </c>
      <c r="AM953" s="121" t="s">
        <v>280</v>
      </c>
      <c r="AN953" s="115" t="s">
        <v>217</v>
      </c>
      <c r="AO953" s="115" t="s">
        <v>729</v>
      </c>
      <c r="AP953" s="115" t="s">
        <v>403</v>
      </c>
    </row>
    <row r="954" spans="1:42" ht="50.1" customHeight="1" x14ac:dyDescent="0.25">
      <c r="A954" s="115">
        <f>MONTH(TAB_HISTORICO_MANUT[[#This Row],[Hora Final]])-MONTH(TAB_HISTORICO_MANUT[[#This Row],[Hora Inicio]])</f>
        <v>0</v>
      </c>
      <c r="B954" s="116"/>
      <c r="C954" s="115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Inicio]]=Z953,TAB_HISTORICO_MANUT[[#This Row],[Equipamento]]=AA953,TAB_HISTORICO_MANUT[[#This Row],[Descricao Despacho]]=AD953),0,1)))</f>
        <v>1</v>
      </c>
      <c r="O95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95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5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54" s="107">
        <f>IF($Q954="","",(TAB_HISTORICO_MANUT[[#This Row],[Hora Final]]-TAB_HISTORICO_MANUT[[#This Row],[Hora Inicio]])*24)</f>
        <v>0.70916666655102745</v>
      </c>
      <c r="S95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54" s="109" t="str">
        <f>IF(AND(TAB_HISTORICO_MANUT[[#This Row],[EXPURGO Mãe]]="SIM",TAB_HISTORICO_MANUT[[#This Row],[Tipo]]="MÃE"),"EXP.MAE",IF(TAB_HISTORICO_MANUT[[#This Row],[EXPURGO Mãe]]="NÃO","NÃO EXP.MAE",T953))</f>
        <v>NÃO EXP.MAE</v>
      </c>
      <c r="U95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54" s="110">
        <f>IF(TAB_HISTORICO_MANUT[[#This Row],[EXPURGO Filhas]]="SIM",MAX(TAB_HISTORICO_MANUT[[#This Row],[Hora Final]]-TAB_HISTORICO_MANUT[[#This Row],[Hora Inicio]],0),0)</f>
        <v>0</v>
      </c>
      <c r="W95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5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54" s="117">
        <v>46216.921759259261</v>
      </c>
      <c r="Z954" s="118">
        <v>46216.951307870368</v>
      </c>
      <c r="AA954" s="119" t="s">
        <v>228</v>
      </c>
      <c r="AB954" s="119" t="s">
        <v>1334</v>
      </c>
      <c r="AC954" s="115" t="s">
        <v>204</v>
      </c>
      <c r="AD954" s="117" t="s">
        <v>144</v>
      </c>
      <c r="AE954" s="117" t="s">
        <v>172</v>
      </c>
      <c r="AF954" s="122" t="s">
        <v>210</v>
      </c>
      <c r="AG954" s="123">
        <f>IF(TAB_HISTORICO_MANUT[[#This Row],[Hora Inicio]]="","",MONTH(TAB_HISTORICO_MANUT[[#This Row],[Hora Inicio]]))</f>
        <v>7</v>
      </c>
      <c r="AH954" s="120" t="s">
        <v>1335</v>
      </c>
      <c r="AI954" s="115" t="s">
        <v>235</v>
      </c>
      <c r="AJ954" s="115" t="s">
        <v>717</v>
      </c>
      <c r="AK954" s="115" t="s">
        <v>422</v>
      </c>
      <c r="AL954" s="115" t="s">
        <v>279</v>
      </c>
      <c r="AM954" s="115" t="s">
        <v>280</v>
      </c>
      <c r="AN954" s="115" t="s">
        <v>217</v>
      </c>
      <c r="AO954" s="115" t="s">
        <v>729</v>
      </c>
      <c r="AP954" s="115" t="s">
        <v>403</v>
      </c>
    </row>
    <row r="955" spans="1:42" ht="50.1" customHeight="1" x14ac:dyDescent="0.25">
      <c r="A955" s="115">
        <f>MONTH(TAB_HISTORICO_MANUT[[#This Row],[Hora Final]])-MONTH(TAB_HISTORICO_MANUT[[#This Row],[Hora Inicio]])</f>
        <v>0</v>
      </c>
      <c r="B955" s="116"/>
      <c r="C955" s="115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 t="s">
        <v>99</v>
      </c>
      <c r="N95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Inicio]]=Z954,TAB_HISTORICO_MANUT[[#This Row],[Equipamento]]=AA954,TAB_HISTORICO_MANUT[[#This Row],[Descricao Despacho]]=AD954),0,1)))</f>
        <v>1</v>
      </c>
      <c r="O95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95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95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955" s="107">
        <f>IF($Q955="","",(TAB_HISTORICO_MANUT[[#This Row],[Hora Final]]-TAB_HISTORICO_MANUT[[#This Row],[Hora Inicio]])*24)</f>
        <v>1.371944444370456</v>
      </c>
      <c r="S95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55" s="109" t="str">
        <f>IF(AND(TAB_HISTORICO_MANUT[[#This Row],[EXPURGO Mãe]]="SIM",TAB_HISTORICO_MANUT[[#This Row],[Tipo]]="MÃE"),"EXP.MAE",IF(TAB_HISTORICO_MANUT[[#This Row],[EXPURGO Mãe]]="NÃO","NÃO EXP.MAE",T954))</f>
        <v>NÃO EXP.MAE</v>
      </c>
      <c r="U95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55" s="110">
        <f>IF(TAB_HISTORICO_MANUT[[#This Row],[EXPURGO Filhas]]="SIM",MAX(TAB_HISTORICO_MANUT[[#This Row],[Hora Final]]-TAB_HISTORICO_MANUT[[#This Row],[Hora Inicio]],0),0)</f>
        <v>0</v>
      </c>
      <c r="W95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5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55" s="117">
        <v>46217.342731481483</v>
      </c>
      <c r="Z955" s="118">
        <v>46217.399895833332</v>
      </c>
      <c r="AA955" s="119" t="s">
        <v>228</v>
      </c>
      <c r="AB955" s="119" t="s">
        <v>1272</v>
      </c>
      <c r="AC955" s="115" t="s">
        <v>300</v>
      </c>
      <c r="AD955" s="117" t="s">
        <v>146</v>
      </c>
      <c r="AE955" s="117" t="s">
        <v>178</v>
      </c>
      <c r="AF955" s="122" t="s">
        <v>210</v>
      </c>
      <c r="AG955" s="123">
        <f>IF(TAB_HISTORICO_MANUT[[#This Row],[Hora Inicio]]="","",MONTH(TAB_HISTORICO_MANUT[[#This Row],[Hora Inicio]]))</f>
        <v>7</v>
      </c>
      <c r="AH955" s="120" t="s">
        <v>1340</v>
      </c>
      <c r="AI955" s="115" t="s">
        <v>340</v>
      </c>
      <c r="AJ955" s="115" t="s">
        <v>432</v>
      </c>
      <c r="AK955" s="115" t="s">
        <v>1272</v>
      </c>
      <c r="AL955" s="115" t="s">
        <v>1272</v>
      </c>
      <c r="AM955" s="121" t="s">
        <v>1272</v>
      </c>
      <c r="AN955" s="115" t="s">
        <v>1272</v>
      </c>
      <c r="AO955" s="115" t="s">
        <v>1272</v>
      </c>
      <c r="AP955" s="115" t="s">
        <v>1272</v>
      </c>
    </row>
    <row r="956" spans="1:42" ht="50.1" customHeight="1" x14ac:dyDescent="0.25">
      <c r="A956" s="43">
        <f>MONTH(TAB_HISTORICO_MANUT[[#This Row],[Hora Final]])-MONTH(TAB_HISTORICO_MANUT[[#This Row],[Hora Inicio]])</f>
        <v>0</v>
      </c>
      <c r="B956" s="42"/>
      <c r="C956" s="43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89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Inicio]]=Z955,TAB_HISTORICO_MANUT[[#This Row],[Equipamento]]=AA955,TAB_HISTORICO_MANUT[[#This Row],[Descricao Despacho]]=AD955),0,1)))</f>
        <v/>
      </c>
      <c r="O95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956" s="50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95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956" s="50" t="str">
        <f>IF($Q956="","",(TAB_HISTORICO_MANUT[[#This Row],[Hora Final]]-TAB_HISTORICO_MANUT[[#This Row],[Hora Inicio]])*24)</f>
        <v/>
      </c>
      <c r="S95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956" s="54" t="str">
        <f>IF(AND(TAB_HISTORICO_MANUT[[#This Row],[EXPURGO Mãe]]="SIM",TAB_HISTORICO_MANUT[[#This Row],[Tipo]]="MÃE"),"EXP.MAE",IF(TAB_HISTORICO_MANUT[[#This Row],[EXPURGO Mãe]]="NÃO","NÃO EXP.MAE",T955))</f>
        <v>NÃO EXP.MAE</v>
      </c>
      <c r="U95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SIM</v>
      </c>
      <c r="V956" s="56">
        <f>IF(TAB_HISTORICO_MANUT[[#This Row],[EXPURGO Filhas]]="SIM",MAX(TAB_HISTORICO_MANUT[[#This Row],[Hora Final]]-TAB_HISTORICO_MANUT[[#This Row],[Hora Inicio]],0),0)</f>
        <v>1.5497685184527654E-2</v>
      </c>
      <c r="W95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5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56" s="46">
        <v>46217.384398148148</v>
      </c>
      <c r="Z956" s="47">
        <v>46217.399895833332</v>
      </c>
      <c r="AA956" s="48" t="s">
        <v>228</v>
      </c>
      <c r="AB956" s="48"/>
      <c r="AC956" s="43">
        <v>7116</v>
      </c>
      <c r="AD956" s="46" t="s">
        <v>146</v>
      </c>
      <c r="AE956" s="46" t="s">
        <v>178</v>
      </c>
      <c r="AF956" s="88" t="s">
        <v>767</v>
      </c>
      <c r="AG956" s="105">
        <f>IF(TAB_HISTORICO_MANUT[[#This Row],[Hora Inicio]]="","",MONTH(TAB_HISTORICO_MANUT[[#This Row],[Hora Inicio]]))</f>
        <v>7</v>
      </c>
      <c r="AH956" s="58" t="s">
        <v>1557</v>
      </c>
      <c r="AI956" s="43" t="s">
        <v>340</v>
      </c>
      <c r="AJ956" s="43" t="s">
        <v>432</v>
      </c>
      <c r="AK956" s="43"/>
      <c r="AL956" s="43"/>
      <c r="AM956" s="114"/>
      <c r="AN956" s="43"/>
      <c r="AO956" s="43"/>
      <c r="AP956" s="43"/>
    </row>
    <row r="957" spans="1:42" ht="50.1" customHeight="1" x14ac:dyDescent="0.25">
      <c r="A957" s="115">
        <f>MONTH(TAB_HISTORICO_MANUT[[#This Row],[Hora Final]])-MONTH(TAB_HISTORICO_MANUT[[#This Row],[Hora Inicio]])</f>
        <v>0</v>
      </c>
      <c r="B957" s="116"/>
      <c r="C957" s="115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Inicio]]=Z956,TAB_HISTORICO_MANUT[[#This Row],[Equipamento]]=AA956,TAB_HISTORICO_MANUT[[#This Row],[Descricao Despacho]]=AD956),0,1)))</f>
        <v>0</v>
      </c>
      <c r="O95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95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95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957" s="107">
        <f>IF($Q957="","",(TAB_HISTORICO_MANUT[[#This Row],[Hora Final]]-TAB_HISTORICO_MANUT[[#This Row],[Hora Inicio]])*24)</f>
        <v>2.7358333333977498</v>
      </c>
      <c r="S95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57" s="109" t="str">
        <f>IF(AND(TAB_HISTORICO_MANUT[[#This Row],[EXPURGO Mãe]]="SIM",TAB_HISTORICO_MANUT[[#This Row],[Tipo]]="MÃE"),"EXP.MAE",IF(TAB_HISTORICO_MANUT[[#This Row],[EXPURGO Mãe]]="NÃO","NÃO EXP.MAE",T956))</f>
        <v>NÃO EXP.MAE</v>
      </c>
      <c r="U95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57" s="110">
        <f>IF(TAB_HISTORICO_MANUT[[#This Row],[EXPURGO Filhas]]="SIM",MAX(TAB_HISTORICO_MANUT[[#This Row],[Hora Final]]-TAB_HISTORICO_MANUT[[#This Row],[Hora Inicio]],0),0)</f>
        <v>0</v>
      </c>
      <c r="W95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5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57" s="117">
        <v>46217.399895833332</v>
      </c>
      <c r="Z957" s="118">
        <v>46217.513888888891</v>
      </c>
      <c r="AA957" s="119" t="s">
        <v>228</v>
      </c>
      <c r="AB957" s="119" t="s">
        <v>1272</v>
      </c>
      <c r="AC957" s="115" t="s">
        <v>301</v>
      </c>
      <c r="AD957" s="117" t="s">
        <v>146</v>
      </c>
      <c r="AE957" s="117" t="s">
        <v>310</v>
      </c>
      <c r="AF957" s="122" t="s">
        <v>210</v>
      </c>
      <c r="AG957" s="123">
        <f>IF(TAB_HISTORICO_MANUT[[#This Row],[Hora Inicio]]="","",MONTH(TAB_HISTORICO_MANUT[[#This Row],[Hora Inicio]]))</f>
        <v>7</v>
      </c>
      <c r="AH957" s="120" t="s">
        <v>1340</v>
      </c>
      <c r="AI957" s="115" t="s">
        <v>340</v>
      </c>
      <c r="AJ957" s="115" t="s">
        <v>432</v>
      </c>
      <c r="AK957" s="115" t="s">
        <v>1272</v>
      </c>
      <c r="AL957" s="115" t="s">
        <v>1272</v>
      </c>
      <c r="AM957" s="115" t="s">
        <v>1272</v>
      </c>
      <c r="AN957" s="115" t="s">
        <v>1272</v>
      </c>
      <c r="AO957" s="115" t="s">
        <v>1272</v>
      </c>
      <c r="AP957" s="115" t="s">
        <v>1272</v>
      </c>
    </row>
    <row r="958" spans="1:42" ht="50.1" customHeight="1" x14ac:dyDescent="0.25">
      <c r="A958" s="115">
        <f>MONTH(TAB_HISTORICO_MANUT[[#This Row],[Hora Final]])-MONTH(TAB_HISTORICO_MANUT[[#This Row],[Hora Inicio]])</f>
        <v>0</v>
      </c>
      <c r="B958" s="116"/>
      <c r="C958" s="115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Inicio]]=Z957,TAB_HISTORICO_MANUT[[#This Row],[Equipamento]]=AA957,TAB_HISTORICO_MANUT[[#This Row],[Descricao Despacho]]=AD957),0,1)))</f>
        <v>0</v>
      </c>
      <c r="O95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95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95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958" s="107">
        <f>IF($Q958="","",(TAB_HISTORICO_MANUT[[#This Row],[Hora Final]]-TAB_HISTORICO_MANUT[[#This Row],[Hora Inicio]])*24)</f>
        <v>4.1794444444240071</v>
      </c>
      <c r="S95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58" s="109" t="str">
        <f>IF(AND(TAB_HISTORICO_MANUT[[#This Row],[EXPURGO Mãe]]="SIM",TAB_HISTORICO_MANUT[[#This Row],[Tipo]]="MÃE"),"EXP.MAE",IF(TAB_HISTORICO_MANUT[[#This Row],[EXPURGO Mãe]]="NÃO","NÃO EXP.MAE",T957))</f>
        <v>NÃO EXP.MAE</v>
      </c>
      <c r="U95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58" s="110">
        <f>IF(TAB_HISTORICO_MANUT[[#This Row],[EXPURGO Filhas]]="SIM",MAX(TAB_HISTORICO_MANUT[[#This Row],[Hora Final]]-TAB_HISTORICO_MANUT[[#This Row],[Hora Inicio]],0),0)</f>
        <v>0</v>
      </c>
      <c r="W95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5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58" s="117">
        <v>46217.513888888891</v>
      </c>
      <c r="Z958" s="118">
        <v>46217.688032407408</v>
      </c>
      <c r="AA958" s="119" t="s">
        <v>228</v>
      </c>
      <c r="AB958" s="119" t="s">
        <v>1272</v>
      </c>
      <c r="AC958" s="115" t="s">
        <v>302</v>
      </c>
      <c r="AD958" s="117" t="s">
        <v>146</v>
      </c>
      <c r="AE958" s="117" t="s">
        <v>311</v>
      </c>
      <c r="AF958" s="122" t="s">
        <v>210</v>
      </c>
      <c r="AG958" s="123">
        <f>IF(TAB_HISTORICO_MANUT[[#This Row],[Hora Inicio]]="","",MONTH(TAB_HISTORICO_MANUT[[#This Row],[Hora Inicio]]))</f>
        <v>7</v>
      </c>
      <c r="AH958" s="120" t="s">
        <v>1340</v>
      </c>
      <c r="AI958" s="115" t="s">
        <v>340</v>
      </c>
      <c r="AJ958" s="115" t="s">
        <v>432</v>
      </c>
      <c r="AK958" s="115"/>
      <c r="AL958" s="115"/>
      <c r="AM958" s="121"/>
      <c r="AN958" s="115"/>
      <c r="AO958" s="115"/>
      <c r="AP958" s="115"/>
    </row>
    <row r="959" spans="1:42" ht="50.1" customHeight="1" x14ac:dyDescent="0.25">
      <c r="A959" s="43">
        <f>MONTH(TAB_HISTORICO_MANUT[[#This Row],[Hora Final]])-MONTH(TAB_HISTORICO_MANUT[[#This Row],[Hora Inicio]])</f>
        <v>0</v>
      </c>
      <c r="B959" s="42"/>
      <c r="C959" s="43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113" t="str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Inicio]]=Z958,TAB_HISTORICO_MANUT[[#This Row],[Equipamento]]=AA958,TAB_HISTORICO_MANUT[[#This Row],[Descricao Despacho]]=AD958),0,1)))</f>
        <v/>
      </c>
      <c r="O95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/>
      </c>
      <c r="P959" s="107" t="str">
        <f>IF(TAB_HISTORICO_MANUT[[#This Row],[CONT. OCOR.]]="","",IF(TAB_HISTORICO_MANUT[[#This Row],[Ajuste - Cod. Despacho]]="",TAB_HISTORICO_MANUT[[#This Row],[Descricao Despacho]],TAB_HISTORICO_MANUT[[#This Row],[Ajuste - Cod. Despacho]]))</f>
        <v/>
      </c>
      <c r="Q95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/>
      </c>
      <c r="R959" s="107" t="str">
        <f>IF($Q959="","",(TAB_HISTORICO_MANUT[[#This Row],[Hora Final]]-TAB_HISTORICO_MANUT[[#This Row],[Hora Inicio]])*24)</f>
        <v/>
      </c>
      <c r="S95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/>
      </c>
      <c r="T959" s="109" t="str">
        <f>IF(AND(TAB_HISTORICO_MANUT[[#This Row],[EXPURGO Mãe]]="SIM",TAB_HISTORICO_MANUT[[#This Row],[Tipo]]="MÃE"),"EXP.MAE",IF(TAB_HISTORICO_MANUT[[#This Row],[EXPURGO Mãe]]="NÃO","NÃO EXP.MAE",T958))</f>
        <v>NÃO EXP.MAE</v>
      </c>
      <c r="U95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59" s="56">
        <f>IF(TAB_HISTORICO_MANUT[[#This Row],[EXPURGO Filhas]]="SIM",MAX(TAB_HISTORICO_MANUT[[#This Row],[Hora Final]]-TAB_HISTORICO_MANUT[[#This Row],[Hora Inicio]],0),0)</f>
        <v>0</v>
      </c>
      <c r="W959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59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59" s="46">
        <v>46217.680555555555</v>
      </c>
      <c r="Z959" s="47">
        <v>46217.688032407408</v>
      </c>
      <c r="AA959" s="48" t="s">
        <v>228</v>
      </c>
      <c r="AB959" s="48"/>
      <c r="AC959" s="43">
        <v>7011</v>
      </c>
      <c r="AD959" s="46" t="s">
        <v>146</v>
      </c>
      <c r="AE959" s="46" t="s">
        <v>311</v>
      </c>
      <c r="AF959" s="88" t="s">
        <v>767</v>
      </c>
      <c r="AG959" s="105">
        <f>IF(TAB_HISTORICO_MANUT[[#This Row],[Hora Inicio]]="","",MONTH(TAB_HISTORICO_MANUT[[#This Row],[Hora Inicio]]))</f>
        <v>7</v>
      </c>
      <c r="AH959" s="58" t="s">
        <v>1282</v>
      </c>
      <c r="AI959" s="43" t="s">
        <v>340</v>
      </c>
      <c r="AJ959" s="43" t="s">
        <v>432</v>
      </c>
      <c r="AK959" s="43"/>
      <c r="AL959" s="43"/>
      <c r="AM959" s="114"/>
      <c r="AN959" s="43"/>
      <c r="AO959" s="43"/>
      <c r="AP959" s="43"/>
    </row>
    <row r="960" spans="1:42" ht="50.1" customHeight="1" x14ac:dyDescent="0.25">
      <c r="A960" s="115">
        <f>MONTH(TAB_HISTORICO_MANUT[[#This Row],[Hora Final]])-MONTH(TAB_HISTORICO_MANUT[[#This Row],[Hora Inicio]])</f>
        <v>0</v>
      </c>
      <c r="B960" s="116"/>
      <c r="C960" s="115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Inicio]]=Z959,TAB_HISTORICO_MANUT[[#This Row],[Equipamento]]=AA959,TAB_HISTORICO_MANUT[[#This Row],[Descricao Despacho]]=AD959),0,1)))</f>
        <v>0</v>
      </c>
      <c r="O96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96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96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960" s="107">
        <f>IF($Q960="","",(TAB_HISTORICO_MANUT[[#This Row],[Hora Final]]-TAB_HISTORICO_MANUT[[#This Row],[Hora Inicio]])*24)</f>
        <v>35.148333333316259</v>
      </c>
      <c r="S96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60" s="109" t="str">
        <f>IF(AND(TAB_HISTORICO_MANUT[[#This Row],[EXPURGO Mãe]]="SIM",TAB_HISTORICO_MANUT[[#This Row],[Tipo]]="MÃE"),"EXP.MAE",IF(TAB_HISTORICO_MANUT[[#This Row],[EXPURGO Mãe]]="NÃO","NÃO EXP.MAE",T959))</f>
        <v>NÃO EXP.MAE</v>
      </c>
      <c r="U96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60" s="110">
        <f>IF(TAB_HISTORICO_MANUT[[#This Row],[EXPURGO Filhas]]="SIM",MAX(TAB_HISTORICO_MANUT[[#This Row],[Hora Final]]-TAB_HISTORICO_MANUT[[#This Row],[Hora Inicio]],0),0)</f>
        <v>0</v>
      </c>
      <c r="W96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6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60" s="117">
        <v>46217.688032407408</v>
      </c>
      <c r="Z960" s="118">
        <v>46219.152546296296</v>
      </c>
      <c r="AA960" s="119" t="s">
        <v>228</v>
      </c>
      <c r="AB960" s="119" t="s">
        <v>1272</v>
      </c>
      <c r="AC960" s="115" t="s">
        <v>301</v>
      </c>
      <c r="AD960" s="117" t="s">
        <v>146</v>
      </c>
      <c r="AE960" s="117" t="s">
        <v>310</v>
      </c>
      <c r="AF960" s="122" t="s">
        <v>210</v>
      </c>
      <c r="AG960" s="123">
        <f>IF(TAB_HISTORICO_MANUT[[#This Row],[Hora Inicio]]="","",MONTH(TAB_HISTORICO_MANUT[[#This Row],[Hora Inicio]]))</f>
        <v>7</v>
      </c>
      <c r="AH960" s="120" t="s">
        <v>1340</v>
      </c>
      <c r="AI960" s="115" t="s">
        <v>340</v>
      </c>
      <c r="AJ960" s="115" t="s">
        <v>432</v>
      </c>
      <c r="AK960" s="115"/>
      <c r="AL960" s="115"/>
      <c r="AM960" s="121"/>
      <c r="AN960" s="115"/>
      <c r="AO960" s="115"/>
      <c r="AP960" s="115"/>
    </row>
    <row r="961" spans="1:42" ht="50.1" customHeight="1" x14ac:dyDescent="0.25">
      <c r="A961" s="115">
        <f>MONTH(TAB_HISTORICO_MANUT[[#This Row],[Hora Final]])-MONTH(TAB_HISTORICO_MANUT[[#This Row],[Hora Inicio]])</f>
        <v>0</v>
      </c>
      <c r="B961" s="116"/>
      <c r="C961" s="115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Inicio]]=Z960,TAB_HISTORICO_MANUT[[#This Row],[Equipamento]]=AA960,TAB_HISTORICO_MANUT[[#This Row],[Descricao Despacho]]=AD960),0,1)))</f>
        <v>1</v>
      </c>
      <c r="O96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96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6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961" s="107">
        <f>IF($Q961="","",(TAB_HISTORICO_MANUT[[#This Row],[Hora Final]]-TAB_HISTORICO_MANUT[[#This Row],[Hora Inicio]])*24)</f>
        <v>1.785000000090804</v>
      </c>
      <c r="S96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61" s="109" t="str">
        <f>IF(AND(TAB_HISTORICO_MANUT[[#This Row],[EXPURGO Mãe]]="SIM",TAB_HISTORICO_MANUT[[#This Row],[Tipo]]="MÃE"),"EXP.MAE",IF(TAB_HISTORICO_MANUT[[#This Row],[EXPURGO Mãe]]="NÃO","NÃO EXP.MAE",T960))</f>
        <v>NÃO EXP.MAE</v>
      </c>
      <c r="U96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61" s="110">
        <f>IF(TAB_HISTORICO_MANUT[[#This Row],[EXPURGO Filhas]]="SIM",MAX(TAB_HISTORICO_MANUT[[#This Row],[Hora Final]]-TAB_HISTORICO_MANUT[[#This Row],[Hora Inicio]],0),0)</f>
        <v>0</v>
      </c>
      <c r="W96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6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61" s="117">
        <v>46219.292951388888</v>
      </c>
      <c r="Z961" s="118">
        <v>46219.367326388892</v>
      </c>
      <c r="AA961" s="119" t="s">
        <v>228</v>
      </c>
      <c r="AB961" s="119" t="s">
        <v>1349</v>
      </c>
      <c r="AC961" s="115" t="s">
        <v>211</v>
      </c>
      <c r="AD961" s="117" t="s">
        <v>144</v>
      </c>
      <c r="AE961" s="117" t="s">
        <v>213</v>
      </c>
      <c r="AF961" s="122" t="s">
        <v>210</v>
      </c>
      <c r="AG961" s="123">
        <f>IF(TAB_HISTORICO_MANUT[[#This Row],[Hora Inicio]]="","",MONTH(TAB_HISTORICO_MANUT[[#This Row],[Hora Inicio]]))</f>
        <v>7</v>
      </c>
      <c r="AH961" s="120" t="s">
        <v>1350</v>
      </c>
      <c r="AI961" s="115" t="s">
        <v>21</v>
      </c>
      <c r="AJ961" s="115" t="s">
        <v>1352</v>
      </c>
      <c r="AK961" s="115" t="s">
        <v>291</v>
      </c>
      <c r="AL961" s="115" t="s">
        <v>292</v>
      </c>
      <c r="AM961" s="121" t="s">
        <v>294</v>
      </c>
      <c r="AN961" s="115" t="s">
        <v>229</v>
      </c>
      <c r="AO961" s="115" t="s">
        <v>239</v>
      </c>
      <c r="AP961" s="115" t="s">
        <v>242</v>
      </c>
    </row>
    <row r="962" spans="1:42" ht="50.1" customHeight="1" x14ac:dyDescent="0.25">
      <c r="A962" s="115">
        <f>MONTH(TAB_HISTORICO_MANUT[[#This Row],[Hora Final]])-MONTH(TAB_HISTORICO_MANUT[[#This Row],[Hora Inicio]])</f>
        <v>0</v>
      </c>
      <c r="B962" s="116"/>
      <c r="C962" s="115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Inicio]]=Z961,TAB_HISTORICO_MANUT[[#This Row],[Equipamento]]=AA961,TAB_HISTORICO_MANUT[[#This Row],[Descricao Despacho]]=AD961),0,1)))</f>
        <v>1</v>
      </c>
      <c r="O96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96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96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962" s="107">
        <f>IF($Q962="","",(TAB_HISTORICO_MANUT[[#This Row],[Hora Final]]-TAB_HISTORICO_MANUT[[#This Row],[Hora Inicio]])*24)</f>
        <v>1.2683333333116025</v>
      </c>
      <c r="S96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62" s="109" t="str">
        <f>IF(AND(TAB_HISTORICO_MANUT[[#This Row],[EXPURGO Mãe]]="SIM",TAB_HISTORICO_MANUT[[#This Row],[Tipo]]="MÃE"),"EXP.MAE",IF(TAB_HISTORICO_MANUT[[#This Row],[EXPURGO Mãe]]="NÃO","NÃO EXP.MAE",T961))</f>
        <v>NÃO EXP.MAE</v>
      </c>
      <c r="U96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62" s="110">
        <f>IF(TAB_HISTORICO_MANUT[[#This Row],[EXPURGO Filhas]]="SIM",MAX(TAB_HISTORICO_MANUT[[#This Row],[Hora Final]]-TAB_HISTORICO_MANUT[[#This Row],[Hora Inicio]],0),0)</f>
        <v>0</v>
      </c>
      <c r="W96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6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62" s="117">
        <v>46219.436400462961</v>
      </c>
      <c r="Z962" s="118">
        <v>46219.489247685182</v>
      </c>
      <c r="AA962" s="119" t="s">
        <v>228</v>
      </c>
      <c r="AB962" s="119" t="s">
        <v>1272</v>
      </c>
      <c r="AC962" s="115" t="s">
        <v>882</v>
      </c>
      <c r="AD962" s="117" t="s">
        <v>146</v>
      </c>
      <c r="AE962" s="117" t="s">
        <v>883</v>
      </c>
      <c r="AF962" s="122" t="s">
        <v>210</v>
      </c>
      <c r="AG962" s="123">
        <f>IF(TAB_HISTORICO_MANUT[[#This Row],[Hora Inicio]]="","",MONTH(TAB_HISTORICO_MANUT[[#This Row],[Hora Inicio]]))</f>
        <v>7</v>
      </c>
      <c r="AH962" s="120" t="s">
        <v>1272</v>
      </c>
      <c r="AI962" s="115" t="s">
        <v>25</v>
      </c>
      <c r="AJ962" s="115" t="s">
        <v>25</v>
      </c>
      <c r="AK962" s="115" t="s">
        <v>25</v>
      </c>
      <c r="AL962" s="115" t="s">
        <v>25</v>
      </c>
      <c r="AM962" s="121" t="s">
        <v>25</v>
      </c>
      <c r="AN962" s="115" t="s">
        <v>1272</v>
      </c>
      <c r="AO962" s="115" t="s">
        <v>1272</v>
      </c>
      <c r="AP962" s="115" t="s">
        <v>1272</v>
      </c>
    </row>
    <row r="963" spans="1:42" ht="50.1" customHeight="1" x14ac:dyDescent="0.25">
      <c r="A963" s="115">
        <f>MONTH(TAB_HISTORICO_MANUT[[#This Row],[Hora Final]])-MONTH(TAB_HISTORICO_MANUT[[#This Row],[Hora Inicio]])</f>
        <v>0</v>
      </c>
      <c r="B963" s="116"/>
      <c r="C963" s="115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Inicio]]=Z962,TAB_HISTORICO_MANUT[[#This Row],[Equipamento]]=AA962,TAB_HISTORICO_MANUT[[#This Row],[Descricao Despacho]]=AD962),0,1)))</f>
        <v>1</v>
      </c>
      <c r="O96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96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6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63" s="107">
        <f>IF($Q963="","",(TAB_HISTORICO_MANUT[[#This Row],[Hora Final]]-TAB_HISTORICO_MANUT[[#This Row],[Hora Inicio]])*24)</f>
        <v>8.1102777777705342</v>
      </c>
      <c r="S96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63" s="109" t="str">
        <f>IF(AND(TAB_HISTORICO_MANUT[[#This Row],[EXPURGO Mãe]]="SIM",TAB_HISTORICO_MANUT[[#This Row],[Tipo]]="MÃE"),"EXP.MAE",IF(TAB_HISTORICO_MANUT[[#This Row],[EXPURGO Mãe]]="NÃO","NÃO EXP.MAE",T962))</f>
        <v>NÃO EXP.MAE</v>
      </c>
      <c r="U96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63" s="110">
        <f>IF(TAB_HISTORICO_MANUT[[#This Row],[EXPURGO Filhas]]="SIM",MAX(TAB_HISTORICO_MANUT[[#This Row],[Hora Final]]-TAB_HISTORICO_MANUT[[#This Row],[Hora Inicio]],0),0)</f>
        <v>0</v>
      </c>
      <c r="W96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6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63" s="117">
        <v>46221.103402777779</v>
      </c>
      <c r="Z963" s="118">
        <v>46221.441331018519</v>
      </c>
      <c r="AA963" s="119" t="s">
        <v>228</v>
      </c>
      <c r="AB963" s="119" t="s">
        <v>1354</v>
      </c>
      <c r="AC963" s="115" t="s">
        <v>204</v>
      </c>
      <c r="AD963" s="117" t="s">
        <v>144</v>
      </c>
      <c r="AE963" s="117" t="s">
        <v>172</v>
      </c>
      <c r="AF963" s="122" t="s">
        <v>210</v>
      </c>
      <c r="AG963" s="123">
        <f>IF(TAB_HISTORICO_MANUT[[#This Row],[Hora Inicio]]="","",MONTH(TAB_HISTORICO_MANUT[[#This Row],[Hora Inicio]]))</f>
        <v>7</v>
      </c>
      <c r="AH963" s="120" t="s">
        <v>1358</v>
      </c>
      <c r="AI963" s="115" t="s">
        <v>23</v>
      </c>
      <c r="AJ963" s="115" t="s">
        <v>43</v>
      </c>
      <c r="AK963" s="115" t="s">
        <v>1046</v>
      </c>
      <c r="AL963" s="115" t="s">
        <v>275</v>
      </c>
      <c r="AM963" s="121" t="s">
        <v>276</v>
      </c>
      <c r="AN963" s="115" t="s">
        <v>217</v>
      </c>
      <c r="AO963" s="115" t="s">
        <v>453</v>
      </c>
      <c r="AP963" s="115" t="s">
        <v>1359</v>
      </c>
    </row>
    <row r="964" spans="1:42" ht="50.1" customHeight="1" x14ac:dyDescent="0.25">
      <c r="A964" s="43">
        <f>MONTH(TAB_HISTORICO_MANUT[[#This Row],[Hora Final]])-MONTH(TAB_HISTORICO_MANUT[[#This Row],[Hora Inicio]])</f>
        <v>0</v>
      </c>
      <c r="B964" s="42"/>
      <c r="C964" s="43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Inicio]]=Z963,TAB_HISTORICO_MANUT[[#This Row],[Equipamento]]=AA963,TAB_HISTORICO_MANUT[[#This Row],[Descricao Despacho]]=AD963),0,1)))</f>
        <v>1</v>
      </c>
      <c r="O964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964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964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Reparo Programado</v>
      </c>
      <c r="R964" s="50">
        <f>IF($Q964="","",(TAB_HISTORICO_MANUT[[#This Row],[Hora Final]]-TAB_HISTORICO_MANUT[[#This Row],[Hora Inicio]])*24)</f>
        <v>1.6472222222364508</v>
      </c>
      <c r="S964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64" s="54" t="str">
        <f>IF(AND(TAB_HISTORICO_MANUT[[#This Row],[EXPURGO Mãe]]="SIM",TAB_HISTORICO_MANUT[[#This Row],[Tipo]]="MÃE"),"EXP.MAE",IF(TAB_HISTORICO_MANUT[[#This Row],[EXPURGO Mãe]]="NÃO","NÃO EXP.MAE",T963))</f>
        <v>NÃO EXP.MAE</v>
      </c>
      <c r="U964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64" s="56">
        <f>IF(TAB_HISTORICO_MANUT[[#This Row],[EXPURGO Filhas]]="SIM",MAX(TAB_HISTORICO_MANUT[[#This Row],[Hora Final]]-TAB_HISTORICO_MANUT[[#This Row],[Hora Inicio]],0),0)</f>
        <v>0</v>
      </c>
      <c r="W964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64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64" s="46">
        <v>46221.760358796295</v>
      </c>
      <c r="Z964" s="47">
        <v>46221.828993055555</v>
      </c>
      <c r="AA964" s="48" t="s">
        <v>228</v>
      </c>
      <c r="AB964" s="48" t="s">
        <v>1272</v>
      </c>
      <c r="AC964" s="43" t="s">
        <v>363</v>
      </c>
      <c r="AD964" s="46" t="s">
        <v>145</v>
      </c>
      <c r="AE964" s="46" t="s">
        <v>359</v>
      </c>
      <c r="AF964" s="88" t="s">
        <v>210</v>
      </c>
      <c r="AG964" s="105">
        <f>IF(TAB_HISTORICO_MANUT[[#This Row],[Hora Inicio]]="","",MONTH(TAB_HISTORICO_MANUT[[#This Row],[Hora Inicio]]))</f>
        <v>7</v>
      </c>
      <c r="AH964" s="58" t="s">
        <v>1272</v>
      </c>
      <c r="AI964" s="150" t="s">
        <v>23</v>
      </c>
      <c r="AJ964" s="43" t="s">
        <v>1272</v>
      </c>
      <c r="AK964" s="43" t="s">
        <v>1272</v>
      </c>
      <c r="AL964" s="43" t="s">
        <v>1272</v>
      </c>
      <c r="AM964" s="114" t="s">
        <v>1272</v>
      </c>
      <c r="AN964" s="43" t="s">
        <v>1272</v>
      </c>
      <c r="AO964" s="43" t="s">
        <v>1272</v>
      </c>
      <c r="AP964" s="43" t="s">
        <v>1272</v>
      </c>
    </row>
    <row r="965" spans="1:42" ht="50.1" customHeight="1" x14ac:dyDescent="0.25">
      <c r="A965" s="115">
        <f>MONTH(TAB_HISTORICO_MANUT[[#This Row],[Hora Final]])-MONTH(TAB_HISTORICO_MANUT[[#This Row],[Hora Inicio]])</f>
        <v>0</v>
      </c>
      <c r="B965" s="116"/>
      <c r="C965" s="115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Inicio]]=Z964,TAB_HISTORICO_MANUT[[#This Row],[Equipamento]]=AA964,TAB_HISTORICO_MANUT[[#This Row],[Descricao Despacho]]=AD964),0,1)))</f>
        <v>1</v>
      </c>
      <c r="O96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96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6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65" s="107">
        <f>IF($Q965="","",(TAB_HISTORICO_MANUT[[#This Row],[Hora Final]]-TAB_HISTORICO_MANUT[[#This Row],[Hora Inicio]])*24)</f>
        <v>1.2133333333767951</v>
      </c>
      <c r="S96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65" s="109" t="str">
        <f>IF(AND(TAB_HISTORICO_MANUT[[#This Row],[EXPURGO Mãe]]="SIM",TAB_HISTORICO_MANUT[[#This Row],[Tipo]]="MÃE"),"EXP.MAE",IF(TAB_HISTORICO_MANUT[[#This Row],[EXPURGO Mãe]]="NÃO","NÃO EXP.MAE",T964))</f>
        <v>NÃO EXP.MAE</v>
      </c>
      <c r="U96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65" s="110">
        <f>IF(TAB_HISTORICO_MANUT[[#This Row],[EXPURGO Filhas]]="SIM",MAX(TAB_HISTORICO_MANUT[[#This Row],[Hora Final]]-TAB_HISTORICO_MANUT[[#This Row],[Hora Inicio]],0),0)</f>
        <v>0</v>
      </c>
      <c r="W96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6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65" s="117">
        <v>46222.014062499999</v>
      </c>
      <c r="Z965" s="118">
        <v>46222.064618055556</v>
      </c>
      <c r="AA965" s="119" t="s">
        <v>228</v>
      </c>
      <c r="AB965" s="119" t="s">
        <v>1355</v>
      </c>
      <c r="AC965" s="115" t="s">
        <v>204</v>
      </c>
      <c r="AD965" s="117" t="s">
        <v>144</v>
      </c>
      <c r="AE965" s="117" t="s">
        <v>172</v>
      </c>
      <c r="AF965" s="122" t="s">
        <v>210</v>
      </c>
      <c r="AG965" s="123">
        <f>IF(TAB_HISTORICO_MANUT[[#This Row],[Hora Inicio]]="","",MONTH(TAB_HISTORICO_MANUT[[#This Row],[Hora Inicio]]))</f>
        <v>7</v>
      </c>
      <c r="AH965" s="120" t="s">
        <v>1360</v>
      </c>
      <c r="AI965" s="115" t="s">
        <v>28</v>
      </c>
      <c r="AJ965" s="115" t="s">
        <v>1364</v>
      </c>
      <c r="AK965" s="115" t="s">
        <v>422</v>
      </c>
      <c r="AL965" s="115" t="s">
        <v>279</v>
      </c>
      <c r="AM965" s="121" t="s">
        <v>280</v>
      </c>
      <c r="AN965" s="115" t="s">
        <v>217</v>
      </c>
      <c r="AO965" s="115" t="s">
        <v>316</v>
      </c>
      <c r="AP965" s="115" t="s">
        <v>319</v>
      </c>
    </row>
    <row r="966" spans="1:42" ht="50.1" customHeight="1" x14ac:dyDescent="0.25">
      <c r="A966" s="115">
        <f>MONTH(TAB_HISTORICO_MANUT[[#This Row],[Hora Final]])-MONTH(TAB_HISTORICO_MANUT[[#This Row],[Hora Inicio]])</f>
        <v>0</v>
      </c>
      <c r="B966" s="116"/>
      <c r="C966" s="115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Inicio]]=Z965,TAB_HISTORICO_MANUT[[#This Row],[Equipamento]]=AA965,TAB_HISTORICO_MANUT[[#This Row],[Descricao Despacho]]=AD965),0,1)))</f>
        <v>1</v>
      </c>
      <c r="O96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96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96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966" s="107">
        <f>IF($Q966="","",(TAB_HISTORICO_MANUT[[#This Row],[Hora Final]]-TAB_HISTORICO_MANUT[[#This Row],[Hora Inicio]])*24)</f>
        <v>1.7244444443495013</v>
      </c>
      <c r="S96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66" s="109" t="str">
        <f>IF(AND(TAB_HISTORICO_MANUT[[#This Row],[EXPURGO Mãe]]="SIM",TAB_HISTORICO_MANUT[[#This Row],[Tipo]]="MÃE"),"EXP.MAE",IF(TAB_HISTORICO_MANUT[[#This Row],[EXPURGO Mãe]]="NÃO","NÃO EXP.MAE",T965))</f>
        <v>NÃO EXP.MAE</v>
      </c>
      <c r="U96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66" s="110">
        <f>IF(TAB_HISTORICO_MANUT[[#This Row],[EXPURGO Filhas]]="SIM",MAX(TAB_HISTORICO_MANUT[[#This Row],[Hora Final]]-TAB_HISTORICO_MANUT[[#This Row],[Hora Inicio]],0),0)</f>
        <v>0</v>
      </c>
      <c r="W96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6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66" s="117">
        <v>46224.428171296298</v>
      </c>
      <c r="Z966" s="118">
        <v>46224.500023148146</v>
      </c>
      <c r="AA966" s="119" t="s">
        <v>228</v>
      </c>
      <c r="AB966" s="119" t="s">
        <v>1272</v>
      </c>
      <c r="AC966" s="115" t="s">
        <v>301</v>
      </c>
      <c r="AD966" s="117" t="s">
        <v>146</v>
      </c>
      <c r="AE966" s="117" t="s">
        <v>310</v>
      </c>
      <c r="AF966" s="122" t="s">
        <v>210</v>
      </c>
      <c r="AG966" s="123">
        <f>IF(TAB_HISTORICO_MANUT[[#This Row],[Hora Inicio]]="","",MONTH(TAB_HISTORICO_MANUT[[#This Row],[Hora Inicio]]))</f>
        <v>7</v>
      </c>
      <c r="AH966" s="120" t="s">
        <v>1368</v>
      </c>
      <c r="AI966" s="115" t="s">
        <v>25</v>
      </c>
      <c r="AJ966" s="115" t="s">
        <v>25</v>
      </c>
      <c r="AK966" s="115" t="s">
        <v>25</v>
      </c>
      <c r="AL966" s="115" t="s">
        <v>25</v>
      </c>
      <c r="AM966" s="121" t="s">
        <v>25</v>
      </c>
      <c r="AN966" s="115"/>
      <c r="AO966" s="115"/>
      <c r="AP966" s="115"/>
    </row>
    <row r="967" spans="1:42" ht="50.1" customHeight="1" x14ac:dyDescent="0.25">
      <c r="A967" s="115">
        <f>MONTH(TAB_HISTORICO_MANUT[[#This Row],[Hora Final]])-MONTH(TAB_HISTORICO_MANUT[[#This Row],[Hora Inicio]])</f>
        <v>0</v>
      </c>
      <c r="B967" s="116"/>
      <c r="C967" s="115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Inicio]]=Z966,TAB_HISTORICO_MANUT[[#This Row],[Equipamento]]=AA966,TAB_HISTORICO_MANUT[[#This Row],[Descricao Despacho]]=AD966),0,1)))</f>
        <v>1</v>
      </c>
      <c r="O96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96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6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67" s="107">
        <f>IF($Q967="","",(TAB_HISTORICO_MANUT[[#This Row],[Hora Final]]-TAB_HISTORICO_MANUT[[#This Row],[Hora Inicio]])*24)</f>
        <v>10.785000000090804</v>
      </c>
      <c r="S96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67" s="109" t="str">
        <f>IF(AND(TAB_HISTORICO_MANUT[[#This Row],[EXPURGO Mãe]]="SIM",TAB_HISTORICO_MANUT[[#This Row],[Tipo]]="MÃE"),"EXP.MAE",IF(TAB_HISTORICO_MANUT[[#This Row],[EXPURGO Mãe]]="NÃO","NÃO EXP.MAE",T966))</f>
        <v>NÃO EXP.MAE</v>
      </c>
      <c r="U96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67" s="110">
        <f>IF(TAB_HISTORICO_MANUT[[#This Row],[EXPURGO Filhas]]="SIM",MAX(TAB_HISTORICO_MANUT[[#This Row],[Hora Final]]-TAB_HISTORICO_MANUT[[#This Row],[Hora Inicio]],0),0)</f>
        <v>0</v>
      </c>
      <c r="W96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6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67" s="117">
        <v>46227.269502314812</v>
      </c>
      <c r="Z967" s="118">
        <v>46227.718877314815</v>
      </c>
      <c r="AA967" s="119" t="s">
        <v>228</v>
      </c>
      <c r="AB967" s="119" t="s">
        <v>1272</v>
      </c>
      <c r="AC967" s="115" t="s">
        <v>204</v>
      </c>
      <c r="AD967" s="117" t="s">
        <v>144</v>
      </c>
      <c r="AE967" s="117" t="s">
        <v>172</v>
      </c>
      <c r="AF967" s="122" t="s">
        <v>210</v>
      </c>
      <c r="AG967" s="123">
        <f>IF(TAB_HISTORICO_MANUT[[#This Row],[Hora Inicio]]="","",MONTH(TAB_HISTORICO_MANUT[[#This Row],[Hora Inicio]]))</f>
        <v>7</v>
      </c>
      <c r="AH967" s="120" t="s">
        <v>1388</v>
      </c>
      <c r="AI967" s="115" t="s">
        <v>28</v>
      </c>
      <c r="AJ967" s="115" t="s">
        <v>614</v>
      </c>
      <c r="AK967" s="115" t="s">
        <v>1396</v>
      </c>
      <c r="AL967" s="115" t="s">
        <v>282</v>
      </c>
      <c r="AM967" s="115" t="s">
        <v>276</v>
      </c>
      <c r="AN967" s="115" t="s">
        <v>217</v>
      </c>
      <c r="AO967" s="115" t="s">
        <v>316</v>
      </c>
      <c r="AP967" s="115" t="s">
        <v>319</v>
      </c>
    </row>
    <row r="968" spans="1:42" ht="50.1" customHeight="1" x14ac:dyDescent="0.25">
      <c r="A968" s="43">
        <f>MONTH(TAB_HISTORICO_MANUT[[#This Row],[Hora Final]])-MONTH(TAB_HISTORICO_MANUT[[#This Row],[Hora Inicio]])</f>
        <v>0</v>
      </c>
      <c r="B968" s="42"/>
      <c r="C968" s="43"/>
      <c r="D968" s="42"/>
      <c r="E968" s="42"/>
      <c r="F968" s="42"/>
      <c r="G968" s="42"/>
      <c r="H968" s="42"/>
      <c r="I968" s="42"/>
      <c r="J968" s="42"/>
      <c r="K968" s="42"/>
      <c r="L968" s="42"/>
      <c r="M968" s="42" t="s">
        <v>99</v>
      </c>
      <c r="N96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Inicio]]=Z967,TAB_HISTORICO_MANUT[[#This Row],[Equipamento]]=AA967,TAB_HISTORICO_MANUT[[#This Row],[Descricao Despacho]]=AD967),0,1)))</f>
        <v>1</v>
      </c>
      <c r="O96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968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96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968" s="50">
        <f>IF($Q968="","",(TAB_HISTORICO_MANUT[[#This Row],[Hora Final]]-TAB_HISTORICO_MANUT[[#This Row],[Hora Inicio]])*24)</f>
        <v>1.0400000000372529</v>
      </c>
      <c r="S96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68" s="54" t="str">
        <f>IF(AND(TAB_HISTORICO_MANUT[[#This Row],[EXPURGO Mãe]]="SIM",TAB_HISTORICO_MANUT[[#This Row],[Tipo]]="MÃE"),"EXP.MAE",IF(TAB_HISTORICO_MANUT[[#This Row],[EXPURGO Mãe]]="NÃO","NÃO EXP.MAE",T967))</f>
        <v>NÃO EXP.MAE</v>
      </c>
      <c r="U96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68" s="56">
        <f>IF(TAB_HISTORICO_MANUT[[#This Row],[EXPURGO Filhas]]="SIM",MAX(TAB_HISTORICO_MANUT[[#This Row],[Hora Final]]-TAB_HISTORICO_MANUT[[#This Row],[Hora Inicio]],0),0)</f>
        <v>0</v>
      </c>
      <c r="W96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6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68" s="46">
        <v>46234.311909722222</v>
      </c>
      <c r="Z968" s="47">
        <v>46234.355243055557</v>
      </c>
      <c r="AA968" s="48" t="s">
        <v>228</v>
      </c>
      <c r="AB968" s="48"/>
      <c r="AC968" s="43" t="s">
        <v>343</v>
      </c>
      <c r="AD968" s="46" t="s">
        <v>145</v>
      </c>
      <c r="AE968" s="46" t="s">
        <v>188</v>
      </c>
      <c r="AF968" s="88" t="s">
        <v>210</v>
      </c>
      <c r="AG968" s="105">
        <f>IF(TAB_HISTORICO_MANUT[[#This Row],[Hora Inicio]]="","",MONTH(TAB_HISTORICO_MANUT[[#This Row],[Hora Inicio]]))</f>
        <v>7</v>
      </c>
      <c r="AH968" s="58" t="s">
        <v>1036</v>
      </c>
      <c r="AI968" s="43" t="s">
        <v>21</v>
      </c>
      <c r="AJ968" s="43" t="s">
        <v>21</v>
      </c>
      <c r="AK968" s="43" t="s">
        <v>21</v>
      </c>
      <c r="AL968" s="43" t="s">
        <v>21</v>
      </c>
      <c r="AM968" s="114" t="s">
        <v>21</v>
      </c>
      <c r="AN968" s="43"/>
      <c r="AO968" s="43"/>
      <c r="AP968" s="43"/>
    </row>
    <row r="969" spans="1:42" ht="50.1" customHeight="1" x14ac:dyDescent="0.25">
      <c r="A969" s="115">
        <f>MONTH(TAB_HISTORICO_MANUT[[#This Row],[Hora Final]])-MONTH(TAB_HISTORICO_MANUT[[#This Row],[Hora Inicio]])</f>
        <v>0</v>
      </c>
      <c r="B969" s="116"/>
      <c r="C969" s="115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Inicio]]=Z968,TAB_HISTORICO_MANUT[[#This Row],[Equipamento]]=AA968,TAB_HISTORICO_MANUT[[#This Row],[Descricao Despacho]]=AD968),0,1)))</f>
        <v>1</v>
      </c>
      <c r="O96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96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6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69" s="107">
        <f>IF($Q969="","",(TAB_HISTORICO_MANUT[[#This Row],[Hora Final]]-TAB_HISTORICO_MANUT[[#This Row],[Hora Inicio]])*24)</f>
        <v>12.330277777800802</v>
      </c>
      <c r="S96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69" s="109" t="str">
        <f>IF(AND(TAB_HISTORICO_MANUT[[#This Row],[EXPURGO Mãe]]="SIM",TAB_HISTORICO_MANUT[[#This Row],[Tipo]]="MÃE"),"EXP.MAE",IF(TAB_HISTORICO_MANUT[[#This Row],[EXPURGO Mãe]]="NÃO","NÃO EXP.MAE",T968))</f>
        <v>NÃO EXP.MAE</v>
      </c>
      <c r="U96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69" s="110">
        <f>IF(TAB_HISTORICO_MANUT[[#This Row],[EXPURGO Filhas]]="SIM",MAX(TAB_HISTORICO_MANUT[[#This Row],[Hora Final]]-TAB_HISTORICO_MANUT[[#This Row],[Hora Inicio]],0),0)</f>
        <v>0</v>
      </c>
      <c r="W96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6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69" s="117">
        <v>46238.026018518518</v>
      </c>
      <c r="Z969" s="118">
        <v>46238.539780092593</v>
      </c>
      <c r="AA969" s="119" t="s">
        <v>228</v>
      </c>
      <c r="AB969" s="119"/>
      <c r="AC969" s="115" t="s">
        <v>204</v>
      </c>
      <c r="AD969" s="117" t="s">
        <v>144</v>
      </c>
      <c r="AE969" s="117" t="s">
        <v>172</v>
      </c>
      <c r="AF969" s="122" t="s">
        <v>210</v>
      </c>
      <c r="AG969" s="123">
        <f>IF(TAB_HISTORICO_MANUT[[#This Row],[Hora Inicio]]="","",MONTH(TAB_HISTORICO_MANUT[[#This Row],[Hora Inicio]]))</f>
        <v>8</v>
      </c>
      <c r="AH969" s="120" t="s">
        <v>1417</v>
      </c>
      <c r="AI969" s="115" t="s">
        <v>23</v>
      </c>
      <c r="AJ969" s="115" t="s">
        <v>23</v>
      </c>
      <c r="AK969" s="115"/>
      <c r="AL969" s="115"/>
      <c r="AM969" s="121"/>
      <c r="AN969" s="115" t="s">
        <v>217</v>
      </c>
      <c r="AO969" s="115" t="s">
        <v>406</v>
      </c>
      <c r="AP969" s="115" t="s">
        <v>1418</v>
      </c>
    </row>
    <row r="970" spans="1:42" ht="50.1" customHeight="1" x14ac:dyDescent="0.25">
      <c r="A970" s="115">
        <f>MONTH(TAB_HISTORICO_MANUT[[#This Row],[Hora Final]])-MONTH(TAB_HISTORICO_MANUT[[#This Row],[Hora Inicio]])</f>
        <v>0</v>
      </c>
      <c r="B970" s="116"/>
      <c r="C970" s="115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Inicio]]=Z969,TAB_HISTORICO_MANUT[[#This Row],[Equipamento]]=AA969,TAB_HISTORICO_MANUT[[#This Row],[Descricao Despacho]]=AD969),0,1)))</f>
        <v>1</v>
      </c>
      <c r="O97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97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97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970" s="107">
        <f>IF($Q970="","",(TAB_HISTORICO_MANUT[[#This Row],[Hora Final]]-TAB_HISTORICO_MANUT[[#This Row],[Hora Inicio]])*24)</f>
        <v>0.17861111112870276</v>
      </c>
      <c r="S97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970" s="109" t="str">
        <f>IF(AND(TAB_HISTORICO_MANUT[[#This Row],[EXPURGO Mãe]]="SIM",TAB_HISTORICO_MANUT[[#This Row],[Tipo]]="MÃE"),"EXP.MAE",IF(TAB_HISTORICO_MANUT[[#This Row],[EXPURGO Mãe]]="NÃO","NÃO EXP.MAE",T969))</f>
        <v>EXP.MAE</v>
      </c>
      <c r="U97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70" s="110">
        <f>IF(TAB_HISTORICO_MANUT[[#This Row],[EXPURGO Filhas]]="SIM",MAX(TAB_HISTORICO_MANUT[[#This Row],[Hora Final]]-TAB_HISTORICO_MANUT[[#This Row],[Hora Inicio]],0),0)</f>
        <v>0</v>
      </c>
      <c r="W97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7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70" s="117">
        <v>46238.808796296296</v>
      </c>
      <c r="Z970" s="118">
        <v>46238.816238425927</v>
      </c>
      <c r="AA970" s="119" t="s">
        <v>228</v>
      </c>
      <c r="AB970" s="119"/>
      <c r="AC970" s="115" t="s">
        <v>300</v>
      </c>
      <c r="AD970" s="117" t="s">
        <v>146</v>
      </c>
      <c r="AE970" s="117" t="s">
        <v>178</v>
      </c>
      <c r="AF970" s="122" t="s">
        <v>210</v>
      </c>
      <c r="AG970" s="123">
        <f>IF(TAB_HISTORICO_MANUT[[#This Row],[Hora Inicio]]="","",MONTH(TAB_HISTORICO_MANUT[[#This Row],[Hora Inicio]]))</f>
        <v>8</v>
      </c>
      <c r="AH970" s="120" t="s">
        <v>1420</v>
      </c>
      <c r="AI970" s="115" t="s">
        <v>340</v>
      </c>
      <c r="AJ970" s="115" t="s">
        <v>436</v>
      </c>
      <c r="AK970" s="115" t="s">
        <v>1272</v>
      </c>
      <c r="AL970" s="115" t="s">
        <v>1272</v>
      </c>
      <c r="AM970" s="121" t="s">
        <v>1272</v>
      </c>
      <c r="AN970" s="115"/>
      <c r="AO970" s="115"/>
      <c r="AP970" s="115"/>
    </row>
    <row r="971" spans="1:42" ht="50.1" customHeight="1" x14ac:dyDescent="0.25">
      <c r="A971" s="115">
        <f>MONTH(TAB_HISTORICO_MANUT[[#This Row],[Hora Final]])-MONTH(TAB_HISTORICO_MANUT[[#This Row],[Hora Inicio]])</f>
        <v>0</v>
      </c>
      <c r="B971" s="116"/>
      <c r="C971" s="115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Inicio]]=Z970,TAB_HISTORICO_MANUT[[#This Row],[Equipamento]]=AA970,TAB_HISTORICO_MANUT[[#This Row],[Descricao Despacho]]=AD970),0,1)))</f>
        <v>0</v>
      </c>
      <c r="O97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97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97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971" s="107">
        <f>IF($Q971="","",(TAB_HISTORICO_MANUT[[#This Row],[Hora Final]]-TAB_HISTORICO_MANUT[[#This Row],[Hora Inicio]])*24)</f>
        <v>7.0499999999301508</v>
      </c>
      <c r="S97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71" s="109" t="str">
        <f>IF(AND(TAB_HISTORICO_MANUT[[#This Row],[EXPURGO Mãe]]="SIM",TAB_HISTORICO_MANUT[[#This Row],[Tipo]]="MÃE"),"EXP.MAE",IF(TAB_HISTORICO_MANUT[[#This Row],[EXPURGO Mãe]]="NÃO","NÃO EXP.MAE",T970))</f>
        <v>NÃO EXP.MAE</v>
      </c>
      <c r="U97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71" s="110">
        <f>IF(TAB_HISTORICO_MANUT[[#This Row],[EXPURGO Filhas]]="SIM",MAX(TAB_HISTORICO_MANUT[[#This Row],[Hora Final]]-TAB_HISTORICO_MANUT[[#This Row],[Hora Inicio]],0),0)</f>
        <v>0</v>
      </c>
      <c r="W97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7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71" s="117">
        <v>46238.816238425927</v>
      </c>
      <c r="Z971" s="118">
        <v>46239.109988425924</v>
      </c>
      <c r="AA971" s="119" t="s">
        <v>228</v>
      </c>
      <c r="AB971" s="119"/>
      <c r="AC971" s="115" t="s">
        <v>301</v>
      </c>
      <c r="AD971" s="117" t="s">
        <v>146</v>
      </c>
      <c r="AE971" s="117" t="s">
        <v>310</v>
      </c>
      <c r="AF971" s="122" t="s">
        <v>210</v>
      </c>
      <c r="AG971" s="123">
        <f>IF(TAB_HISTORICO_MANUT[[#This Row],[Hora Inicio]]="","",MONTH(TAB_HISTORICO_MANUT[[#This Row],[Hora Inicio]]))</f>
        <v>8</v>
      </c>
      <c r="AH971" s="120" t="s">
        <v>1420</v>
      </c>
      <c r="AI971" s="115" t="s">
        <v>340</v>
      </c>
      <c r="AJ971" s="115" t="s">
        <v>436</v>
      </c>
      <c r="AK971" s="115" t="s">
        <v>1272</v>
      </c>
      <c r="AL971" s="115" t="s">
        <v>1272</v>
      </c>
      <c r="AM971" s="121" t="s">
        <v>1272</v>
      </c>
      <c r="AN971" s="115"/>
      <c r="AO971" s="115"/>
      <c r="AP971" s="115"/>
    </row>
    <row r="972" spans="1:42" ht="50.1" customHeight="1" x14ac:dyDescent="0.25">
      <c r="A972" s="115">
        <f>MONTH(TAB_HISTORICO_MANUT[[#This Row],[Hora Final]])-MONTH(TAB_HISTORICO_MANUT[[#This Row],[Hora Inicio]])</f>
        <v>0</v>
      </c>
      <c r="B972" s="116"/>
      <c r="C972" s="115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Inicio]]=Z971,TAB_HISTORICO_MANUT[[#This Row],[Equipamento]]=AA971,TAB_HISTORICO_MANUT[[#This Row],[Descricao Despacho]]=AD971),0,1)))</f>
        <v>1</v>
      </c>
      <c r="O97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97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7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972" s="107">
        <f>IF($Q972="","",(TAB_HISTORICO_MANUT[[#This Row],[Hora Final]]-TAB_HISTORICO_MANUT[[#This Row],[Hora Inicio]])*24)</f>
        <v>0.60194444441003725</v>
      </c>
      <c r="S97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72" s="109" t="str">
        <f>IF(AND(TAB_HISTORICO_MANUT[[#This Row],[EXPURGO Mãe]]="SIM",TAB_HISTORICO_MANUT[[#This Row],[Tipo]]="MÃE"),"EXP.MAE",IF(TAB_HISTORICO_MANUT[[#This Row],[EXPURGO Mãe]]="NÃO","NÃO EXP.MAE",T971))</f>
        <v>NÃO EXP.MAE</v>
      </c>
      <c r="U97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72" s="110">
        <f>IF(TAB_HISTORICO_MANUT[[#This Row],[EXPURGO Filhas]]="SIM",MAX(TAB_HISTORICO_MANUT[[#This Row],[Hora Final]]-TAB_HISTORICO_MANUT[[#This Row],[Hora Inicio]],0),0)</f>
        <v>0</v>
      </c>
      <c r="W97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7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72" s="117">
        <v>46240.65519675926</v>
      </c>
      <c r="Z972" s="118">
        <v>46240.680277777778</v>
      </c>
      <c r="AA972" s="119" t="s">
        <v>228</v>
      </c>
      <c r="AB972" s="119" t="s">
        <v>1426</v>
      </c>
      <c r="AC972" s="115" t="s">
        <v>211</v>
      </c>
      <c r="AD972" s="117" t="s">
        <v>144</v>
      </c>
      <c r="AE972" s="117" t="s">
        <v>213</v>
      </c>
      <c r="AF972" s="122" t="s">
        <v>210</v>
      </c>
      <c r="AG972" s="123">
        <f>IF(TAB_HISTORICO_MANUT[[#This Row],[Hora Inicio]]="","",MONTH(TAB_HISTORICO_MANUT[[#This Row],[Hora Inicio]]))</f>
        <v>8</v>
      </c>
      <c r="AH972" s="120" t="s">
        <v>1429</v>
      </c>
      <c r="AI972" s="115" t="s">
        <v>21</v>
      </c>
      <c r="AJ972" s="115" t="s">
        <v>764</v>
      </c>
      <c r="AK972" s="115" t="s">
        <v>291</v>
      </c>
      <c r="AL972" s="115" t="s">
        <v>292</v>
      </c>
      <c r="AM972" s="121" t="s">
        <v>294</v>
      </c>
      <c r="AN972" s="115" t="s">
        <v>229</v>
      </c>
      <c r="AO972" s="115" t="s">
        <v>761</v>
      </c>
      <c r="AP972" s="115" t="s">
        <v>242</v>
      </c>
    </row>
    <row r="973" spans="1:42" ht="50.1" customHeight="1" x14ac:dyDescent="0.25">
      <c r="A973" s="115">
        <f>MONTH(TAB_HISTORICO_MANUT[[#This Row],[Hora Final]])-MONTH(TAB_HISTORICO_MANUT[[#This Row],[Hora Inicio]])</f>
        <v>0</v>
      </c>
      <c r="B973" s="116"/>
      <c r="C973" s="115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Inicio]]=Z972,TAB_HISTORICO_MANUT[[#This Row],[Equipamento]]=AA972,TAB_HISTORICO_MANUT[[#This Row],[Descricao Despacho]]=AD972),0,1)))</f>
        <v>1</v>
      </c>
      <c r="O97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97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7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973" s="107">
        <f>IF($Q973="","",(TAB_HISTORICO_MANUT[[#This Row],[Hora Final]]-TAB_HISTORICO_MANUT[[#This Row],[Hora Inicio]])*24)</f>
        <v>0.43444444437045604</v>
      </c>
      <c r="S97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73" s="109" t="str">
        <f>IF(AND(TAB_HISTORICO_MANUT[[#This Row],[EXPURGO Mãe]]="SIM",TAB_HISTORICO_MANUT[[#This Row],[Tipo]]="MÃE"),"EXP.MAE",IF(TAB_HISTORICO_MANUT[[#This Row],[EXPURGO Mãe]]="NÃO","NÃO EXP.MAE",T972))</f>
        <v>NÃO EXP.MAE</v>
      </c>
      <c r="U97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73" s="110">
        <f>IF(TAB_HISTORICO_MANUT[[#This Row],[EXPURGO Filhas]]="SIM",MAX(TAB_HISTORICO_MANUT[[#This Row],[Hora Final]]-TAB_HISTORICO_MANUT[[#This Row],[Hora Inicio]],0),0)</f>
        <v>0</v>
      </c>
      <c r="W97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7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73" s="117">
        <v>46242.90115740741</v>
      </c>
      <c r="Z973" s="118">
        <v>46242.919259259259</v>
      </c>
      <c r="AA973" s="119" t="s">
        <v>228</v>
      </c>
      <c r="AB973" s="119"/>
      <c r="AC973" s="115" t="s">
        <v>211</v>
      </c>
      <c r="AD973" s="117" t="s">
        <v>144</v>
      </c>
      <c r="AE973" s="117" t="s">
        <v>213</v>
      </c>
      <c r="AF973" s="122" t="s">
        <v>210</v>
      </c>
      <c r="AG973" s="123">
        <f>IF(TAB_HISTORICO_MANUT[[#This Row],[Hora Inicio]]="","",MONTH(TAB_HISTORICO_MANUT[[#This Row],[Hora Inicio]]))</f>
        <v>8</v>
      </c>
      <c r="AH973" s="120" t="s">
        <v>1438</v>
      </c>
      <c r="AI973" s="115" t="s">
        <v>21</v>
      </c>
      <c r="AJ973" s="115" t="s">
        <v>293</v>
      </c>
      <c r="AK973" s="115" t="s">
        <v>291</v>
      </c>
      <c r="AL973" s="115" t="s">
        <v>292</v>
      </c>
      <c r="AM973" s="121" t="s">
        <v>294</v>
      </c>
      <c r="AN973" s="115" t="s">
        <v>229</v>
      </c>
      <c r="AO973" s="115" t="s">
        <v>256</v>
      </c>
      <c r="AP973" s="115" t="s">
        <v>1439</v>
      </c>
    </row>
    <row r="974" spans="1:42" ht="50.1" customHeight="1" x14ac:dyDescent="0.25">
      <c r="A974" s="115">
        <f>MONTH(TAB_HISTORICO_MANUT[[#This Row],[Hora Final]])-MONTH(TAB_HISTORICO_MANUT[[#This Row],[Hora Inicio]])</f>
        <v>0</v>
      </c>
      <c r="B974" s="116"/>
      <c r="C974" s="115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Inicio]]=Z973,TAB_HISTORICO_MANUT[[#This Row],[Equipamento]]=AA973,TAB_HISTORICO_MANUT[[#This Row],[Descricao Despacho]]=AD973),0,1)))</f>
        <v>1</v>
      </c>
      <c r="O97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97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7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974" s="107">
        <f>IF($Q974="","",(TAB_HISTORICO_MANUT[[#This Row],[Hora Final]]-TAB_HISTORICO_MANUT[[#This Row],[Hora Inicio]])*24)</f>
        <v>10.816111111140344</v>
      </c>
      <c r="S97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74" s="109" t="str">
        <f>IF(AND(TAB_HISTORICO_MANUT[[#This Row],[EXPURGO Mãe]]="SIM",TAB_HISTORICO_MANUT[[#This Row],[Tipo]]="MÃE"),"EXP.MAE",IF(TAB_HISTORICO_MANUT[[#This Row],[EXPURGO Mãe]]="NÃO","NÃO EXP.MAE",T973))</f>
        <v>NÃO EXP.MAE</v>
      </c>
      <c r="U97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74" s="110">
        <f>IF(TAB_HISTORICO_MANUT[[#This Row],[EXPURGO Filhas]]="SIM",MAX(TAB_HISTORICO_MANUT[[#This Row],[Hora Final]]-TAB_HISTORICO_MANUT[[#This Row],[Hora Inicio]],0),0)</f>
        <v>0</v>
      </c>
      <c r="W97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7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74" s="117">
        <v>46244.089722222219</v>
      </c>
      <c r="Z974" s="118">
        <v>46244.540393518517</v>
      </c>
      <c r="AA974" s="119" t="s">
        <v>228</v>
      </c>
      <c r="AB974" s="119" t="s">
        <v>1442</v>
      </c>
      <c r="AC974" s="115" t="s">
        <v>211</v>
      </c>
      <c r="AD974" s="117" t="s">
        <v>144</v>
      </c>
      <c r="AE974" s="117" t="s">
        <v>213</v>
      </c>
      <c r="AF974" s="122" t="s">
        <v>210</v>
      </c>
      <c r="AG974" s="123">
        <f>IF(TAB_HISTORICO_MANUT[[#This Row],[Hora Inicio]]="","",MONTH(TAB_HISTORICO_MANUT[[#This Row],[Hora Inicio]]))</f>
        <v>8</v>
      </c>
      <c r="AH974" s="120" t="s">
        <v>1444</v>
      </c>
      <c r="AI974" s="115" t="s">
        <v>21</v>
      </c>
      <c r="AJ974" s="115" t="s">
        <v>1446</v>
      </c>
      <c r="AK974" s="115" t="s">
        <v>291</v>
      </c>
      <c r="AL974" s="115" t="s">
        <v>275</v>
      </c>
      <c r="AM974" s="115" t="s">
        <v>276</v>
      </c>
      <c r="AN974" s="115" t="s">
        <v>229</v>
      </c>
      <c r="AO974" s="115" t="s">
        <v>404</v>
      </c>
      <c r="AP974" s="115" t="s">
        <v>1439</v>
      </c>
    </row>
    <row r="975" spans="1:42" ht="50.1" customHeight="1" x14ac:dyDescent="0.25">
      <c r="A975" s="115">
        <f>MONTH(TAB_HISTORICO_MANUT[[#This Row],[Hora Final]])-MONTH(TAB_HISTORICO_MANUT[[#This Row],[Hora Inicio]])</f>
        <v>0</v>
      </c>
      <c r="B975" s="116"/>
      <c r="C975" s="115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Inicio]]=Z974,TAB_HISTORICO_MANUT[[#This Row],[Equipamento]]=AA974,TAB_HISTORICO_MANUT[[#This Row],[Descricao Despacho]]=AD974),0,1)))</f>
        <v>1</v>
      </c>
      <c r="O97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DE FREIO</v>
      </c>
      <c r="P97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7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75" s="107">
        <f>IF($Q975="","",(TAB_HISTORICO_MANUT[[#This Row],[Hora Final]]-TAB_HISTORICO_MANUT[[#This Row],[Hora Inicio]])*24)</f>
        <v>5.4191666667466052</v>
      </c>
      <c r="S97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75" s="109" t="str">
        <f>IF(AND(TAB_HISTORICO_MANUT[[#This Row],[EXPURGO Mãe]]="SIM",TAB_HISTORICO_MANUT[[#This Row],[Tipo]]="MÃE"),"EXP.MAE",IF(TAB_HISTORICO_MANUT[[#This Row],[EXPURGO Mãe]]="NÃO","NÃO EXP.MAE",T974))</f>
        <v>NÃO EXP.MAE</v>
      </c>
      <c r="U97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75" s="110">
        <f>IF(TAB_HISTORICO_MANUT[[#This Row],[EXPURGO Filhas]]="SIM",MAX(TAB_HISTORICO_MANUT[[#This Row],[Hora Final]]-TAB_HISTORICO_MANUT[[#This Row],[Hora Inicio]],0),0)</f>
        <v>0</v>
      </c>
      <c r="W97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7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75" s="117">
        <v>46246.706817129627</v>
      </c>
      <c r="Z975" s="118">
        <v>46246.932615740741</v>
      </c>
      <c r="AA975" s="119" t="s">
        <v>228</v>
      </c>
      <c r="AB975" s="119" t="s">
        <v>1449</v>
      </c>
      <c r="AC975" s="115" t="s">
        <v>204</v>
      </c>
      <c r="AD975" s="117" t="s">
        <v>144</v>
      </c>
      <c r="AE975" s="117" t="s">
        <v>172</v>
      </c>
      <c r="AF975" s="122" t="s">
        <v>210</v>
      </c>
      <c r="AG975" s="123">
        <f>IF(TAB_HISTORICO_MANUT[[#This Row],[Hora Inicio]]="","",MONTH(TAB_HISTORICO_MANUT[[#This Row],[Hora Inicio]]))</f>
        <v>8</v>
      </c>
      <c r="AH975" s="120" t="s">
        <v>1450</v>
      </c>
      <c r="AI975" s="115" t="s">
        <v>46</v>
      </c>
      <c r="AJ975" s="115" t="s">
        <v>1451</v>
      </c>
      <c r="AK975" s="115" t="s">
        <v>1452</v>
      </c>
      <c r="AL975" s="115" t="s">
        <v>1441</v>
      </c>
      <c r="AM975" s="115" t="s">
        <v>1453</v>
      </c>
      <c r="AN975" s="115" t="s">
        <v>217</v>
      </c>
      <c r="AO975" s="115" t="s">
        <v>579</v>
      </c>
      <c r="AP975" s="115" t="s">
        <v>584</v>
      </c>
    </row>
    <row r="976" spans="1:42" ht="50.1" customHeight="1" x14ac:dyDescent="0.25">
      <c r="A976" s="115">
        <f>MONTH(TAB_HISTORICO_MANUT[[#This Row],[Hora Final]])-MONTH(TAB_HISTORICO_MANUT[[#This Row],[Hora Inicio]])</f>
        <v>0</v>
      </c>
      <c r="B976" s="116"/>
      <c r="C976" s="115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Inicio]]=Z975,TAB_HISTORICO_MANUT[[#This Row],[Equipamento]]=AA975,TAB_HISTORICO_MANUT[[#This Row],[Descricao Despacho]]=AD975),0,1)))</f>
        <v>1</v>
      </c>
      <c r="O97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97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97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976" s="107">
        <f>IF($Q976="","",(TAB_HISTORICO_MANUT[[#This Row],[Hora Final]]-TAB_HISTORICO_MANUT[[#This Row],[Hora Inicio]])*24)</f>
        <v>0.25500000006286427</v>
      </c>
      <c r="S97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976" s="109" t="str">
        <f>IF(AND(TAB_HISTORICO_MANUT[[#This Row],[EXPURGO Mãe]]="SIM",TAB_HISTORICO_MANUT[[#This Row],[Tipo]]="MÃE"),"EXP.MAE",IF(TAB_HISTORICO_MANUT[[#This Row],[EXPURGO Mãe]]="NÃO","NÃO EXP.MAE",T975))</f>
        <v>EXP.MAE</v>
      </c>
      <c r="U97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76" s="110">
        <f>IF(TAB_HISTORICO_MANUT[[#This Row],[EXPURGO Filhas]]="SIM",MAX(TAB_HISTORICO_MANUT[[#This Row],[Hora Final]]-TAB_HISTORICO_MANUT[[#This Row],[Hora Inicio]],0),0)</f>
        <v>0</v>
      </c>
      <c r="W97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7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76" s="117">
        <v>46247.175844907404</v>
      </c>
      <c r="Z976" s="118">
        <v>46247.186469907407</v>
      </c>
      <c r="AA976" s="119" t="s">
        <v>228</v>
      </c>
      <c r="AB976" s="119"/>
      <c r="AC976" s="115" t="s">
        <v>343</v>
      </c>
      <c r="AD976" s="117" t="s">
        <v>145</v>
      </c>
      <c r="AE976" s="117" t="s">
        <v>188</v>
      </c>
      <c r="AF976" s="122" t="s">
        <v>210</v>
      </c>
      <c r="AG976" s="123">
        <f>IF(TAB_HISTORICO_MANUT[[#This Row],[Hora Inicio]]="","",MONTH(TAB_HISTORICO_MANUT[[#This Row],[Hora Inicio]]))</f>
        <v>8</v>
      </c>
      <c r="AH976" s="120"/>
      <c r="AI976" s="115" t="s">
        <v>21</v>
      </c>
      <c r="AJ976" s="115" t="s">
        <v>21</v>
      </c>
      <c r="AK976" s="115" t="s">
        <v>21</v>
      </c>
      <c r="AL976" s="115" t="s">
        <v>21</v>
      </c>
      <c r="AM976" s="121" t="s">
        <v>21</v>
      </c>
      <c r="AN976" s="115"/>
      <c r="AO976" s="115"/>
      <c r="AP976" s="115"/>
    </row>
    <row r="977" spans="1:42" ht="50.1" customHeight="1" x14ac:dyDescent="0.25">
      <c r="A977" s="115">
        <f>MONTH(TAB_HISTORICO_MANUT[[#This Row],[Hora Final]])-MONTH(TAB_HISTORICO_MANUT[[#This Row],[Hora Inicio]])</f>
        <v>0</v>
      </c>
      <c r="B977" s="116"/>
      <c r="C977" s="115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Inicio]]=Z976,TAB_HISTORICO_MANUT[[#This Row],[Equipamento]]=AA976,TAB_HISTORICO_MANUT[[#This Row],[Descricao Despacho]]=AD976),0,1)))</f>
        <v>0</v>
      </c>
      <c r="O97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97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97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977" s="107">
        <f>IF($Q977="","",(TAB_HISTORICO_MANUT[[#This Row],[Hora Final]]-TAB_HISTORICO_MANUT[[#This Row],[Hora Inicio]])*24)</f>
        <v>0.44583333330228925</v>
      </c>
      <c r="S97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77" s="109" t="str">
        <f>IF(AND(TAB_HISTORICO_MANUT[[#This Row],[EXPURGO Mãe]]="SIM",TAB_HISTORICO_MANUT[[#This Row],[Tipo]]="MÃE"),"EXP.MAE",IF(TAB_HISTORICO_MANUT[[#This Row],[EXPURGO Mãe]]="NÃO","NÃO EXP.MAE",T976))</f>
        <v>NÃO EXP.MAE</v>
      </c>
      <c r="U97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77" s="110">
        <f>IF(TAB_HISTORICO_MANUT[[#This Row],[EXPURGO Filhas]]="SIM",MAX(TAB_HISTORICO_MANUT[[#This Row],[Hora Final]]-TAB_HISTORICO_MANUT[[#This Row],[Hora Inicio]],0),0)</f>
        <v>0</v>
      </c>
      <c r="W97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7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77" s="117">
        <v>46247.186469907407</v>
      </c>
      <c r="Z977" s="118">
        <v>46247.205046296294</v>
      </c>
      <c r="AA977" s="119" t="s">
        <v>228</v>
      </c>
      <c r="AB977" s="119"/>
      <c r="AC977" s="115" t="s">
        <v>205</v>
      </c>
      <c r="AD977" s="117" t="s">
        <v>145</v>
      </c>
      <c r="AE977" s="117" t="s">
        <v>173</v>
      </c>
      <c r="AF977" s="122" t="s">
        <v>210</v>
      </c>
      <c r="AG977" s="123">
        <f>IF(TAB_HISTORICO_MANUT[[#This Row],[Hora Inicio]]="","",MONTH(TAB_HISTORICO_MANUT[[#This Row],[Hora Inicio]]))</f>
        <v>8</v>
      </c>
      <c r="AH977" s="120"/>
      <c r="AI977" s="115" t="s">
        <v>21</v>
      </c>
      <c r="AJ977" s="115" t="s">
        <v>21</v>
      </c>
      <c r="AK977" s="115" t="s">
        <v>21</v>
      </c>
      <c r="AL977" s="115" t="s">
        <v>21</v>
      </c>
      <c r="AM977" s="121" t="s">
        <v>21</v>
      </c>
      <c r="AN977" s="115"/>
      <c r="AO977" s="115"/>
      <c r="AP977" s="115"/>
    </row>
    <row r="978" spans="1:42" ht="50.1" customHeight="1" x14ac:dyDescent="0.25">
      <c r="A978" s="115">
        <f>MONTH(TAB_HISTORICO_MANUT[[#This Row],[Hora Final]])-MONTH(TAB_HISTORICO_MANUT[[#This Row],[Hora Inicio]])</f>
        <v>0</v>
      </c>
      <c r="B978" s="116"/>
      <c r="C978" s="115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Inicio]]=Z977,TAB_HISTORICO_MANUT[[#This Row],[Equipamento]]=AA977,TAB_HISTORICO_MANUT[[#This Row],[Descricao Despacho]]=AD977),0,1)))</f>
        <v>1</v>
      </c>
      <c r="O97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DE FREIO</v>
      </c>
      <c r="P97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7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78" s="107">
        <f>IF($Q978="","",(TAB_HISTORICO_MANUT[[#This Row],[Hora Final]]-TAB_HISTORICO_MANUT[[#This Row],[Hora Inicio]])*24)</f>
        <v>47.65083333326038</v>
      </c>
      <c r="S97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78" s="109" t="str">
        <f>IF(AND(TAB_HISTORICO_MANUT[[#This Row],[EXPURGO Mãe]]="SIM",TAB_HISTORICO_MANUT[[#This Row],[Tipo]]="MÃE"),"EXP.MAE",IF(TAB_HISTORICO_MANUT[[#This Row],[EXPURGO Mãe]]="NÃO","NÃO EXP.MAE",T977))</f>
        <v>NÃO EXP.MAE</v>
      </c>
      <c r="U97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78" s="110">
        <f>IF(TAB_HISTORICO_MANUT[[#This Row],[EXPURGO Filhas]]="SIM",MAX(TAB_HISTORICO_MANUT[[#This Row],[Hora Final]]-TAB_HISTORICO_MANUT[[#This Row],[Hora Inicio]],0),0)</f>
        <v>0</v>
      </c>
      <c r="W97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7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78" s="117">
        <v>46247.226886574077</v>
      </c>
      <c r="Z978" s="118">
        <v>46249.212337962963</v>
      </c>
      <c r="AA978" s="119" t="s">
        <v>228</v>
      </c>
      <c r="AB978" s="119"/>
      <c r="AC978" s="115" t="s">
        <v>204</v>
      </c>
      <c r="AD978" s="117" t="s">
        <v>144</v>
      </c>
      <c r="AE978" s="117" t="s">
        <v>172</v>
      </c>
      <c r="AF978" s="122" t="s">
        <v>210</v>
      </c>
      <c r="AG978" s="123">
        <f>IF(TAB_HISTORICO_MANUT[[#This Row],[Hora Inicio]]="","",MONTH(TAB_HISTORICO_MANUT[[#This Row],[Hora Inicio]]))</f>
        <v>8</v>
      </c>
      <c r="AH978" s="120" t="s">
        <v>1455</v>
      </c>
      <c r="AI978" s="115" t="s">
        <v>46</v>
      </c>
      <c r="AJ978" s="115" t="s">
        <v>295</v>
      </c>
      <c r="AK978" s="115" t="s">
        <v>536</v>
      </c>
      <c r="AL978" s="115" t="s">
        <v>1459</v>
      </c>
      <c r="AM978" s="121" t="s">
        <v>238</v>
      </c>
      <c r="AN978" s="115"/>
      <c r="AO978" s="115"/>
      <c r="AP978" s="115"/>
    </row>
    <row r="979" spans="1:42" ht="50.1" customHeight="1" x14ac:dyDescent="0.25">
      <c r="A979" s="115">
        <f>MONTH(TAB_HISTORICO_MANUT[[#This Row],[Hora Final]])-MONTH(TAB_HISTORICO_MANUT[[#This Row],[Hora Inicio]])</f>
        <v>0</v>
      </c>
      <c r="B979" s="116"/>
      <c r="C979" s="115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Inicio]]=Z978,TAB_HISTORICO_MANUT[[#This Row],[Equipamento]]=AA978,TAB_HISTORICO_MANUT[[#This Row],[Descricao Despacho]]=AD978),0,1)))</f>
        <v>1</v>
      </c>
      <c r="O97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TREM DE FORÇA</v>
      </c>
      <c r="P97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7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79" s="107">
        <f>IF($Q979="","",(TAB_HISTORICO_MANUT[[#This Row],[Hora Final]]-TAB_HISTORICO_MANUT[[#This Row],[Hora Inicio]])*24)</f>
        <v>6.7336111111217178</v>
      </c>
      <c r="S97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79" s="109" t="str">
        <f>IF(AND(TAB_HISTORICO_MANUT[[#This Row],[EXPURGO Mãe]]="SIM",TAB_HISTORICO_MANUT[[#This Row],[Tipo]]="MÃE"),"EXP.MAE",IF(TAB_HISTORICO_MANUT[[#This Row],[EXPURGO Mãe]]="NÃO","NÃO EXP.MAE",T978))</f>
        <v>NÃO EXP.MAE</v>
      </c>
      <c r="U97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79" s="110">
        <f>IF(TAB_HISTORICO_MANUT[[#This Row],[EXPURGO Filhas]]="SIM",MAX(TAB_HISTORICO_MANUT[[#This Row],[Hora Final]]-TAB_HISTORICO_MANUT[[#This Row],[Hora Inicio]],0),0)</f>
        <v>0</v>
      </c>
      <c r="W97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7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79" s="117">
        <v>46250.756423611114</v>
      </c>
      <c r="Z979" s="118">
        <v>46251.036990740744</v>
      </c>
      <c r="AA979" s="119" t="s">
        <v>228</v>
      </c>
      <c r="AB979" s="119" t="s">
        <v>1461</v>
      </c>
      <c r="AC979" s="115" t="s">
        <v>204</v>
      </c>
      <c r="AD979" s="117" t="s">
        <v>144</v>
      </c>
      <c r="AE979" s="117" t="s">
        <v>172</v>
      </c>
      <c r="AF979" s="122" t="s">
        <v>210</v>
      </c>
      <c r="AG979" s="123">
        <f>IF(TAB_HISTORICO_MANUT[[#This Row],[Hora Inicio]]="","",MONTH(TAB_HISTORICO_MANUT[[#This Row],[Hora Inicio]]))</f>
        <v>8</v>
      </c>
      <c r="AH979" s="120" t="s">
        <v>1465</v>
      </c>
      <c r="AI979" s="115" t="s">
        <v>235</v>
      </c>
      <c r="AJ979" s="115" t="s">
        <v>83</v>
      </c>
      <c r="AK979" s="115" t="s">
        <v>644</v>
      </c>
      <c r="AL979" s="115" t="s">
        <v>275</v>
      </c>
      <c r="AM979" s="121" t="s">
        <v>276</v>
      </c>
      <c r="AN979" s="115" t="s">
        <v>217</v>
      </c>
      <c r="AO979" s="115" t="s">
        <v>573</v>
      </c>
      <c r="AP979" s="115" t="s">
        <v>469</v>
      </c>
    </row>
    <row r="980" spans="1:42" ht="50.1" customHeight="1" x14ac:dyDescent="0.25">
      <c r="A980" s="43">
        <f>MONTH(TAB_HISTORICO_MANUT[[#This Row],[Hora Final]])-MONTH(TAB_HISTORICO_MANUT[[#This Row],[Hora Inicio]])</f>
        <v>0</v>
      </c>
      <c r="B980" s="42"/>
      <c r="C980" s="43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Inicio]]=Z979,TAB_HISTORICO_MANUT[[#This Row],[Equipamento]]=AA979,TAB_HISTORICO_MANUT[[#This Row],[Descricao Despacho]]=AD979),0,1)))</f>
        <v>1</v>
      </c>
      <c r="O98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980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98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980" s="50">
        <f>IF($Q980="","",(TAB_HISTORICO_MANUT[[#This Row],[Hora Final]]-TAB_HISTORICO_MANUT[[#This Row],[Hora Inicio]])*24)</f>
        <v>0.82944444433087483</v>
      </c>
      <c r="S98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80" s="54" t="str">
        <f>IF(AND(TAB_HISTORICO_MANUT[[#This Row],[EXPURGO Mãe]]="SIM",TAB_HISTORICO_MANUT[[#This Row],[Tipo]]="MÃE"),"EXP.MAE",IF(TAB_HISTORICO_MANUT[[#This Row],[EXPURGO Mãe]]="NÃO","NÃO EXP.MAE",T979))</f>
        <v>NÃO EXP.MAE</v>
      </c>
      <c r="U98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80" s="56">
        <f>IF(TAB_HISTORICO_MANUT[[#This Row],[EXPURGO Filhas]]="SIM",MAX(TAB_HISTORICO_MANUT[[#This Row],[Hora Final]]-TAB_HISTORICO_MANUT[[#This Row],[Hora Inicio]],0),0)</f>
        <v>0</v>
      </c>
      <c r="W98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8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80" s="46">
        <v>46251.424814814818</v>
      </c>
      <c r="Z980" s="47">
        <v>46251.459374999999</v>
      </c>
      <c r="AA980" s="48" t="s">
        <v>228</v>
      </c>
      <c r="AB980" s="48"/>
      <c r="AC980" s="43" t="s">
        <v>882</v>
      </c>
      <c r="AD980" s="46" t="s">
        <v>146</v>
      </c>
      <c r="AE980" s="46" t="s">
        <v>883</v>
      </c>
      <c r="AF980" s="88" t="s">
        <v>210</v>
      </c>
      <c r="AG980" s="105">
        <f>IF(TAB_HISTORICO_MANUT[[#This Row],[Hora Inicio]]="","",MONTH(TAB_HISTORICO_MANUT[[#This Row],[Hora Inicio]]))</f>
        <v>8</v>
      </c>
      <c r="AH980" s="58"/>
      <c r="AI980" s="43" t="s">
        <v>25</v>
      </c>
      <c r="AJ980" s="43" t="s">
        <v>25</v>
      </c>
      <c r="AK980" s="43" t="s">
        <v>25</v>
      </c>
      <c r="AL980" s="43" t="s">
        <v>25</v>
      </c>
      <c r="AM980" s="114" t="s">
        <v>25</v>
      </c>
      <c r="AN980" s="43"/>
      <c r="AO980" s="43"/>
      <c r="AP980" s="43"/>
    </row>
    <row r="981" spans="1:42" ht="50.1" customHeight="1" x14ac:dyDescent="0.25">
      <c r="A981" s="115">
        <f>MONTH(TAB_HISTORICO_MANUT[[#This Row],[Hora Final]])-MONTH(TAB_HISTORICO_MANUT[[#This Row],[Hora Inicio]])</f>
        <v>0</v>
      </c>
      <c r="B981" s="116"/>
      <c r="C981" s="115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Inicio]]=Z980,TAB_HISTORICO_MANUT[[#This Row],[Equipamento]]=AA980,TAB_HISTORICO_MANUT[[#This Row],[Descricao Despacho]]=AD980),0,1)))</f>
        <v>1</v>
      </c>
      <c r="O98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98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98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981" s="107">
        <f>IF($Q981="","",(TAB_HISTORICO_MANUT[[#This Row],[Hora Final]]-TAB_HISTORICO_MANUT[[#This Row],[Hora Inicio]])*24)</f>
        <v>0.40249999996740371</v>
      </c>
      <c r="S98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81" s="109" t="str">
        <f>IF(AND(TAB_HISTORICO_MANUT[[#This Row],[EXPURGO Mãe]]="SIM",TAB_HISTORICO_MANUT[[#This Row],[Tipo]]="MÃE"),"EXP.MAE",IF(TAB_HISTORICO_MANUT[[#This Row],[EXPURGO Mãe]]="NÃO","NÃO EXP.MAE",T980))</f>
        <v>NÃO EXP.MAE</v>
      </c>
      <c r="U98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81" s="110">
        <f>IF(TAB_HISTORICO_MANUT[[#This Row],[EXPURGO Filhas]]="SIM",MAX(TAB_HISTORICO_MANUT[[#This Row],[Hora Final]]-TAB_HISTORICO_MANUT[[#This Row],[Hora Inicio]],0),0)</f>
        <v>0</v>
      </c>
      <c r="W98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8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81" s="117">
        <v>46251.482986111114</v>
      </c>
      <c r="Z981" s="118">
        <v>46251.499756944446</v>
      </c>
      <c r="AA981" s="119" t="s">
        <v>228</v>
      </c>
      <c r="AB981" s="119"/>
      <c r="AC981" s="115" t="s">
        <v>205</v>
      </c>
      <c r="AD981" s="117" t="s">
        <v>145</v>
      </c>
      <c r="AE981" s="117" t="s">
        <v>173</v>
      </c>
      <c r="AF981" s="122" t="s">
        <v>210</v>
      </c>
      <c r="AG981" s="123">
        <f>IF(TAB_HISTORICO_MANUT[[#This Row],[Hora Inicio]]="","",MONTH(TAB_HISTORICO_MANUT[[#This Row],[Hora Inicio]]))</f>
        <v>8</v>
      </c>
      <c r="AH981" s="120" t="s">
        <v>1470</v>
      </c>
      <c r="AI981" s="115" t="s">
        <v>21</v>
      </c>
      <c r="AJ981" s="115" t="s">
        <v>293</v>
      </c>
      <c r="AK981" s="115" t="s">
        <v>291</v>
      </c>
      <c r="AL981" s="115" t="s">
        <v>292</v>
      </c>
      <c r="AM981" s="121" t="s">
        <v>294</v>
      </c>
      <c r="AN981" s="115"/>
      <c r="AO981" s="115"/>
      <c r="AP981" s="115"/>
    </row>
    <row r="982" spans="1:42" ht="50.1" customHeight="1" x14ac:dyDescent="0.25">
      <c r="A982" s="43">
        <f>MONTH(TAB_HISTORICO_MANUT[[#This Row],[Hora Final]])-MONTH(TAB_HISTORICO_MANUT[[#This Row],[Hora Inicio]])</f>
        <v>0</v>
      </c>
      <c r="B982" s="42"/>
      <c r="C982" s="43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Inicio]]=Z981,TAB_HISTORICO_MANUT[[#This Row],[Equipamento]]=AA981,TAB_HISTORICO_MANUT[[#This Row],[Descricao Despacho]]=AD981),0,1)))</f>
        <v>1</v>
      </c>
      <c r="O982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982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82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82" s="50">
        <f>IF($Q982="","",(TAB_HISTORICO_MANUT[[#This Row],[Hora Final]]-TAB_HISTORICO_MANUT[[#This Row],[Hora Inicio]])*24)</f>
        <v>3.9258333334000781</v>
      </c>
      <c r="S982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82" s="54" t="str">
        <f>IF(AND(TAB_HISTORICO_MANUT[[#This Row],[EXPURGO Mãe]]="SIM",TAB_HISTORICO_MANUT[[#This Row],[Tipo]]="MÃE"),"EXP.MAE",IF(TAB_HISTORICO_MANUT[[#This Row],[EXPURGO Mãe]]="NÃO","NÃO EXP.MAE",T981))</f>
        <v>NÃO EXP.MAE</v>
      </c>
      <c r="U982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82" s="56">
        <f>IF(TAB_HISTORICO_MANUT[[#This Row],[EXPURGO Filhas]]="SIM",MAX(TAB_HISTORICO_MANUT[[#This Row],[Hora Final]]-TAB_HISTORICO_MANUT[[#This Row],[Hora Inicio]],0),0)</f>
        <v>0</v>
      </c>
      <c r="W982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82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82" s="46">
        <v>46251.763541666667</v>
      </c>
      <c r="Z982" s="47">
        <v>46251.927118055559</v>
      </c>
      <c r="AA982" s="48" t="s">
        <v>228</v>
      </c>
      <c r="AB982" s="48" t="s">
        <v>1467</v>
      </c>
      <c r="AC982" s="43" t="s">
        <v>204</v>
      </c>
      <c r="AD982" s="46" t="s">
        <v>144</v>
      </c>
      <c r="AE982" s="46" t="s">
        <v>172</v>
      </c>
      <c r="AF982" s="88" t="s">
        <v>210</v>
      </c>
      <c r="AG982" s="105">
        <f>IF(TAB_HISTORICO_MANUT[[#This Row],[Hora Inicio]]="","",MONTH(TAB_HISTORICO_MANUT[[#This Row],[Hora Inicio]]))</f>
        <v>8</v>
      </c>
      <c r="AH982" s="58" t="s">
        <v>1471</v>
      </c>
      <c r="AI982" s="43" t="s">
        <v>22</v>
      </c>
      <c r="AJ982" s="43" t="s">
        <v>284</v>
      </c>
      <c r="AK982" s="43" t="s">
        <v>284</v>
      </c>
      <c r="AL982" s="43" t="s">
        <v>336</v>
      </c>
      <c r="AM982" s="114" t="s">
        <v>337</v>
      </c>
      <c r="AN982" s="43" t="s">
        <v>215</v>
      </c>
      <c r="AO982" s="43" t="s">
        <v>224</v>
      </c>
      <c r="AP982" s="43" t="s">
        <v>225</v>
      </c>
    </row>
    <row r="983" spans="1:42" ht="50.1" customHeight="1" x14ac:dyDescent="0.25">
      <c r="A983" s="115">
        <f>MONTH(TAB_HISTORICO_MANUT[[#This Row],[Hora Final]])-MONTH(TAB_HISTORICO_MANUT[[#This Row],[Hora Inicio]])</f>
        <v>0</v>
      </c>
      <c r="B983" s="116"/>
      <c r="C983" s="115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Inicio]]=Z982,TAB_HISTORICO_MANUT[[#This Row],[Equipamento]]=AA982,TAB_HISTORICO_MANUT[[#This Row],[Descricao Despacho]]=AD982),0,1)))</f>
        <v>1</v>
      </c>
      <c r="O98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98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8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83" s="107">
        <f>IF($Q983="","",(TAB_HISTORICO_MANUT[[#This Row],[Hora Final]]-TAB_HISTORICO_MANUT[[#This Row],[Hora Inicio]])*24)</f>
        <v>2.2633333333069459</v>
      </c>
      <c r="S98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83" s="109" t="str">
        <f>IF(AND(TAB_HISTORICO_MANUT[[#This Row],[EXPURGO Mãe]]="SIM",TAB_HISTORICO_MANUT[[#This Row],[Tipo]]="MÃE"),"EXP.MAE",IF(TAB_HISTORICO_MANUT[[#This Row],[EXPURGO Mãe]]="NÃO","NÃO EXP.MAE",T982))</f>
        <v>NÃO EXP.MAE</v>
      </c>
      <c r="U98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83" s="110">
        <f>IF(TAB_HISTORICO_MANUT[[#This Row],[EXPURGO Filhas]]="SIM",MAX(TAB_HISTORICO_MANUT[[#This Row],[Hora Final]]-TAB_HISTORICO_MANUT[[#This Row],[Hora Inicio]],0),0)</f>
        <v>0</v>
      </c>
      <c r="W98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8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83" s="117">
        <v>46252.60255787037</v>
      </c>
      <c r="Z983" s="118">
        <v>46252.696863425925</v>
      </c>
      <c r="AA983" s="119" t="s">
        <v>228</v>
      </c>
      <c r="AB983" s="119"/>
      <c r="AC983" s="115" t="s">
        <v>204</v>
      </c>
      <c r="AD983" s="117" t="s">
        <v>144</v>
      </c>
      <c r="AE983" s="117" t="s">
        <v>172</v>
      </c>
      <c r="AF983" s="122" t="s">
        <v>210</v>
      </c>
      <c r="AG983" s="123">
        <f>IF(TAB_HISTORICO_MANUT[[#This Row],[Hora Inicio]]="","",MONTH(TAB_HISTORICO_MANUT[[#This Row],[Hora Inicio]]))</f>
        <v>8</v>
      </c>
      <c r="AH983" s="120" t="s">
        <v>1474</v>
      </c>
      <c r="AI983" s="115" t="s">
        <v>23</v>
      </c>
      <c r="AJ983" s="115" t="s">
        <v>43</v>
      </c>
      <c r="AK983" s="115" t="s">
        <v>464</v>
      </c>
      <c r="AL983" s="115" t="s">
        <v>334</v>
      </c>
      <c r="AM983" s="115" t="s">
        <v>1272</v>
      </c>
      <c r="AN983" s="115"/>
      <c r="AO983" s="115"/>
      <c r="AP983" s="115"/>
    </row>
    <row r="984" spans="1:42" ht="50.1" customHeight="1" x14ac:dyDescent="0.25">
      <c r="A984" s="115">
        <f>MONTH(TAB_HISTORICO_MANUT[[#This Row],[Hora Final]])-MONTH(TAB_HISTORICO_MANUT[[#This Row],[Hora Inicio]])</f>
        <v>0</v>
      </c>
      <c r="B984" s="116"/>
      <c r="C984" s="115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Inicio]]=Z983,TAB_HISTORICO_MANUT[[#This Row],[Equipamento]]=AA983,TAB_HISTORICO_MANUT[[#This Row],[Descricao Despacho]]=AD983),0,1)))</f>
        <v>1</v>
      </c>
      <c r="O98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98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8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84" s="107">
        <f>IF($Q984="","",(TAB_HISTORICO_MANUT[[#This Row],[Hora Final]]-TAB_HISTORICO_MANUT[[#This Row],[Hora Inicio]])*24)</f>
        <v>9.1063888889621012</v>
      </c>
      <c r="S98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84" s="109" t="str">
        <f>IF(AND(TAB_HISTORICO_MANUT[[#This Row],[EXPURGO Mãe]]="SIM",TAB_HISTORICO_MANUT[[#This Row],[Tipo]]="MÃE"),"EXP.MAE",IF(TAB_HISTORICO_MANUT[[#This Row],[EXPURGO Mãe]]="NÃO","NÃO EXP.MAE",T983))</f>
        <v>NÃO EXP.MAE</v>
      </c>
      <c r="U98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84" s="110">
        <f>IF(TAB_HISTORICO_MANUT[[#This Row],[EXPURGO Filhas]]="SIM",MAX(TAB_HISTORICO_MANUT[[#This Row],[Hora Final]]-TAB_HISTORICO_MANUT[[#This Row],[Hora Inicio]],0),0)</f>
        <v>0</v>
      </c>
      <c r="W98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8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84" s="117">
        <v>46252.74622685185</v>
      </c>
      <c r="Z984" s="118">
        <v>46253.125659722224</v>
      </c>
      <c r="AA984" s="119" t="s">
        <v>228</v>
      </c>
      <c r="AB984" s="119" t="s">
        <v>1473</v>
      </c>
      <c r="AC984" s="115" t="s">
        <v>204</v>
      </c>
      <c r="AD984" s="117" t="s">
        <v>144</v>
      </c>
      <c r="AE984" s="117" t="s">
        <v>172</v>
      </c>
      <c r="AF984" s="122" t="s">
        <v>210</v>
      </c>
      <c r="AG984" s="123">
        <f>IF(TAB_HISTORICO_MANUT[[#This Row],[Hora Inicio]]="","",MONTH(TAB_HISTORICO_MANUT[[#This Row],[Hora Inicio]]))</f>
        <v>8</v>
      </c>
      <c r="AH984" s="120" t="s">
        <v>1475</v>
      </c>
      <c r="AI984" s="115" t="s">
        <v>22</v>
      </c>
      <c r="AJ984" s="115" t="s">
        <v>43</v>
      </c>
      <c r="AK984" s="115" t="s">
        <v>693</v>
      </c>
      <c r="AL984" s="115" t="s">
        <v>282</v>
      </c>
      <c r="AM984" s="121" t="s">
        <v>276</v>
      </c>
      <c r="AN984" s="115" t="s">
        <v>217</v>
      </c>
      <c r="AO984" s="115" t="s">
        <v>1275</v>
      </c>
      <c r="AP984" s="115" t="s">
        <v>1476</v>
      </c>
    </row>
    <row r="985" spans="1:42" ht="50.1" customHeight="1" x14ac:dyDescent="0.25">
      <c r="A985" s="43">
        <f>MONTH(TAB_HISTORICO_MANUT[[#This Row],[Hora Final]])-MONTH(TAB_HISTORICO_MANUT[[#This Row],[Hora Inicio]])</f>
        <v>0</v>
      </c>
      <c r="B985" s="42"/>
      <c r="C985" s="43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Inicio]]=Z984,TAB_HISTORICO_MANUT[[#This Row],[Equipamento]]=AA984,TAB_HISTORICO_MANUT[[#This Row],[Descricao Despacho]]=AD984),0,1)))</f>
        <v>1</v>
      </c>
      <c r="O98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985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8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85" s="50">
        <f>IF($Q985="","",(TAB_HISTORICO_MANUT[[#This Row],[Hora Final]]-TAB_HISTORICO_MANUT[[#This Row],[Hora Inicio]])*24)</f>
        <v>1.1705555555527098</v>
      </c>
      <c r="S98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85" s="54" t="str">
        <f>IF(AND(TAB_HISTORICO_MANUT[[#This Row],[EXPURGO Mãe]]="SIM",TAB_HISTORICO_MANUT[[#This Row],[Tipo]]="MÃE"),"EXP.MAE",IF(TAB_HISTORICO_MANUT[[#This Row],[EXPURGO Mãe]]="NÃO","NÃO EXP.MAE",T984))</f>
        <v>NÃO EXP.MAE</v>
      </c>
      <c r="U98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85" s="56">
        <f>IF(TAB_HISTORICO_MANUT[[#This Row],[EXPURGO Filhas]]="SIM",MAX(TAB_HISTORICO_MANUT[[#This Row],[Hora Final]]-TAB_HISTORICO_MANUT[[#This Row],[Hora Inicio]],0),0)</f>
        <v>0</v>
      </c>
      <c r="W98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8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85" s="46">
        <v>46257.621319444443</v>
      </c>
      <c r="Z985" s="47">
        <v>46257.670092592591</v>
      </c>
      <c r="AA985" s="48" t="s">
        <v>228</v>
      </c>
      <c r="AB985" s="48" t="s">
        <v>1480</v>
      </c>
      <c r="AC985" s="43" t="s">
        <v>204</v>
      </c>
      <c r="AD985" s="46" t="s">
        <v>144</v>
      </c>
      <c r="AE985" s="46" t="s">
        <v>172</v>
      </c>
      <c r="AF985" s="88" t="s">
        <v>210</v>
      </c>
      <c r="AG985" s="105">
        <f>IF(TAB_HISTORICO_MANUT[[#This Row],[Hora Inicio]]="","",MONTH(TAB_HISTORICO_MANUT[[#This Row],[Hora Inicio]]))</f>
        <v>8</v>
      </c>
      <c r="AH985" s="58" t="s">
        <v>1483</v>
      </c>
      <c r="AI985" s="43" t="s">
        <v>28</v>
      </c>
      <c r="AJ985" s="43" t="s">
        <v>30</v>
      </c>
      <c r="AK985" s="43" t="s">
        <v>1485</v>
      </c>
      <c r="AL985" s="43" t="s">
        <v>540</v>
      </c>
      <c r="AM985" s="114" t="s">
        <v>541</v>
      </c>
      <c r="AN985" s="43" t="s">
        <v>217</v>
      </c>
      <c r="AO985" s="43" t="s">
        <v>316</v>
      </c>
      <c r="AP985" s="43" t="s">
        <v>1484</v>
      </c>
    </row>
    <row r="986" spans="1:42" ht="50.1" customHeight="1" x14ac:dyDescent="0.25">
      <c r="A986" s="43">
        <f>MONTH(TAB_HISTORICO_MANUT[[#This Row],[Hora Final]])-MONTH(TAB_HISTORICO_MANUT[[#This Row],[Hora Inicio]])</f>
        <v>0</v>
      </c>
      <c r="B986" s="42"/>
      <c r="C986" s="43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Inicio]]=Z985,TAB_HISTORICO_MANUT[[#This Row],[Equipamento]]=AA985,TAB_HISTORICO_MANUT[[#This Row],[Descricao Despacho]]=AD985),0,1)))</f>
        <v>1</v>
      </c>
      <c r="O98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986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98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986" s="50">
        <f>IF($Q986="","",(TAB_HISTORICO_MANUT[[#This Row],[Hora Final]]-TAB_HISTORICO_MANUT[[#This Row],[Hora Inicio]])*24)</f>
        <v>0.55277777777519077</v>
      </c>
      <c r="S98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86" s="54" t="str">
        <f>IF(AND(TAB_HISTORICO_MANUT[[#This Row],[EXPURGO Mãe]]="SIM",TAB_HISTORICO_MANUT[[#This Row],[Tipo]]="MÃE"),"EXP.MAE",IF(TAB_HISTORICO_MANUT[[#This Row],[EXPURGO Mãe]]="NÃO","NÃO EXP.MAE",T985))</f>
        <v>NÃO EXP.MAE</v>
      </c>
      <c r="U98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86" s="56">
        <f>IF(TAB_HISTORICO_MANUT[[#This Row],[EXPURGO Filhas]]="SIM",MAX(TAB_HISTORICO_MANUT[[#This Row],[Hora Final]]-TAB_HISTORICO_MANUT[[#This Row],[Hora Inicio]],0),0)</f>
        <v>0</v>
      </c>
      <c r="W98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8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86" s="46">
        <v>46258.090694444443</v>
      </c>
      <c r="Z986" s="47">
        <v>46258.113726851851</v>
      </c>
      <c r="AA986" s="48" t="s">
        <v>228</v>
      </c>
      <c r="AB986" s="48"/>
      <c r="AC986" s="43" t="s">
        <v>205</v>
      </c>
      <c r="AD986" s="46" t="s">
        <v>145</v>
      </c>
      <c r="AE986" s="46" t="s">
        <v>173</v>
      </c>
      <c r="AF986" s="88" t="s">
        <v>210</v>
      </c>
      <c r="AG986" s="105">
        <f>IF(TAB_HISTORICO_MANUT[[#This Row],[Hora Inicio]]="","",MONTH(TAB_HISTORICO_MANUT[[#This Row],[Hora Inicio]]))</f>
        <v>8</v>
      </c>
      <c r="AH986" s="58"/>
      <c r="AI986" s="43" t="s">
        <v>21</v>
      </c>
      <c r="AJ986" s="43" t="s">
        <v>21</v>
      </c>
      <c r="AK986" s="43" t="s">
        <v>21</v>
      </c>
      <c r="AL986" s="43" t="s">
        <v>21</v>
      </c>
      <c r="AM986" s="114" t="s">
        <v>21</v>
      </c>
      <c r="AN986" s="43"/>
      <c r="AO986" s="43"/>
      <c r="AP986" s="43"/>
    </row>
    <row r="987" spans="1:42" ht="50.1" customHeight="1" x14ac:dyDescent="0.25">
      <c r="A987" s="115">
        <f>MONTH(TAB_HISTORICO_MANUT[[#This Row],[Hora Final]])-MONTH(TAB_HISTORICO_MANUT[[#This Row],[Hora Inicio]])</f>
        <v>0</v>
      </c>
      <c r="B987" s="116"/>
      <c r="C987" s="115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Inicio]]=Z986,TAB_HISTORICO_MANUT[[#This Row],[Equipamento]]=AA986,TAB_HISTORICO_MANUT[[#This Row],[Descricao Despacho]]=AD986),0,1)))</f>
        <v>1</v>
      </c>
      <c r="O98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98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8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987" s="107">
        <f>IF($Q987="","",(TAB_HISTORICO_MANUT[[#This Row],[Hora Final]]-TAB_HISTORICO_MANUT[[#This Row],[Hora Inicio]])*24)</f>
        <v>0.68166666658362374</v>
      </c>
      <c r="S98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87" s="109" t="str">
        <f>IF(AND(TAB_HISTORICO_MANUT[[#This Row],[EXPURGO Mãe]]="SIM",TAB_HISTORICO_MANUT[[#This Row],[Tipo]]="MÃE"),"EXP.MAE",IF(TAB_HISTORICO_MANUT[[#This Row],[EXPURGO Mãe]]="NÃO","NÃO EXP.MAE",T986))</f>
        <v>NÃO EXP.MAE</v>
      </c>
      <c r="U98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87" s="110">
        <f>IF(TAB_HISTORICO_MANUT[[#This Row],[EXPURGO Filhas]]="SIM",MAX(TAB_HISTORICO_MANUT[[#This Row],[Hora Final]]-TAB_HISTORICO_MANUT[[#This Row],[Hora Inicio]],0),0)</f>
        <v>0</v>
      </c>
      <c r="W98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8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87" s="117">
        <v>46265.104155092595</v>
      </c>
      <c r="Z987" s="118">
        <v>46265.132557870369</v>
      </c>
      <c r="AA987" s="119" t="s">
        <v>228</v>
      </c>
      <c r="AB987" s="119"/>
      <c r="AC987" s="115" t="s">
        <v>211</v>
      </c>
      <c r="AD987" s="117" t="s">
        <v>144</v>
      </c>
      <c r="AE987" s="117" t="s">
        <v>213</v>
      </c>
      <c r="AF987" s="122" t="s">
        <v>210</v>
      </c>
      <c r="AG987" s="123">
        <f>IF(TAB_HISTORICO_MANUT[[#This Row],[Hora Inicio]]="","",MONTH(TAB_HISTORICO_MANUT[[#This Row],[Hora Inicio]]))</f>
        <v>8</v>
      </c>
      <c r="AH987" s="120" t="s">
        <v>1493</v>
      </c>
      <c r="AI987" s="115" t="s">
        <v>21</v>
      </c>
      <c r="AJ987" s="115" t="s">
        <v>1496</v>
      </c>
      <c r="AK987" s="115" t="s">
        <v>291</v>
      </c>
      <c r="AL987" s="115" t="s">
        <v>292</v>
      </c>
      <c r="AM987" s="121" t="s">
        <v>294</v>
      </c>
      <c r="AN987" s="115"/>
      <c r="AO987" s="115"/>
      <c r="AP987" s="115"/>
    </row>
    <row r="988" spans="1:42" ht="50.1" customHeight="1" x14ac:dyDescent="0.25">
      <c r="A988" s="115">
        <f>MONTH(TAB_HISTORICO_MANUT[[#This Row],[Hora Final]])-MONTH(TAB_HISTORICO_MANUT[[#This Row],[Hora Inicio]])</f>
        <v>0</v>
      </c>
      <c r="B988" s="116"/>
      <c r="C988" s="115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Inicio]]=Z987,TAB_HISTORICO_MANUT[[#This Row],[Equipamento]]=AA987,TAB_HISTORICO_MANUT[[#This Row],[Descricao Despacho]]=AD987),0,1)))</f>
        <v>1</v>
      </c>
      <c r="O98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98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8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88" s="107">
        <f>IF($Q988="","",(TAB_HISTORICO_MANUT[[#This Row],[Hora Final]]-TAB_HISTORICO_MANUT[[#This Row],[Hora Inicio]])*24)</f>
        <v>2.7816666666185483</v>
      </c>
      <c r="S98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88" s="109" t="str">
        <f>IF(AND(TAB_HISTORICO_MANUT[[#This Row],[EXPURGO Mãe]]="SIM",TAB_HISTORICO_MANUT[[#This Row],[Tipo]]="MÃE"),"EXP.MAE",IF(TAB_HISTORICO_MANUT[[#This Row],[EXPURGO Mãe]]="NÃO","NÃO EXP.MAE",T987))</f>
        <v>NÃO EXP.MAE</v>
      </c>
      <c r="U98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88" s="110">
        <f>IF(TAB_HISTORICO_MANUT[[#This Row],[EXPURGO Filhas]]="SIM",MAX(TAB_HISTORICO_MANUT[[#This Row],[Hora Final]]-TAB_HISTORICO_MANUT[[#This Row],[Hora Inicio]],0),0)</f>
        <v>0</v>
      </c>
      <c r="W98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8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88" s="117">
        <v>46265.817164351851</v>
      </c>
      <c r="Z988" s="118">
        <v>46265.933067129627</v>
      </c>
      <c r="AA988" s="119" t="s">
        <v>228</v>
      </c>
      <c r="AB988" s="119" t="s">
        <v>1492</v>
      </c>
      <c r="AC988" s="115" t="s">
        <v>204</v>
      </c>
      <c r="AD988" s="117" t="s">
        <v>144</v>
      </c>
      <c r="AE988" s="117" t="s">
        <v>172</v>
      </c>
      <c r="AF988" s="122" t="s">
        <v>210</v>
      </c>
      <c r="AG988" s="123">
        <f>IF(TAB_HISTORICO_MANUT[[#This Row],[Hora Inicio]]="","",MONTH(TAB_HISTORICO_MANUT[[#This Row],[Hora Inicio]]))</f>
        <v>8</v>
      </c>
      <c r="AH988" s="120" t="s">
        <v>1495</v>
      </c>
      <c r="AI988" s="115" t="s">
        <v>24</v>
      </c>
      <c r="AJ988" s="115" t="s">
        <v>223</v>
      </c>
      <c r="AK988" s="115" t="s">
        <v>422</v>
      </c>
      <c r="AL988" s="115" t="s">
        <v>279</v>
      </c>
      <c r="AM988" s="121" t="s">
        <v>280</v>
      </c>
      <c r="AN988" s="115" t="s">
        <v>217</v>
      </c>
      <c r="AO988" s="115" t="s">
        <v>405</v>
      </c>
      <c r="AP988" s="115" t="s">
        <v>906</v>
      </c>
    </row>
    <row r="989" spans="1:42" ht="50.1" customHeight="1" x14ac:dyDescent="0.25">
      <c r="A989" s="115">
        <f>MONTH(TAB_HISTORICO_MANUT[[#This Row],[Hora Final]])-MONTH(TAB_HISTORICO_MANUT[[#This Row],[Hora Inicio]])</f>
        <v>0</v>
      </c>
      <c r="B989" s="116"/>
      <c r="C989" s="115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Inicio]]=Z988,TAB_HISTORICO_MANUT[[#This Row],[Equipamento]]=AA988,TAB_HISTORICO_MANUT[[#This Row],[Descricao Despacho]]=AD988),0,1)))</f>
        <v>1</v>
      </c>
      <c r="O98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98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98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989" s="107">
        <f>IF($Q989="","",(TAB_HISTORICO_MANUT[[#This Row],[Hora Final]]-TAB_HISTORICO_MANUT[[#This Row],[Hora Inicio]])*24)</f>
        <v>1.2930555555503815</v>
      </c>
      <c r="S98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89" s="109" t="str">
        <f>IF(AND(TAB_HISTORICO_MANUT[[#This Row],[EXPURGO Mãe]]="SIM",TAB_HISTORICO_MANUT[[#This Row],[Tipo]]="MÃE"),"EXP.MAE",IF(TAB_HISTORICO_MANUT[[#This Row],[EXPURGO Mãe]]="NÃO","NÃO EXP.MAE",T988))</f>
        <v>NÃO EXP.MAE</v>
      </c>
      <c r="U98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89" s="110">
        <f>IF(TAB_HISTORICO_MANUT[[#This Row],[EXPURGO Filhas]]="SIM",MAX(TAB_HISTORICO_MANUT[[#This Row],[Hora Final]]-TAB_HISTORICO_MANUT[[#This Row],[Hora Inicio]],0),0)</f>
        <v>0</v>
      </c>
      <c r="W98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8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89" s="117">
        <v>46267.432650462964</v>
      </c>
      <c r="Z989" s="118">
        <v>46267.486527777779</v>
      </c>
      <c r="AA989" s="119" t="s">
        <v>228</v>
      </c>
      <c r="AB989" s="119"/>
      <c r="AC989" s="115" t="s">
        <v>882</v>
      </c>
      <c r="AD989" s="117" t="s">
        <v>146</v>
      </c>
      <c r="AE989" s="117" t="s">
        <v>883</v>
      </c>
      <c r="AF989" s="122" t="s">
        <v>210</v>
      </c>
      <c r="AG989" s="123">
        <f>IF(TAB_HISTORICO_MANUT[[#This Row],[Hora Inicio]]="","",MONTH(TAB_HISTORICO_MANUT[[#This Row],[Hora Inicio]]))</f>
        <v>9</v>
      </c>
      <c r="AH989" s="120"/>
      <c r="AI989" s="115" t="s">
        <v>25</v>
      </c>
      <c r="AJ989" s="115" t="s">
        <v>25</v>
      </c>
      <c r="AK989" s="115" t="s">
        <v>25</v>
      </c>
      <c r="AL989" s="115" t="s">
        <v>25</v>
      </c>
      <c r="AM989" s="121" t="s">
        <v>25</v>
      </c>
      <c r="AN989" s="115"/>
      <c r="AO989" s="115"/>
      <c r="AP989" s="115"/>
    </row>
    <row r="990" spans="1:42" ht="50.1" customHeight="1" x14ac:dyDescent="0.25">
      <c r="A990" s="115">
        <f>MONTH(TAB_HISTORICO_MANUT[[#This Row],[Hora Final]])-MONTH(TAB_HISTORICO_MANUT[[#This Row],[Hora Inicio]])</f>
        <v>0</v>
      </c>
      <c r="B990" s="116"/>
      <c r="C990" s="115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Inicio]]=Z989,TAB_HISTORICO_MANUT[[#This Row],[Equipamento]]=AA989,TAB_HISTORICO_MANUT[[#This Row],[Descricao Despacho]]=AD989),0,1)))</f>
        <v>1</v>
      </c>
      <c r="O99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99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99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990" s="107">
        <f>IF($Q990="","",(TAB_HISTORICO_MANUT[[#This Row],[Hora Final]]-TAB_HISTORICO_MANUT[[#This Row],[Hora Inicio]])*24)</f>
        <v>2.5741666666581295</v>
      </c>
      <c r="S99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90" s="109" t="str">
        <f>IF(AND(TAB_HISTORICO_MANUT[[#This Row],[EXPURGO Mãe]]="SIM",TAB_HISTORICO_MANUT[[#This Row],[Tipo]]="MÃE"),"EXP.MAE",IF(TAB_HISTORICO_MANUT[[#This Row],[EXPURGO Mãe]]="NÃO","NÃO EXP.MAE",T989))</f>
        <v>NÃO EXP.MAE</v>
      </c>
      <c r="U99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90" s="110">
        <f>IF(TAB_HISTORICO_MANUT[[#This Row],[EXPURGO Filhas]]="SIM",MAX(TAB_HISTORICO_MANUT[[#This Row],[Hora Final]]-TAB_HISTORICO_MANUT[[#This Row],[Hora Inicio]],0),0)</f>
        <v>0</v>
      </c>
      <c r="W99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9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90" s="117">
        <v>46269.537314814814</v>
      </c>
      <c r="Z990" s="118">
        <v>46269.644571759258</v>
      </c>
      <c r="AA990" s="119" t="s">
        <v>228</v>
      </c>
      <c r="AB990" s="119"/>
      <c r="AC990" s="115" t="s">
        <v>301</v>
      </c>
      <c r="AD990" s="117" t="s">
        <v>146</v>
      </c>
      <c r="AE990" s="117" t="s">
        <v>310</v>
      </c>
      <c r="AF990" s="122" t="s">
        <v>210</v>
      </c>
      <c r="AG990" s="123">
        <f>IF(TAB_HISTORICO_MANUT[[#This Row],[Hora Inicio]]="","",MONTH(TAB_HISTORICO_MANUT[[#This Row],[Hora Inicio]]))</f>
        <v>9</v>
      </c>
      <c r="AH990" s="120" t="s">
        <v>1538</v>
      </c>
      <c r="AI990" s="115" t="s">
        <v>340</v>
      </c>
      <c r="AJ990" s="115" t="s">
        <v>341</v>
      </c>
      <c r="AK990" s="115" t="s">
        <v>1272</v>
      </c>
      <c r="AL990" s="115" t="s">
        <v>1272</v>
      </c>
      <c r="AM990" s="121" t="s">
        <v>1272</v>
      </c>
      <c r="AN990" s="115"/>
      <c r="AO990" s="115"/>
      <c r="AP990" s="115"/>
    </row>
    <row r="991" spans="1:42" ht="50.1" customHeight="1" x14ac:dyDescent="0.25">
      <c r="A991" s="115">
        <f>MONTH(TAB_HISTORICO_MANUT[[#This Row],[Hora Final]])-MONTH(TAB_HISTORICO_MANUT[[#This Row],[Hora Inicio]])</f>
        <v>0</v>
      </c>
      <c r="B991" s="116"/>
      <c r="C991" s="115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Inicio]]=Z990,TAB_HISTORICO_MANUT[[#This Row],[Equipamento]]=AA990,TAB_HISTORICO_MANUT[[#This Row],[Descricao Despacho]]=AD990),0,1)))</f>
        <v>0</v>
      </c>
      <c r="O99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99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99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991" s="107">
        <f>IF($Q991="","",(TAB_HISTORICO_MANUT[[#This Row],[Hora Final]]-TAB_HISTORICO_MANUT[[#This Row],[Hora Inicio]])*24)</f>
        <v>5.6136111110681668</v>
      </c>
      <c r="S99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91" s="109" t="str">
        <f>IF(AND(TAB_HISTORICO_MANUT[[#This Row],[EXPURGO Mãe]]="SIM",TAB_HISTORICO_MANUT[[#This Row],[Tipo]]="MÃE"),"EXP.MAE",IF(TAB_HISTORICO_MANUT[[#This Row],[EXPURGO Mãe]]="NÃO","NÃO EXP.MAE",T990))</f>
        <v>NÃO EXP.MAE</v>
      </c>
      <c r="U99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91" s="110">
        <f>IF(TAB_HISTORICO_MANUT[[#This Row],[EXPURGO Filhas]]="SIM",MAX(TAB_HISTORICO_MANUT[[#This Row],[Hora Final]]-TAB_HISTORICO_MANUT[[#This Row],[Hora Inicio]],0),0)</f>
        <v>0</v>
      </c>
      <c r="W99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9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91" s="117">
        <v>46269.644571759258</v>
      </c>
      <c r="Z991" s="118">
        <v>46269.878472222219</v>
      </c>
      <c r="AA991" s="119" t="s">
        <v>228</v>
      </c>
      <c r="AB991" s="119"/>
      <c r="AC991" s="115" t="s">
        <v>302</v>
      </c>
      <c r="AD991" s="117" t="s">
        <v>146</v>
      </c>
      <c r="AE991" s="117" t="s">
        <v>311</v>
      </c>
      <c r="AF991" s="122" t="s">
        <v>210</v>
      </c>
      <c r="AG991" s="123">
        <f>IF(TAB_HISTORICO_MANUT[[#This Row],[Hora Inicio]]="","",MONTH(TAB_HISTORICO_MANUT[[#This Row],[Hora Inicio]]))</f>
        <v>9</v>
      </c>
      <c r="AH991" s="120" t="s">
        <v>1538</v>
      </c>
      <c r="AI991" s="115" t="s">
        <v>340</v>
      </c>
      <c r="AJ991" s="115" t="s">
        <v>341</v>
      </c>
      <c r="AK991" s="115" t="s">
        <v>1272</v>
      </c>
      <c r="AL991" s="115" t="s">
        <v>1272</v>
      </c>
      <c r="AM991" s="121" t="s">
        <v>1272</v>
      </c>
      <c r="AN991" s="115"/>
      <c r="AO991" s="115"/>
      <c r="AP991" s="115"/>
    </row>
    <row r="992" spans="1:42" ht="50.1" customHeight="1" x14ac:dyDescent="0.25">
      <c r="A992" s="115">
        <f>MONTH(TAB_HISTORICO_MANUT[[#This Row],[Hora Final]])-MONTH(TAB_HISTORICO_MANUT[[#This Row],[Hora Inicio]])</f>
        <v>0</v>
      </c>
      <c r="B992" s="116"/>
      <c r="C992" s="115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Inicio]]=Z991,TAB_HISTORICO_MANUT[[#This Row],[Equipamento]]=AA991,TAB_HISTORICO_MANUT[[#This Row],[Descricao Despacho]]=AD991),0,1)))</f>
        <v>0</v>
      </c>
      <c r="O99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99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99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992" s="107">
        <f>IF($Q992="","",(TAB_HISTORICO_MANUT[[#This Row],[Hora Final]]-TAB_HISTORICO_MANUT[[#This Row],[Hora Inicio]])*24)</f>
        <v>28.511111111263745</v>
      </c>
      <c r="S99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92" s="109" t="str">
        <f>IF(AND(TAB_HISTORICO_MANUT[[#This Row],[EXPURGO Mãe]]="SIM",TAB_HISTORICO_MANUT[[#This Row],[Tipo]]="MÃE"),"EXP.MAE",IF(TAB_HISTORICO_MANUT[[#This Row],[EXPURGO Mãe]]="NÃO","NÃO EXP.MAE",T991))</f>
        <v>NÃO EXP.MAE</v>
      </c>
      <c r="U99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92" s="110">
        <f>IF(TAB_HISTORICO_MANUT[[#This Row],[EXPURGO Filhas]]="SIM",MAX(TAB_HISTORICO_MANUT[[#This Row],[Hora Final]]-TAB_HISTORICO_MANUT[[#This Row],[Hora Inicio]],0),0)</f>
        <v>0</v>
      </c>
      <c r="W99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9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92" s="117">
        <v>46269.878472222219</v>
      </c>
      <c r="Z992" s="118">
        <v>46271.066435185188</v>
      </c>
      <c r="AA992" s="119" t="s">
        <v>228</v>
      </c>
      <c r="AB992" s="119"/>
      <c r="AC992" s="115" t="s">
        <v>301</v>
      </c>
      <c r="AD992" s="117" t="s">
        <v>146</v>
      </c>
      <c r="AE992" s="117" t="s">
        <v>310</v>
      </c>
      <c r="AF992" s="122" t="s">
        <v>210</v>
      </c>
      <c r="AG992" s="123">
        <f>IF(TAB_HISTORICO_MANUT[[#This Row],[Hora Inicio]]="","",MONTH(TAB_HISTORICO_MANUT[[#This Row],[Hora Inicio]]))</f>
        <v>9</v>
      </c>
      <c r="AH992" s="120" t="s">
        <v>1538</v>
      </c>
      <c r="AI992" s="115" t="s">
        <v>340</v>
      </c>
      <c r="AJ992" s="115" t="s">
        <v>341</v>
      </c>
      <c r="AK992" s="115" t="s">
        <v>1272</v>
      </c>
      <c r="AL992" s="115" t="s">
        <v>1272</v>
      </c>
      <c r="AM992" s="121" t="s">
        <v>1272</v>
      </c>
      <c r="AN992" s="115"/>
      <c r="AO992" s="115"/>
      <c r="AP992" s="115"/>
    </row>
    <row r="993" spans="1:42" ht="50.1" customHeight="1" x14ac:dyDescent="0.25">
      <c r="A993" s="115">
        <f>MONTH(TAB_HISTORICO_MANUT[[#This Row],[Hora Final]])-MONTH(TAB_HISTORICO_MANUT[[#This Row],[Hora Inicio]])</f>
        <v>0</v>
      </c>
      <c r="B993" s="116"/>
      <c r="C993" s="115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Inicio]]=Z992,TAB_HISTORICO_MANUT[[#This Row],[Equipamento]]=AA992,TAB_HISTORICO_MANUT[[#This Row],[Descricao Despacho]]=AD992),0,1)))</f>
        <v>1</v>
      </c>
      <c r="O99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99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9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93" s="107">
        <f>IF($Q993="","",(TAB_HISTORICO_MANUT[[#This Row],[Hora Final]]-TAB_HISTORICO_MANUT[[#This Row],[Hora Inicio]])*24)</f>
        <v>7.376944444491528</v>
      </c>
      <c r="S99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93" s="109" t="str">
        <f>IF(AND(TAB_HISTORICO_MANUT[[#This Row],[EXPURGO Mãe]]="SIM",TAB_HISTORICO_MANUT[[#This Row],[Tipo]]="MÃE"),"EXP.MAE",IF(TAB_HISTORICO_MANUT[[#This Row],[EXPURGO Mãe]]="NÃO","NÃO EXP.MAE",T992))</f>
        <v>NÃO EXP.MAE</v>
      </c>
      <c r="U99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93" s="110">
        <f>IF(TAB_HISTORICO_MANUT[[#This Row],[EXPURGO Filhas]]="SIM",MAX(TAB_HISTORICO_MANUT[[#This Row],[Hora Final]]-TAB_HISTORICO_MANUT[[#This Row],[Hora Inicio]],0),0)</f>
        <v>0</v>
      </c>
      <c r="W99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9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93" s="117">
        <v>46271.667118055557</v>
      </c>
      <c r="Z993" s="118">
        <v>46271.974490740744</v>
      </c>
      <c r="AA993" s="119" t="s">
        <v>228</v>
      </c>
      <c r="AB993" s="119" t="s">
        <v>1512</v>
      </c>
      <c r="AC993" s="115" t="s">
        <v>204</v>
      </c>
      <c r="AD993" s="117" t="s">
        <v>144</v>
      </c>
      <c r="AE993" s="117" t="s">
        <v>172</v>
      </c>
      <c r="AF993" s="122" t="s">
        <v>210</v>
      </c>
      <c r="AG993" s="123">
        <f>IF(TAB_HISTORICO_MANUT[[#This Row],[Hora Inicio]]="","",MONTH(TAB_HISTORICO_MANUT[[#This Row],[Hora Inicio]]))</f>
        <v>9</v>
      </c>
      <c r="AH993" s="120" t="s">
        <v>1523</v>
      </c>
      <c r="AI993" s="115" t="s">
        <v>22</v>
      </c>
      <c r="AJ993" s="115" t="s">
        <v>43</v>
      </c>
      <c r="AK993" s="115" t="s">
        <v>1543</v>
      </c>
      <c r="AL993" s="115" t="s">
        <v>282</v>
      </c>
      <c r="AM993" s="121" t="s">
        <v>283</v>
      </c>
      <c r="AN993" s="115" t="s">
        <v>217</v>
      </c>
      <c r="AO993" s="115" t="s">
        <v>1524</v>
      </c>
      <c r="AP993" s="115" t="s">
        <v>577</v>
      </c>
    </row>
    <row r="994" spans="1:42" ht="50.1" customHeight="1" x14ac:dyDescent="0.25">
      <c r="A994" s="115">
        <f>MONTH(TAB_HISTORICO_MANUT[[#This Row],[Hora Final]])-MONTH(TAB_HISTORICO_MANUT[[#This Row],[Hora Inicio]])</f>
        <v>0</v>
      </c>
      <c r="B994" s="116"/>
      <c r="C994" s="115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Inicio]]=Z993,TAB_HISTORICO_MANUT[[#This Row],[Equipamento]]=AA993,TAB_HISTORICO_MANUT[[#This Row],[Descricao Despacho]]=AD993),0,1)))</f>
        <v>1</v>
      </c>
      <c r="O99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99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99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994" s="107">
        <f>IF($Q994="","",(TAB_HISTORICO_MANUT[[#This Row],[Hora Final]]-TAB_HISTORICO_MANUT[[#This Row],[Hora Inicio]])*24)</f>
        <v>0.23111111117759719</v>
      </c>
      <c r="S99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94" s="109" t="str">
        <f>IF(AND(TAB_HISTORICO_MANUT[[#This Row],[EXPURGO Mãe]]="SIM",TAB_HISTORICO_MANUT[[#This Row],[Tipo]]="MÃE"),"EXP.MAE",IF(TAB_HISTORICO_MANUT[[#This Row],[EXPURGO Mãe]]="NÃO","NÃO EXP.MAE",T993))</f>
        <v>NÃO EXP.MAE</v>
      </c>
      <c r="U99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94" s="110">
        <f>IF(TAB_HISTORICO_MANUT[[#This Row],[EXPURGO Filhas]]="SIM",MAX(TAB_HISTORICO_MANUT[[#This Row],[Hora Final]]-TAB_HISTORICO_MANUT[[#This Row],[Hora Inicio]],0),0)</f>
        <v>0</v>
      </c>
      <c r="W99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9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94" s="117">
        <v>46272.039525462962</v>
      </c>
      <c r="Z994" s="118">
        <v>46272.049155092594</v>
      </c>
      <c r="AA994" s="119" t="s">
        <v>228</v>
      </c>
      <c r="AB994" s="119"/>
      <c r="AC994" s="115" t="s">
        <v>205</v>
      </c>
      <c r="AD994" s="117" t="s">
        <v>145</v>
      </c>
      <c r="AE994" s="117" t="s">
        <v>173</v>
      </c>
      <c r="AF994" s="122" t="s">
        <v>210</v>
      </c>
      <c r="AG994" s="123">
        <f>IF(TAB_HISTORICO_MANUT[[#This Row],[Hora Inicio]]="","",MONTH(TAB_HISTORICO_MANUT[[#This Row],[Hora Inicio]]))</f>
        <v>9</v>
      </c>
      <c r="AH994" s="120" t="s">
        <v>1525</v>
      </c>
      <c r="AI994" s="115" t="s">
        <v>21</v>
      </c>
      <c r="AJ994" s="115" t="s">
        <v>21</v>
      </c>
      <c r="AK994" s="115" t="s">
        <v>21</v>
      </c>
      <c r="AL994" s="115" t="s">
        <v>21</v>
      </c>
      <c r="AM994" s="121" t="s">
        <v>21</v>
      </c>
      <c r="AN994" s="115"/>
      <c r="AO994" s="115"/>
      <c r="AP994" s="115"/>
    </row>
    <row r="995" spans="1:42" ht="50.1" customHeight="1" x14ac:dyDescent="0.25">
      <c r="A995" s="115">
        <f>MONTH(TAB_HISTORICO_MANUT[[#This Row],[Hora Final]])-MONTH(TAB_HISTORICO_MANUT[[#This Row],[Hora Inicio]])</f>
        <v>0</v>
      </c>
      <c r="B995" s="116"/>
      <c r="C995" s="115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Inicio]]=Z994,TAB_HISTORICO_MANUT[[#This Row],[Equipamento]]=AA994,TAB_HISTORICO_MANUT[[#This Row],[Descricao Despacho]]=AD994),0,1)))</f>
        <v>0</v>
      </c>
      <c r="O99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99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99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995" s="107">
        <f>IF($Q995="","",(TAB_HISTORICO_MANUT[[#This Row],[Hora Final]]-TAB_HISTORICO_MANUT[[#This Row],[Hora Inicio]])*24)</f>
        <v>0.75972222222480923</v>
      </c>
      <c r="S99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95" s="109" t="str">
        <f>IF(AND(TAB_HISTORICO_MANUT[[#This Row],[EXPURGO Mãe]]="SIM",TAB_HISTORICO_MANUT[[#This Row],[Tipo]]="MÃE"),"EXP.MAE",IF(TAB_HISTORICO_MANUT[[#This Row],[EXPURGO Mãe]]="NÃO","NÃO EXP.MAE",T994))</f>
        <v>NÃO EXP.MAE</v>
      </c>
      <c r="U99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95" s="110">
        <f>IF(TAB_HISTORICO_MANUT[[#This Row],[EXPURGO Filhas]]="SIM",MAX(TAB_HISTORICO_MANUT[[#This Row],[Hora Final]]-TAB_HISTORICO_MANUT[[#This Row],[Hora Inicio]],0),0)</f>
        <v>0</v>
      </c>
      <c r="W99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9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95" s="117">
        <v>46272.049155092594</v>
      </c>
      <c r="Z995" s="118">
        <v>46272.080810185187</v>
      </c>
      <c r="AA995" s="119" t="s">
        <v>228</v>
      </c>
      <c r="AB995" s="119"/>
      <c r="AC995" s="115" t="s">
        <v>205</v>
      </c>
      <c r="AD995" s="117" t="s">
        <v>145</v>
      </c>
      <c r="AE995" s="117" t="s">
        <v>173</v>
      </c>
      <c r="AF995" s="122" t="s">
        <v>210</v>
      </c>
      <c r="AG995" s="123">
        <f>IF(TAB_HISTORICO_MANUT[[#This Row],[Hora Inicio]]="","",MONTH(TAB_HISTORICO_MANUT[[#This Row],[Hora Inicio]]))</f>
        <v>9</v>
      </c>
      <c r="AH995" s="120" t="s">
        <v>1526</v>
      </c>
      <c r="AI995" s="115" t="s">
        <v>21</v>
      </c>
      <c r="AJ995" s="115" t="s">
        <v>1542</v>
      </c>
      <c r="AK995" s="115" t="s">
        <v>291</v>
      </c>
      <c r="AL995" s="115" t="s">
        <v>292</v>
      </c>
      <c r="AM995" s="121" t="s">
        <v>294</v>
      </c>
      <c r="AN995" s="115"/>
      <c r="AO995" s="115"/>
      <c r="AP995" s="115"/>
    </row>
    <row r="996" spans="1:42" ht="50.1" customHeight="1" x14ac:dyDescent="0.25">
      <c r="A996" s="115">
        <f>MONTH(TAB_HISTORICO_MANUT[[#This Row],[Hora Final]])-MONTH(TAB_HISTORICO_MANUT[[#This Row],[Hora Inicio]])</f>
        <v>0</v>
      </c>
      <c r="B996" s="116"/>
      <c r="C996" s="115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Inicio]]=Z995,TAB_HISTORICO_MANUT[[#This Row],[Equipamento]]=AA995,TAB_HISTORICO_MANUT[[#This Row],[Descricao Despacho]]=AD995),0,1)))</f>
        <v>1</v>
      </c>
      <c r="O996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996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96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996" s="107">
        <f>IF($Q996="","",(TAB_HISTORICO_MANUT[[#This Row],[Hora Final]]-TAB_HISTORICO_MANUT[[#This Row],[Hora Inicio]])*24)</f>
        <v>1.8611111111822538</v>
      </c>
      <c r="S996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96" s="109" t="str">
        <f>IF(AND(TAB_HISTORICO_MANUT[[#This Row],[EXPURGO Mãe]]="SIM",TAB_HISTORICO_MANUT[[#This Row],[Tipo]]="MÃE"),"EXP.MAE",IF(TAB_HISTORICO_MANUT[[#This Row],[EXPURGO Mãe]]="NÃO","NÃO EXP.MAE",T995))</f>
        <v>NÃO EXP.MAE</v>
      </c>
      <c r="U996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96" s="110">
        <f>IF(TAB_HISTORICO_MANUT[[#This Row],[EXPURGO Filhas]]="SIM",MAX(TAB_HISTORICO_MANUT[[#This Row],[Hora Final]]-TAB_HISTORICO_MANUT[[#This Row],[Hora Inicio]],0),0)</f>
        <v>0</v>
      </c>
      <c r="W996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96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96" s="117">
        <v>46272.105081018519</v>
      </c>
      <c r="Z996" s="118">
        <v>46272.182627314818</v>
      </c>
      <c r="AA996" s="119" t="s">
        <v>228</v>
      </c>
      <c r="AB996" s="119" t="s">
        <v>1513</v>
      </c>
      <c r="AC996" s="115" t="s">
        <v>204</v>
      </c>
      <c r="AD996" s="117" t="s">
        <v>144</v>
      </c>
      <c r="AE996" s="117" t="s">
        <v>172</v>
      </c>
      <c r="AF996" s="122" t="s">
        <v>210</v>
      </c>
      <c r="AG996" s="123">
        <f>IF(TAB_HISTORICO_MANUT[[#This Row],[Hora Inicio]]="","",MONTH(TAB_HISTORICO_MANUT[[#This Row],[Hora Inicio]]))</f>
        <v>9</v>
      </c>
      <c r="AH996" s="120" t="s">
        <v>1527</v>
      </c>
      <c r="AI996" s="115" t="s">
        <v>24</v>
      </c>
      <c r="AJ996" s="115" t="s">
        <v>223</v>
      </c>
      <c r="AK996" s="115" t="s">
        <v>422</v>
      </c>
      <c r="AL996" s="115" t="s">
        <v>279</v>
      </c>
      <c r="AM996" s="115" t="s">
        <v>280</v>
      </c>
      <c r="AN996" s="115" t="s">
        <v>217</v>
      </c>
      <c r="AO996" s="115" t="s">
        <v>405</v>
      </c>
      <c r="AP996" s="115" t="s">
        <v>403</v>
      </c>
    </row>
    <row r="997" spans="1:42" ht="50.1" customHeight="1" x14ac:dyDescent="0.25">
      <c r="A997" s="43">
        <f>MONTH(TAB_HISTORICO_MANUT[[#This Row],[Hora Final]])-MONTH(TAB_HISTORICO_MANUT[[#This Row],[Hora Inicio]])</f>
        <v>0</v>
      </c>
      <c r="B997" s="42"/>
      <c r="C997" s="43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Inicio]]=Z996,TAB_HISTORICO_MANUT[[#This Row],[Equipamento]]=AA996,TAB_HISTORICO_MANUT[[#This Row],[Descricao Despacho]]=AD996),0,1)))</f>
        <v>1</v>
      </c>
      <c r="O99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997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99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997" s="50">
        <f>IF($Q997="","",(TAB_HISTORICO_MANUT[[#This Row],[Hora Final]]-TAB_HISTORICO_MANUT[[#This Row],[Hora Inicio]])*24)</f>
        <v>3.2108333333744667</v>
      </c>
      <c r="S99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97" s="54" t="str">
        <f>IF(AND(TAB_HISTORICO_MANUT[[#This Row],[EXPURGO Mãe]]="SIM",TAB_HISTORICO_MANUT[[#This Row],[Tipo]]="MÃE"),"EXP.MAE",IF(TAB_HISTORICO_MANUT[[#This Row],[EXPURGO Mãe]]="NÃO","NÃO EXP.MAE",T996))</f>
        <v>NÃO EXP.MAE</v>
      </c>
      <c r="U99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97" s="56">
        <f>IF(TAB_HISTORICO_MANUT[[#This Row],[EXPURGO Filhas]]="SIM",MAX(TAB_HISTORICO_MANUT[[#This Row],[Hora Final]]-TAB_HISTORICO_MANUT[[#This Row],[Hora Inicio]],0),0)</f>
        <v>0</v>
      </c>
      <c r="W99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9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97" s="46">
        <v>46273.314062500001</v>
      </c>
      <c r="Z997" s="47">
        <v>46273.447847222225</v>
      </c>
      <c r="AA997" s="48" t="s">
        <v>228</v>
      </c>
      <c r="AB997" s="48"/>
      <c r="AC997" s="43" t="s">
        <v>205</v>
      </c>
      <c r="AD997" s="46" t="s">
        <v>145</v>
      </c>
      <c r="AE997" s="46" t="s">
        <v>173</v>
      </c>
      <c r="AF997" s="88" t="s">
        <v>210</v>
      </c>
      <c r="AG997" s="105">
        <f>IF(TAB_HISTORICO_MANUT[[#This Row],[Hora Inicio]]="","",MONTH(TAB_HISTORICO_MANUT[[#This Row],[Hora Inicio]]))</f>
        <v>9</v>
      </c>
      <c r="AH997" s="58" t="s">
        <v>1533</v>
      </c>
      <c r="AI997" s="115" t="s">
        <v>21</v>
      </c>
      <c r="AJ997" s="115" t="s">
        <v>1540</v>
      </c>
      <c r="AK997" s="115" t="s">
        <v>291</v>
      </c>
      <c r="AL997" s="115" t="s">
        <v>1441</v>
      </c>
      <c r="AM997" s="121" t="s">
        <v>1453</v>
      </c>
      <c r="AN997" s="43"/>
      <c r="AO997" s="43"/>
      <c r="AP997" s="43"/>
    </row>
    <row r="998" spans="1:42" ht="50.1" customHeight="1" x14ac:dyDescent="0.25">
      <c r="A998" s="115">
        <f>MONTH(TAB_HISTORICO_MANUT[[#This Row],[Hora Final]])-MONTH(TAB_HISTORICO_MANUT[[#This Row],[Hora Inicio]])</f>
        <v>0</v>
      </c>
      <c r="B998" s="116"/>
      <c r="C998" s="115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Inicio]]=Z997,TAB_HISTORICO_MANUT[[#This Row],[Equipamento]]=AA997,TAB_HISTORICO_MANUT[[#This Row],[Descricao Despacho]]=AD997),0,1)))</f>
        <v>1</v>
      </c>
      <c r="O99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99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99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998" s="107">
        <f>IF($Q998="","",(TAB_HISTORICO_MANUT[[#This Row],[Hora Final]]-TAB_HISTORICO_MANUT[[#This Row],[Hora Inicio]])*24)</f>
        <v>3.5669444446102716</v>
      </c>
      <c r="S99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998" s="109" t="str">
        <f>IF(AND(TAB_HISTORICO_MANUT[[#This Row],[EXPURGO Mãe]]="SIM",TAB_HISTORICO_MANUT[[#This Row],[Tipo]]="MÃE"),"EXP.MAE",IF(TAB_HISTORICO_MANUT[[#This Row],[EXPURGO Mãe]]="NÃO","NÃO EXP.MAE",T997))</f>
        <v>NÃO EXP.MAE</v>
      </c>
      <c r="U99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98" s="110">
        <f>IF(TAB_HISTORICO_MANUT[[#This Row],[EXPURGO Filhas]]="SIM",MAX(TAB_HISTORICO_MANUT[[#This Row],[Hora Final]]-TAB_HISTORICO_MANUT[[#This Row],[Hora Inicio]],0),0)</f>
        <v>0</v>
      </c>
      <c r="W99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9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98" s="117">
        <v>46273.690567129626</v>
      </c>
      <c r="Z998" s="118">
        <v>46273.839189814818</v>
      </c>
      <c r="AA998" s="119" t="s">
        <v>228</v>
      </c>
      <c r="AB998" s="119"/>
      <c r="AC998" s="115" t="s">
        <v>205</v>
      </c>
      <c r="AD998" s="117" t="s">
        <v>145</v>
      </c>
      <c r="AE998" s="117" t="s">
        <v>173</v>
      </c>
      <c r="AF998" s="122" t="s">
        <v>210</v>
      </c>
      <c r="AG998" s="123">
        <f>IF(TAB_HISTORICO_MANUT[[#This Row],[Hora Inicio]]="","",MONTH(TAB_HISTORICO_MANUT[[#This Row],[Hora Inicio]]))</f>
        <v>9</v>
      </c>
      <c r="AH998" s="120" t="s">
        <v>1536</v>
      </c>
      <c r="AI998" s="115" t="s">
        <v>21</v>
      </c>
      <c r="AJ998" s="115" t="s">
        <v>764</v>
      </c>
      <c r="AK998" s="115" t="s">
        <v>291</v>
      </c>
      <c r="AL998" s="115" t="s">
        <v>292</v>
      </c>
      <c r="AM998" s="121" t="s">
        <v>294</v>
      </c>
      <c r="AN998" s="115"/>
      <c r="AO998" s="115"/>
      <c r="AP998" s="115"/>
    </row>
    <row r="999" spans="1:42" ht="50.1" customHeight="1" x14ac:dyDescent="0.25">
      <c r="A999" s="115">
        <f>MONTH(TAB_HISTORICO_MANUT[[#This Row],[Hora Final]])-MONTH(TAB_HISTORICO_MANUT[[#This Row],[Hora Inicio]])</f>
        <v>0</v>
      </c>
      <c r="B999" s="116"/>
      <c r="C999" s="115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Inicio]]=Z998,TAB_HISTORICO_MANUT[[#This Row],[Equipamento]]=AA998,TAB_HISTORICO_MANUT[[#This Row],[Descricao Despacho]]=AD998),0,1)))</f>
        <v>1</v>
      </c>
      <c r="O99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COMBATE INCENDIO</v>
      </c>
      <c r="P99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99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999" s="107">
        <f>IF($Q999="","",(TAB_HISTORICO_MANUT[[#This Row],[Hora Final]]-TAB_HISTORICO_MANUT[[#This Row],[Hora Inicio]])*24)</f>
        <v>3.6725000000442378</v>
      </c>
      <c r="S99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999" s="109" t="str">
        <f>IF(AND(TAB_HISTORICO_MANUT[[#This Row],[EXPURGO Mãe]]="SIM",TAB_HISTORICO_MANUT[[#This Row],[Tipo]]="MÃE"),"EXP.MAE",IF(TAB_HISTORICO_MANUT[[#This Row],[EXPURGO Mãe]]="NÃO","NÃO EXP.MAE",T998))</f>
        <v>EXP.MAE</v>
      </c>
      <c r="U99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999" s="110">
        <f>IF(TAB_HISTORICO_MANUT[[#This Row],[EXPURGO Filhas]]="SIM",MAX(TAB_HISTORICO_MANUT[[#This Row],[Hora Final]]-TAB_HISTORICO_MANUT[[#This Row],[Hora Inicio]],0),0)</f>
        <v>0</v>
      </c>
      <c r="W99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99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999" s="117">
        <v>46275.791493055556</v>
      </c>
      <c r="Z999" s="118">
        <v>46275.944513888891</v>
      </c>
      <c r="AA999" s="119" t="s">
        <v>228</v>
      </c>
      <c r="AB999" s="119" t="s">
        <v>1559</v>
      </c>
      <c r="AC999" s="115" t="s">
        <v>212</v>
      </c>
      <c r="AD999" s="117" t="s">
        <v>144</v>
      </c>
      <c r="AE999" s="117" t="s">
        <v>214</v>
      </c>
      <c r="AF999" s="122" t="s">
        <v>210</v>
      </c>
      <c r="AG999" s="123">
        <f>IF(TAB_HISTORICO_MANUT[[#This Row],[Hora Inicio]]="","",MONTH(TAB_HISTORICO_MANUT[[#This Row],[Hora Inicio]]))</f>
        <v>9</v>
      </c>
      <c r="AH999" s="120" t="s">
        <v>1565</v>
      </c>
      <c r="AI999" s="115" t="s">
        <v>152</v>
      </c>
      <c r="AJ999" s="115" t="s">
        <v>80</v>
      </c>
      <c r="AK999" s="115" t="s">
        <v>1490</v>
      </c>
      <c r="AL999" s="115" t="s">
        <v>354</v>
      </c>
      <c r="AM999" s="121" t="s">
        <v>355</v>
      </c>
      <c r="AN999" s="115" t="s">
        <v>215</v>
      </c>
      <c r="AO999" s="115" t="s">
        <v>842</v>
      </c>
      <c r="AP999" s="115" t="s">
        <v>843</v>
      </c>
    </row>
    <row r="1000" spans="1:42" ht="50.1" customHeight="1" x14ac:dyDescent="0.25">
      <c r="A1000" s="115">
        <f>MONTH(TAB_HISTORICO_MANUT[[#This Row],[Hora Final]])-MONTH(TAB_HISTORICO_MANUT[[#This Row],[Hora Inicio]])</f>
        <v>0</v>
      </c>
      <c r="B1000" s="116"/>
      <c r="C1000" s="115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Inicio]]=Z999,TAB_HISTORICO_MANUT[[#This Row],[Equipamento]]=AA999,TAB_HISTORICO_MANUT[[#This Row],[Descricao Despacho]]=AD999),0,1)))</f>
        <v>1</v>
      </c>
      <c r="O100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100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100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1000" s="107">
        <f>IF($Q1000="","",(TAB_HISTORICO_MANUT[[#This Row],[Hora Final]]-TAB_HISTORICO_MANUT[[#This Row],[Hora Inicio]])*24)</f>
        <v>0.48055555543396622</v>
      </c>
      <c r="S100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000" s="109" t="str">
        <f>IF(AND(TAB_HISTORICO_MANUT[[#This Row],[EXPURGO Mãe]]="SIM",TAB_HISTORICO_MANUT[[#This Row],[Tipo]]="MÃE"),"EXP.MAE",IF(TAB_HISTORICO_MANUT[[#This Row],[EXPURGO Mãe]]="NÃO","NÃO EXP.MAE",T999))</f>
        <v>NÃO EXP.MAE</v>
      </c>
      <c r="U100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00" s="110">
        <f>IF(TAB_HISTORICO_MANUT[[#This Row],[EXPURGO Filhas]]="SIM",MAX(TAB_HISTORICO_MANUT[[#This Row],[Hora Final]]-TAB_HISTORICO_MANUT[[#This Row],[Hora Inicio]],0),0)</f>
        <v>0</v>
      </c>
      <c r="W100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0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00" s="117">
        <v>46277.068240740744</v>
      </c>
      <c r="Z1000" s="118">
        <v>46277.088263888887</v>
      </c>
      <c r="AA1000" s="119" t="s">
        <v>228</v>
      </c>
      <c r="AB1000" s="119"/>
      <c r="AC1000" s="115" t="s">
        <v>205</v>
      </c>
      <c r="AD1000" s="117" t="s">
        <v>145</v>
      </c>
      <c r="AE1000" s="117" t="s">
        <v>173</v>
      </c>
      <c r="AF1000" s="122" t="s">
        <v>210</v>
      </c>
      <c r="AG1000" s="123">
        <f>IF(TAB_HISTORICO_MANUT[[#This Row],[Hora Inicio]]="","",MONTH(TAB_HISTORICO_MANUT[[#This Row],[Hora Inicio]]))</f>
        <v>9</v>
      </c>
      <c r="AH1000" s="120" t="s">
        <v>1569</v>
      </c>
      <c r="AI1000" s="115" t="s">
        <v>21</v>
      </c>
      <c r="AJ1000" s="115" t="s">
        <v>1623</v>
      </c>
      <c r="AK1000" s="115" t="s">
        <v>291</v>
      </c>
      <c r="AL1000" s="115" t="s">
        <v>1048</v>
      </c>
      <c r="AM1000" s="115" t="s">
        <v>294</v>
      </c>
      <c r="AN1000" s="115"/>
      <c r="AO1000" s="115"/>
      <c r="AP1000" s="115"/>
    </row>
    <row r="1001" spans="1:42" ht="50.1" customHeight="1" x14ac:dyDescent="0.25">
      <c r="A1001" s="43">
        <f>MONTH(TAB_HISTORICO_MANUT[[#This Row],[Hora Final]])-MONTH(TAB_HISTORICO_MANUT[[#This Row],[Hora Inicio]])</f>
        <v>0</v>
      </c>
      <c r="B1001" s="42"/>
      <c r="C1001" s="43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Inicio]]=Z1000,TAB_HISTORICO_MANUT[[#This Row],[Equipamento]]=AA1000,TAB_HISTORICO_MANUT[[#This Row],[Descricao Despacho]]=AD1000),0,1)))</f>
        <v>1</v>
      </c>
      <c r="O1001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ELETRICO</v>
      </c>
      <c r="P1001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001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001" s="50">
        <f>IF($Q1001="","",(TAB_HISTORICO_MANUT[[#This Row],[Hora Final]]-TAB_HISTORICO_MANUT[[#This Row],[Hora Inicio]])*24)</f>
        <v>5.5152777777984738</v>
      </c>
      <c r="S1001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001" s="54" t="str">
        <f>IF(AND(TAB_HISTORICO_MANUT[[#This Row],[EXPURGO Mãe]]="SIM",TAB_HISTORICO_MANUT[[#This Row],[Tipo]]="MÃE"),"EXP.MAE",IF(TAB_HISTORICO_MANUT[[#This Row],[EXPURGO Mãe]]="NÃO","NÃO EXP.MAE",T1000))</f>
        <v>NÃO EXP.MAE</v>
      </c>
      <c r="U1001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01" s="56">
        <f>IF(TAB_HISTORICO_MANUT[[#This Row],[EXPURGO Filhas]]="SIM",MAX(TAB_HISTORICO_MANUT[[#This Row],[Hora Final]]-TAB_HISTORICO_MANUT[[#This Row],[Hora Inicio]],0),0)</f>
        <v>0</v>
      </c>
      <c r="W1001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01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01" s="46">
        <v>46280.266724537039</v>
      </c>
      <c r="Z1001" s="47">
        <v>46280.496527777781</v>
      </c>
      <c r="AA1001" s="48" t="s">
        <v>228</v>
      </c>
      <c r="AB1001" s="48" t="s">
        <v>1576</v>
      </c>
      <c r="AC1001" s="43" t="s">
        <v>204</v>
      </c>
      <c r="AD1001" s="46" t="s">
        <v>144</v>
      </c>
      <c r="AE1001" s="46" t="s">
        <v>172</v>
      </c>
      <c r="AF1001" s="88" t="s">
        <v>210</v>
      </c>
      <c r="AG1001" s="105">
        <f>IF(TAB_HISTORICO_MANUT[[#This Row],[Hora Inicio]]="","",MONTH(TAB_HISTORICO_MANUT[[#This Row],[Hora Inicio]]))</f>
        <v>9</v>
      </c>
      <c r="AH1001" s="58" t="s">
        <v>1587</v>
      </c>
      <c r="AI1001" s="43" t="s">
        <v>22</v>
      </c>
      <c r="AJ1001" s="43" t="s">
        <v>1634</v>
      </c>
      <c r="AK1001" s="43" t="s">
        <v>288</v>
      </c>
      <c r="AL1001" s="43" t="s">
        <v>282</v>
      </c>
      <c r="AM1001" s="114" t="s">
        <v>276</v>
      </c>
      <c r="AN1001" s="43" t="s">
        <v>215</v>
      </c>
      <c r="AO1001" s="43" t="s">
        <v>408</v>
      </c>
      <c r="AP1001" s="43" t="s">
        <v>1588</v>
      </c>
    </row>
    <row r="1002" spans="1:42" ht="50.1" customHeight="1" x14ac:dyDescent="0.25">
      <c r="A1002" s="115">
        <f>MONTH(TAB_HISTORICO_MANUT[[#This Row],[Hora Final]])-MONTH(TAB_HISTORICO_MANUT[[#This Row],[Hora Inicio]])</f>
        <v>0</v>
      </c>
      <c r="B1002" s="116"/>
      <c r="C1002" s="115"/>
      <c r="D1002" s="116"/>
      <c r="E1002" s="116"/>
      <c r="F1002" s="116"/>
      <c r="G1002" s="116"/>
      <c r="H1002" s="116"/>
      <c r="I1002" s="116"/>
      <c r="J1002" s="116"/>
      <c r="K1002" s="116"/>
      <c r="L1002" s="116"/>
      <c r="M1002" s="116"/>
      <c r="N100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Inicio]]=Z1001,TAB_HISTORICO_MANUT[[#This Row],[Equipamento]]=AA1001,TAB_HISTORICO_MANUT[[#This Row],[Descricao Despacho]]=AD1001),0,1)))</f>
        <v>1</v>
      </c>
      <c r="O100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ESTRUTURA</v>
      </c>
      <c r="P100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00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002" s="107">
        <f>IF($Q1002="","",(TAB_HISTORICO_MANUT[[#This Row],[Hora Final]]-TAB_HISTORICO_MANUT[[#This Row],[Hora Inicio]])*24)</f>
        <v>0.71194444445427507</v>
      </c>
      <c r="S100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002" s="109" t="str">
        <f>IF(AND(TAB_HISTORICO_MANUT[[#This Row],[EXPURGO Mãe]]="SIM",TAB_HISTORICO_MANUT[[#This Row],[Tipo]]="MÃE"),"EXP.MAE",IF(TAB_HISTORICO_MANUT[[#This Row],[EXPURGO Mãe]]="NÃO","NÃO EXP.MAE",T1001))</f>
        <v>NÃO EXP.MAE</v>
      </c>
      <c r="U100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02" s="110">
        <f>IF(TAB_HISTORICO_MANUT[[#This Row],[EXPURGO Filhas]]="SIM",MAX(TAB_HISTORICO_MANUT[[#This Row],[Hora Final]]-TAB_HISTORICO_MANUT[[#This Row],[Hora Inicio]],0),0)</f>
        <v>0</v>
      </c>
      <c r="W100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0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02" s="117">
        <v>46280.793171296296</v>
      </c>
      <c r="Z1002" s="118">
        <v>46280.822835648149</v>
      </c>
      <c r="AA1002" s="119" t="s">
        <v>228</v>
      </c>
      <c r="AB1002" s="119" t="s">
        <v>1579</v>
      </c>
      <c r="AC1002" s="115" t="s">
        <v>204</v>
      </c>
      <c r="AD1002" s="117" t="s">
        <v>144</v>
      </c>
      <c r="AE1002" s="117" t="s">
        <v>172</v>
      </c>
      <c r="AF1002" s="122" t="s">
        <v>210</v>
      </c>
      <c r="AG1002" s="123">
        <f>IF(TAB_HISTORICO_MANUT[[#This Row],[Hora Inicio]]="","",MONTH(TAB_HISTORICO_MANUT[[#This Row],[Hora Inicio]]))</f>
        <v>9</v>
      </c>
      <c r="AH1002" s="120" t="s">
        <v>1592</v>
      </c>
      <c r="AI1002" s="115" t="s">
        <v>28</v>
      </c>
      <c r="AJ1002" s="115" t="s">
        <v>30</v>
      </c>
      <c r="AK1002" s="115" t="s">
        <v>644</v>
      </c>
      <c r="AL1002" s="115" t="s">
        <v>275</v>
      </c>
      <c r="AM1002" s="121" t="s">
        <v>276</v>
      </c>
      <c r="AN1002" s="115" t="s">
        <v>217</v>
      </c>
      <c r="AO1002" s="115" t="s">
        <v>316</v>
      </c>
      <c r="AP1002" s="115" t="s">
        <v>1063</v>
      </c>
    </row>
    <row r="1003" spans="1:42" ht="50.1" customHeight="1" x14ac:dyDescent="0.25">
      <c r="A1003" s="43">
        <f>MONTH(TAB_HISTORICO_MANUT[[#This Row],[Hora Final]])-MONTH(TAB_HISTORICO_MANUT[[#This Row],[Hora Inicio]])</f>
        <v>0</v>
      </c>
      <c r="B1003" s="42"/>
      <c r="C1003" s="43"/>
      <c r="D1003" s="42"/>
      <c r="E1003" s="42"/>
      <c r="F1003" s="42"/>
      <c r="G1003" s="42"/>
      <c r="H1003" s="42"/>
      <c r="I1003" s="42"/>
      <c r="J1003" s="42"/>
      <c r="K1003" s="42"/>
      <c r="L1003" s="42"/>
      <c r="M1003" s="42"/>
      <c r="N100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Inicio]]=Z1002,TAB_HISTORICO_MANUT[[#This Row],[Equipamento]]=AA1002,TAB_HISTORICO_MANUT[[#This Row],[Descricao Despacho]]=AD1002),0,1)))</f>
        <v>1</v>
      </c>
      <c r="O100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1003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100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1003" s="50">
        <f>IF($Q1003="","",(TAB_HISTORICO_MANUT[[#This Row],[Hora Final]]-TAB_HISTORICO_MANUT[[#This Row],[Hora Inicio]])*24)</f>
        <v>1.214999999909196</v>
      </c>
      <c r="S100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003" s="54" t="str">
        <f>IF(AND(TAB_HISTORICO_MANUT[[#This Row],[EXPURGO Mãe]]="SIM",TAB_HISTORICO_MANUT[[#This Row],[Tipo]]="MÃE"),"EXP.MAE",IF(TAB_HISTORICO_MANUT[[#This Row],[EXPURGO Mãe]]="NÃO","NÃO EXP.MAE",T1002))</f>
        <v>NÃO EXP.MAE</v>
      </c>
      <c r="U100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03" s="56">
        <f>IF(TAB_HISTORICO_MANUT[[#This Row],[EXPURGO Filhas]]="SIM",MAX(TAB_HISTORICO_MANUT[[#This Row],[Hora Final]]-TAB_HISTORICO_MANUT[[#This Row],[Hora Inicio]],0),0)</f>
        <v>0</v>
      </c>
      <c r="W100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0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03" s="46">
        <v>46282.45684027778</v>
      </c>
      <c r="Z1003" s="47">
        <v>46282.507465277777</v>
      </c>
      <c r="AA1003" s="48" t="s">
        <v>228</v>
      </c>
      <c r="AB1003" s="48"/>
      <c r="AC1003" s="43" t="s">
        <v>882</v>
      </c>
      <c r="AD1003" s="46" t="s">
        <v>146</v>
      </c>
      <c r="AE1003" s="46" t="s">
        <v>883</v>
      </c>
      <c r="AF1003" s="88" t="s">
        <v>210</v>
      </c>
      <c r="AG1003" s="105">
        <f>IF(TAB_HISTORICO_MANUT[[#This Row],[Hora Inicio]]="","",MONTH(TAB_HISTORICO_MANUT[[#This Row],[Hora Inicio]]))</f>
        <v>9</v>
      </c>
      <c r="AH1003" s="58" t="s">
        <v>751</v>
      </c>
      <c r="AI1003" s="43" t="s">
        <v>25</v>
      </c>
      <c r="AJ1003" s="43" t="s">
        <v>25</v>
      </c>
      <c r="AK1003" s="43" t="s">
        <v>25</v>
      </c>
      <c r="AL1003" s="43" t="s">
        <v>25</v>
      </c>
      <c r="AM1003" s="114" t="s">
        <v>25</v>
      </c>
      <c r="AN1003" s="43"/>
      <c r="AO1003" s="43"/>
      <c r="AP1003" s="43"/>
    </row>
    <row r="1004" spans="1:42" ht="50.1" customHeight="1" x14ac:dyDescent="0.25">
      <c r="A1004" s="115">
        <f>MONTH(TAB_HISTORICO_MANUT[[#This Row],[Hora Final]])-MONTH(TAB_HISTORICO_MANUT[[#This Row],[Hora Inicio]])</f>
        <v>0</v>
      </c>
      <c r="B1004" s="116"/>
      <c r="C1004" s="115"/>
      <c r="D1004" s="116"/>
      <c r="E1004" s="116"/>
      <c r="F1004" s="116"/>
      <c r="G1004" s="116"/>
      <c r="H1004" s="116"/>
      <c r="I1004" s="116"/>
      <c r="J1004" s="116"/>
      <c r="K1004" s="116"/>
      <c r="L1004" s="116"/>
      <c r="M1004" s="116"/>
      <c r="N100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Inicio]]=Z1003,TAB_HISTORICO_MANUT[[#This Row],[Equipamento]]=AA1003,TAB_HISTORICO_MANUT[[#This Row],[Descricao Despacho]]=AD1003),0,1)))</f>
        <v>1</v>
      </c>
      <c r="O100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100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00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004" s="107">
        <f>IF($Q1004="","",(TAB_HISTORICO_MANUT[[#This Row],[Hora Final]]-TAB_HISTORICO_MANUT[[#This Row],[Hora Inicio]])*24)</f>
        <v>0.51111111114732921</v>
      </c>
      <c r="S100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004" s="109" t="str">
        <f>IF(AND(TAB_HISTORICO_MANUT[[#This Row],[EXPURGO Mãe]]="SIM",TAB_HISTORICO_MANUT[[#This Row],[Tipo]]="MÃE"),"EXP.MAE",IF(TAB_HISTORICO_MANUT[[#This Row],[EXPURGO Mãe]]="NÃO","NÃO EXP.MAE",T1003))</f>
        <v>NÃO EXP.MAE</v>
      </c>
      <c r="U100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04" s="110">
        <f>IF(TAB_HISTORICO_MANUT[[#This Row],[EXPURGO Filhas]]="SIM",MAX(TAB_HISTORICO_MANUT[[#This Row],[Hora Final]]-TAB_HISTORICO_MANUT[[#This Row],[Hora Inicio]],0),0)</f>
        <v>0</v>
      </c>
      <c r="W100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0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04" s="117">
        <v>46282.523564814815</v>
      </c>
      <c r="Z1004" s="118">
        <v>46282.544861111113</v>
      </c>
      <c r="AA1004" s="119" t="s">
        <v>228</v>
      </c>
      <c r="AB1004" s="119" t="s">
        <v>1580</v>
      </c>
      <c r="AC1004" s="115" t="s">
        <v>204</v>
      </c>
      <c r="AD1004" s="117" t="s">
        <v>144</v>
      </c>
      <c r="AE1004" s="117" t="s">
        <v>172</v>
      </c>
      <c r="AF1004" s="122" t="s">
        <v>210</v>
      </c>
      <c r="AG1004" s="123">
        <f>IF(TAB_HISTORICO_MANUT[[#This Row],[Hora Inicio]]="","",MONTH(TAB_HISTORICO_MANUT[[#This Row],[Hora Inicio]]))</f>
        <v>9</v>
      </c>
      <c r="AH1004" s="120" t="s">
        <v>1593</v>
      </c>
      <c r="AI1004" s="115" t="s">
        <v>23</v>
      </c>
      <c r="AJ1004" s="115" t="s">
        <v>23</v>
      </c>
      <c r="AK1004" s="115" t="s">
        <v>23</v>
      </c>
      <c r="AL1004" s="115" t="s">
        <v>1627</v>
      </c>
      <c r="AM1004" s="121"/>
      <c r="AN1004" s="115" t="s">
        <v>217</v>
      </c>
      <c r="AO1004" s="115" t="s">
        <v>1524</v>
      </c>
      <c r="AP1004" s="115" t="s">
        <v>1594</v>
      </c>
    </row>
    <row r="1005" spans="1:42" ht="50.1" customHeight="1" x14ac:dyDescent="0.25">
      <c r="A1005" s="43">
        <f>MONTH(TAB_HISTORICO_MANUT[[#This Row],[Hora Final]])-MONTH(TAB_HISTORICO_MANUT[[#This Row],[Hora Inicio]])</f>
        <v>0</v>
      </c>
      <c r="B1005" s="42"/>
      <c r="C1005" s="43"/>
      <c r="D1005" s="42"/>
      <c r="E1005" s="42"/>
      <c r="F1005" s="42"/>
      <c r="G1005" s="42"/>
      <c r="H1005" s="42"/>
      <c r="I1005" s="42"/>
      <c r="J1005" s="42"/>
      <c r="K1005" s="42"/>
      <c r="L1005" s="42"/>
      <c r="M1005" s="42"/>
      <c r="N1005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Inicio]]=Z1004,TAB_HISTORICO_MANUT[[#This Row],[Equipamento]]=AA1004,TAB_HISTORICO_MANUT[[#This Row],[Descricao Despacho]]=AD1004),0,1)))</f>
        <v>1</v>
      </c>
      <c r="O1005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1005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1005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1005" s="50">
        <f>IF($Q1005="","",(TAB_HISTORICO_MANUT[[#This Row],[Hora Final]]-TAB_HISTORICO_MANUT[[#This Row],[Hora Inicio]])*24)</f>
        <v>0.74027777777519077</v>
      </c>
      <c r="S1005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005" s="54" t="str">
        <f>IF(AND(TAB_HISTORICO_MANUT[[#This Row],[EXPURGO Mãe]]="SIM",TAB_HISTORICO_MANUT[[#This Row],[Tipo]]="MÃE"),"EXP.MAE",IF(TAB_HISTORICO_MANUT[[#This Row],[EXPURGO Mãe]]="NÃO","NÃO EXP.MAE",T1004))</f>
        <v>NÃO EXP.MAE</v>
      </c>
      <c r="U1005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05" s="56">
        <f>IF(TAB_HISTORICO_MANUT[[#This Row],[EXPURGO Filhas]]="SIM",MAX(TAB_HISTORICO_MANUT[[#This Row],[Hora Final]]-TAB_HISTORICO_MANUT[[#This Row],[Hora Inicio]],0),0)</f>
        <v>0</v>
      </c>
      <c r="W1005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05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05" s="46">
        <v>46282.894131944442</v>
      </c>
      <c r="Z1005" s="47">
        <v>46282.924976851849</v>
      </c>
      <c r="AA1005" s="48" t="s">
        <v>228</v>
      </c>
      <c r="AB1005" s="48"/>
      <c r="AC1005" s="43" t="s">
        <v>205</v>
      </c>
      <c r="AD1005" s="46" t="s">
        <v>145</v>
      </c>
      <c r="AE1005" s="46" t="s">
        <v>173</v>
      </c>
      <c r="AF1005" s="88" t="s">
        <v>210</v>
      </c>
      <c r="AG1005" s="105">
        <f>IF(TAB_HISTORICO_MANUT[[#This Row],[Hora Inicio]]="","",MONTH(TAB_HISTORICO_MANUT[[#This Row],[Hora Inicio]]))</f>
        <v>9</v>
      </c>
      <c r="AH1005" s="58" t="s">
        <v>1036</v>
      </c>
      <c r="AI1005" s="43" t="s">
        <v>21</v>
      </c>
      <c r="AJ1005" s="43" t="s">
        <v>21</v>
      </c>
      <c r="AK1005" s="43" t="s">
        <v>21</v>
      </c>
      <c r="AL1005" s="43" t="s">
        <v>21</v>
      </c>
      <c r="AM1005" s="114" t="s">
        <v>21</v>
      </c>
      <c r="AN1005" s="43"/>
      <c r="AO1005" s="43"/>
      <c r="AP1005" s="43"/>
    </row>
    <row r="1006" spans="1:42" ht="50.1" customHeight="1" x14ac:dyDescent="0.25">
      <c r="A1006" s="43">
        <f>MONTH(TAB_HISTORICO_MANUT[[#This Row],[Hora Final]])-MONTH(TAB_HISTORICO_MANUT[[#This Row],[Hora Inicio]])</f>
        <v>0</v>
      </c>
      <c r="B1006" s="42"/>
      <c r="C1006" s="43"/>
      <c r="D1006" s="42"/>
      <c r="E1006" s="42"/>
      <c r="F1006" s="42"/>
      <c r="G1006" s="42"/>
      <c r="H1006" s="42"/>
      <c r="I1006" s="42"/>
      <c r="J1006" s="42"/>
      <c r="K1006" s="42"/>
      <c r="L1006" s="42"/>
      <c r="M1006" s="42"/>
      <c r="N100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Inicio]]=Z1005,TAB_HISTORICO_MANUT[[#This Row],[Equipamento]]=AA1005,TAB_HISTORICO_MANUT[[#This Row],[Descricao Despacho]]=AD1005),0,1)))</f>
        <v>1</v>
      </c>
      <c r="O100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1006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00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006" s="50">
        <f>IF($Q1006="","",(TAB_HISTORICO_MANUT[[#This Row],[Hora Final]]-TAB_HISTORICO_MANUT[[#This Row],[Hora Inicio]])*24)</f>
        <v>2.4319444445427507</v>
      </c>
      <c r="S100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006" s="54" t="str">
        <f>IF(AND(TAB_HISTORICO_MANUT[[#This Row],[EXPURGO Mãe]]="SIM",TAB_HISTORICO_MANUT[[#This Row],[Tipo]]="MÃE"),"EXP.MAE",IF(TAB_HISTORICO_MANUT[[#This Row],[EXPURGO Mãe]]="NÃO","NÃO EXP.MAE",T1005))</f>
        <v>NÃO EXP.MAE</v>
      </c>
      <c r="U100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06" s="56">
        <f>IF(TAB_HISTORICO_MANUT[[#This Row],[EXPURGO Filhas]]="SIM",MAX(TAB_HISTORICO_MANUT[[#This Row],[Hora Final]]-TAB_HISTORICO_MANUT[[#This Row],[Hora Inicio]],0),0)</f>
        <v>0</v>
      </c>
      <c r="W100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0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06" s="46">
        <v>46283.827592592592</v>
      </c>
      <c r="Z1006" s="47">
        <v>46283.928923611114</v>
      </c>
      <c r="AA1006" s="48" t="s">
        <v>228</v>
      </c>
      <c r="AB1006" s="48" t="s">
        <v>1582</v>
      </c>
      <c r="AC1006" s="43" t="s">
        <v>204</v>
      </c>
      <c r="AD1006" s="46" t="s">
        <v>144</v>
      </c>
      <c r="AE1006" s="46" t="s">
        <v>172</v>
      </c>
      <c r="AF1006" s="88" t="s">
        <v>210</v>
      </c>
      <c r="AG1006" s="105">
        <f>IF(TAB_HISTORICO_MANUT[[#This Row],[Hora Inicio]]="","",MONTH(TAB_HISTORICO_MANUT[[#This Row],[Hora Inicio]]))</f>
        <v>9</v>
      </c>
      <c r="AH1006" s="58" t="s">
        <v>1596</v>
      </c>
      <c r="AI1006" s="43" t="s">
        <v>24</v>
      </c>
      <c r="AJ1006" s="43" t="s">
        <v>223</v>
      </c>
      <c r="AK1006" s="43" t="s">
        <v>422</v>
      </c>
      <c r="AL1006" s="43" t="s">
        <v>279</v>
      </c>
      <c r="AM1006" s="114" t="s">
        <v>280</v>
      </c>
      <c r="AN1006" s="43" t="s">
        <v>217</v>
      </c>
      <c r="AO1006" s="43" t="s">
        <v>405</v>
      </c>
      <c r="AP1006" s="43" t="s">
        <v>906</v>
      </c>
    </row>
    <row r="1007" spans="1:42" ht="50.1" customHeight="1" x14ac:dyDescent="0.25">
      <c r="A1007" s="115">
        <f>MONTH(TAB_HISTORICO_MANUT[[#This Row],[Hora Final]])-MONTH(TAB_HISTORICO_MANUT[[#This Row],[Hora Inicio]])</f>
        <v>0</v>
      </c>
      <c r="B1007" s="116"/>
      <c r="C1007" s="115"/>
      <c r="D1007" s="116"/>
      <c r="E1007" s="116"/>
      <c r="F1007" s="116"/>
      <c r="G1007" s="116"/>
      <c r="H1007" s="116"/>
      <c r="I1007" s="116"/>
      <c r="J1007" s="116"/>
      <c r="K1007" s="116"/>
      <c r="L1007" s="116"/>
      <c r="M1007" s="116"/>
      <c r="N1007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Inicio]]=Z1006,TAB_HISTORICO_MANUT[[#This Row],[Equipamento]]=AA1006,TAB_HISTORICO_MANUT[[#This Row],[Descricao Despacho]]=AD1006),0,1)))</f>
        <v>1</v>
      </c>
      <c r="O1007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MOTOR DE COMBUSTÃO</v>
      </c>
      <c r="P1007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007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007" s="107">
        <f>IF($Q1007="","",(TAB_HISTORICO_MANUT[[#This Row],[Hora Final]]-TAB_HISTORICO_MANUT[[#This Row],[Hora Inicio]])*24)</f>
        <v>2.9127777778194286</v>
      </c>
      <c r="S1007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007" s="109" t="str">
        <f>IF(AND(TAB_HISTORICO_MANUT[[#This Row],[EXPURGO Mãe]]="SIM",TAB_HISTORICO_MANUT[[#This Row],[Tipo]]="MÃE"),"EXP.MAE",IF(TAB_HISTORICO_MANUT[[#This Row],[EXPURGO Mãe]]="NÃO","NÃO EXP.MAE",T1006))</f>
        <v>NÃO EXP.MAE</v>
      </c>
      <c r="U1007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07" s="110">
        <f>IF(TAB_HISTORICO_MANUT[[#This Row],[EXPURGO Filhas]]="SIM",MAX(TAB_HISTORICO_MANUT[[#This Row],[Hora Final]]-TAB_HISTORICO_MANUT[[#This Row],[Hora Inicio]],0),0)</f>
        <v>0</v>
      </c>
      <c r="W1007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07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07" s="117">
        <v>46286.204398148147</v>
      </c>
      <c r="Z1007" s="118">
        <v>46286.32576388889</v>
      </c>
      <c r="AA1007" s="119" t="s">
        <v>228</v>
      </c>
      <c r="AB1007" s="119"/>
      <c r="AC1007" s="115" t="s">
        <v>204</v>
      </c>
      <c r="AD1007" s="117" t="s">
        <v>144</v>
      </c>
      <c r="AE1007" s="117" t="s">
        <v>172</v>
      </c>
      <c r="AF1007" s="122" t="s">
        <v>210</v>
      </c>
      <c r="AG1007" s="123">
        <f>IF(TAB_HISTORICO_MANUT[[#This Row],[Hora Inicio]]="","",MONTH(TAB_HISTORICO_MANUT[[#This Row],[Hora Inicio]]))</f>
        <v>9</v>
      </c>
      <c r="AH1007" s="120" t="s">
        <v>1605</v>
      </c>
      <c r="AI1007" s="115" t="s">
        <v>23</v>
      </c>
      <c r="AJ1007" s="115"/>
      <c r="AK1007" s="115" t="s">
        <v>474</v>
      </c>
      <c r="AL1007" s="115" t="s">
        <v>540</v>
      </c>
      <c r="AM1007" s="121" t="s">
        <v>541</v>
      </c>
      <c r="AN1007" s="115"/>
      <c r="AO1007" s="115"/>
      <c r="AP1007" s="115"/>
    </row>
    <row r="1008" spans="1:42" ht="50.1" customHeight="1" x14ac:dyDescent="0.25">
      <c r="A1008" s="43">
        <f>MONTH(TAB_HISTORICO_MANUT[[#This Row],[Hora Final]])-MONTH(TAB_HISTORICO_MANUT[[#This Row],[Hora Inicio]])</f>
        <v>0</v>
      </c>
      <c r="B1008" s="42"/>
      <c r="C1008" s="43"/>
      <c r="D1008" s="42"/>
      <c r="E1008" s="42"/>
      <c r="F1008" s="42"/>
      <c r="G1008" s="42"/>
      <c r="H1008" s="42"/>
      <c r="I1008" s="42"/>
      <c r="J1008" s="42"/>
      <c r="K1008" s="42"/>
      <c r="L1008" s="42"/>
      <c r="M1008" s="42"/>
      <c r="N1008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Inicio]]=Z1007,TAB_HISTORICO_MANUT[[#This Row],[Equipamento]]=AA1007,TAB_HISTORICO_MANUT[[#This Row],[Descricao Despacho]]=AD1007),0,1)))</f>
        <v>1</v>
      </c>
      <c r="O1008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1008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1008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1008" s="50">
        <f>IF($Q1008="","",(TAB_HISTORICO_MANUT[[#This Row],[Hora Final]]-TAB_HISTORICO_MANUT[[#This Row],[Hora Inicio]])*24)</f>
        <v>0.48305555549450219</v>
      </c>
      <c r="S1008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1008" s="54" t="str">
        <f>IF(AND(TAB_HISTORICO_MANUT[[#This Row],[EXPURGO Mãe]]="SIM",TAB_HISTORICO_MANUT[[#This Row],[Tipo]]="MÃE"),"EXP.MAE",IF(TAB_HISTORICO_MANUT[[#This Row],[EXPURGO Mãe]]="NÃO","NÃO EXP.MAE",T1007))</f>
        <v>EXP.MAE</v>
      </c>
      <c r="U1008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08" s="56">
        <f>IF(TAB_HISTORICO_MANUT[[#This Row],[EXPURGO Filhas]]="SIM",MAX(TAB_HISTORICO_MANUT[[#This Row],[Hora Final]]-TAB_HISTORICO_MANUT[[#This Row],[Hora Inicio]],0),0)</f>
        <v>0</v>
      </c>
      <c r="W1008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08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08" s="46">
        <v>46286.881076388891</v>
      </c>
      <c r="Z1008" s="47">
        <v>46286.901203703703</v>
      </c>
      <c r="AA1008" s="48" t="s">
        <v>228</v>
      </c>
      <c r="AB1008" s="48"/>
      <c r="AC1008" s="43" t="s">
        <v>524</v>
      </c>
      <c r="AD1008" s="46" t="s">
        <v>145</v>
      </c>
      <c r="AE1008" s="46" t="s">
        <v>180</v>
      </c>
      <c r="AF1008" s="88" t="s">
        <v>210</v>
      </c>
      <c r="AG1008" s="105">
        <f>IF(TAB_HISTORICO_MANUT[[#This Row],[Hora Inicio]]="","",MONTH(TAB_HISTORICO_MANUT[[#This Row],[Hora Inicio]]))</f>
        <v>9</v>
      </c>
      <c r="AH1008" s="58"/>
      <c r="AI1008" s="43" t="s">
        <v>21</v>
      </c>
      <c r="AJ1008" s="43" t="s">
        <v>21</v>
      </c>
      <c r="AK1008" s="43" t="s">
        <v>21</v>
      </c>
      <c r="AL1008" s="43" t="s">
        <v>21</v>
      </c>
      <c r="AM1008" s="43" t="s">
        <v>21</v>
      </c>
      <c r="AN1008" s="43"/>
      <c r="AO1008" s="43"/>
      <c r="AP1008" s="43"/>
    </row>
    <row r="1009" spans="1:42" ht="50.1" customHeight="1" x14ac:dyDescent="0.25">
      <c r="A1009" s="115">
        <f>MONTH(TAB_HISTORICO_MANUT[[#This Row],[Hora Final]])-MONTH(TAB_HISTORICO_MANUT[[#This Row],[Hora Inicio]])</f>
        <v>0</v>
      </c>
      <c r="B1009" s="116"/>
      <c r="C1009" s="115"/>
      <c r="D1009" s="116"/>
      <c r="E1009" s="116"/>
      <c r="F1009" s="116"/>
      <c r="G1009" s="116"/>
      <c r="H1009" s="116"/>
      <c r="I1009" s="116"/>
      <c r="J1009" s="116"/>
      <c r="K1009" s="116"/>
      <c r="L1009" s="116"/>
      <c r="M1009" s="116"/>
      <c r="N100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Inicio]]=Z1008,TAB_HISTORICO_MANUT[[#This Row],[Equipamento]]=AA1008,TAB_HISTORICO_MANUT[[#This Row],[Descricao Despacho]]=AD1008),0,1)))</f>
        <v>0</v>
      </c>
      <c r="O100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100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100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1009" s="107">
        <f>IF($Q1009="","",(TAB_HISTORICO_MANUT[[#This Row],[Hora Final]]-TAB_HISTORICO_MANUT[[#This Row],[Hora Inicio]])*24)</f>
        <v>0.49583333329064772</v>
      </c>
      <c r="S100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009" s="109" t="str">
        <f>IF(AND(TAB_HISTORICO_MANUT[[#This Row],[EXPURGO Mãe]]="SIM",TAB_HISTORICO_MANUT[[#This Row],[Tipo]]="MÃE"),"EXP.MAE",IF(TAB_HISTORICO_MANUT[[#This Row],[EXPURGO Mãe]]="NÃO","NÃO EXP.MAE",T1008))</f>
        <v>NÃO EXP.MAE</v>
      </c>
      <c r="U100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09" s="110">
        <f>IF(TAB_HISTORICO_MANUT[[#This Row],[EXPURGO Filhas]]="SIM",MAX(TAB_HISTORICO_MANUT[[#This Row],[Hora Final]]-TAB_HISTORICO_MANUT[[#This Row],[Hora Inicio]],0),0)</f>
        <v>0</v>
      </c>
      <c r="W100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0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09" s="117">
        <v>46286.901203703703</v>
      </c>
      <c r="Z1009" s="118">
        <v>46286.921863425923</v>
      </c>
      <c r="AA1009" s="119" t="s">
        <v>228</v>
      </c>
      <c r="AB1009" s="119"/>
      <c r="AC1009" s="115" t="s">
        <v>205</v>
      </c>
      <c r="AD1009" s="117" t="s">
        <v>145</v>
      </c>
      <c r="AE1009" s="117" t="s">
        <v>173</v>
      </c>
      <c r="AF1009" s="122" t="s">
        <v>210</v>
      </c>
      <c r="AG1009" s="123">
        <f>IF(TAB_HISTORICO_MANUT[[#This Row],[Hora Inicio]]="","",MONTH(TAB_HISTORICO_MANUT[[#This Row],[Hora Inicio]]))</f>
        <v>9</v>
      </c>
      <c r="AH1009" s="120"/>
      <c r="AI1009" s="115" t="s">
        <v>21</v>
      </c>
      <c r="AJ1009" s="115" t="s">
        <v>21</v>
      </c>
      <c r="AK1009" s="115" t="s">
        <v>21</v>
      </c>
      <c r="AL1009" s="115" t="s">
        <v>21</v>
      </c>
      <c r="AM1009" s="121" t="s">
        <v>21</v>
      </c>
      <c r="AN1009" s="115"/>
      <c r="AO1009" s="115"/>
      <c r="AP1009" s="115"/>
    </row>
    <row r="1010" spans="1:42" ht="50.1" customHeight="1" x14ac:dyDescent="0.25">
      <c r="A1010" s="43">
        <f>MONTH(TAB_HISTORICO_MANUT[[#This Row],[Hora Final]])-MONTH(TAB_HISTORICO_MANUT[[#This Row],[Hora Inicio]])</f>
        <v>0</v>
      </c>
      <c r="B1010" s="42"/>
      <c r="C1010" s="43"/>
      <c r="D1010" s="42"/>
      <c r="E1010" s="42"/>
      <c r="F1010" s="42"/>
      <c r="G1010" s="42"/>
      <c r="H1010" s="42"/>
      <c r="I1010" s="42"/>
      <c r="J1010" s="42"/>
      <c r="K1010" s="42"/>
      <c r="L1010" s="42"/>
      <c r="M1010" s="42"/>
      <c r="N1010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Inicio]]=Z1009,TAB_HISTORICO_MANUT[[#This Row],[Equipamento]]=AA1009,TAB_HISTORICO_MANUT[[#This Row],[Descricao Despacho]]=AD1009),0,1)))</f>
        <v>1</v>
      </c>
      <c r="O1010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1010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1010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1010" s="50">
        <f>IF($Q1010="","",(TAB_HISTORICO_MANUT[[#This Row],[Hora Final]]-TAB_HISTORICO_MANUT[[#This Row],[Hora Inicio]])*24)</f>
        <v>0.343611111107748</v>
      </c>
      <c r="S1010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1010" s="54" t="str">
        <f>IF(AND(TAB_HISTORICO_MANUT[[#This Row],[EXPURGO Mãe]]="SIM",TAB_HISTORICO_MANUT[[#This Row],[Tipo]]="MÃE"),"EXP.MAE",IF(TAB_HISTORICO_MANUT[[#This Row],[EXPURGO Mãe]]="NÃO","NÃO EXP.MAE",T1009))</f>
        <v>EXP.MAE</v>
      </c>
      <c r="U1010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10" s="56">
        <f>IF(TAB_HISTORICO_MANUT[[#This Row],[EXPURGO Filhas]]="SIM",MAX(TAB_HISTORICO_MANUT[[#This Row],[Hora Final]]-TAB_HISTORICO_MANUT[[#This Row],[Hora Inicio]],0),0)</f>
        <v>0</v>
      </c>
      <c r="W1010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10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10" s="46">
        <v>46288.117708333331</v>
      </c>
      <c r="Z1010" s="47">
        <v>46288.132025462961</v>
      </c>
      <c r="AA1010" s="48" t="s">
        <v>228</v>
      </c>
      <c r="AB1010" s="48"/>
      <c r="AC1010" s="43" t="s">
        <v>524</v>
      </c>
      <c r="AD1010" s="46" t="s">
        <v>145</v>
      </c>
      <c r="AE1010" s="46" t="s">
        <v>180</v>
      </c>
      <c r="AF1010" s="88" t="s">
        <v>210</v>
      </c>
      <c r="AG1010" s="105">
        <f>IF(TAB_HISTORICO_MANUT[[#This Row],[Hora Inicio]]="","",MONTH(TAB_HISTORICO_MANUT[[#This Row],[Hora Inicio]]))</f>
        <v>9</v>
      </c>
      <c r="AH1010" s="58" t="s">
        <v>1613</v>
      </c>
      <c r="AI1010" s="43" t="s">
        <v>21</v>
      </c>
      <c r="AJ1010" s="43" t="s">
        <v>293</v>
      </c>
      <c r="AK1010" s="43" t="s">
        <v>291</v>
      </c>
      <c r="AL1010" s="43" t="s">
        <v>297</v>
      </c>
      <c r="AM1010" s="114" t="s">
        <v>283</v>
      </c>
      <c r="AN1010" s="43"/>
      <c r="AO1010" s="43"/>
      <c r="AP1010" s="43"/>
    </row>
    <row r="1011" spans="1:42" ht="50.1" customHeight="1" x14ac:dyDescent="0.25">
      <c r="A1011" s="115">
        <f>MONTH(TAB_HISTORICO_MANUT[[#This Row],[Hora Final]])-MONTH(TAB_HISTORICO_MANUT[[#This Row],[Hora Inicio]])</f>
        <v>0</v>
      </c>
      <c r="B1011" s="116"/>
      <c r="C1011" s="115"/>
      <c r="D1011" s="116"/>
      <c r="E1011" s="116"/>
      <c r="F1011" s="116"/>
      <c r="G1011" s="116"/>
      <c r="H1011" s="116"/>
      <c r="I1011" s="116"/>
      <c r="J1011" s="116"/>
      <c r="K1011" s="116"/>
      <c r="L1011" s="116"/>
      <c r="M1011" s="116"/>
      <c r="N101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Inicio]]=Z1010,TAB_HISTORICO_MANUT[[#This Row],[Equipamento]]=AA1010,TAB_HISTORICO_MANUT[[#This Row],[Descricao Despacho]]=AD1010),0,1)))</f>
        <v>0</v>
      </c>
      <c r="O101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101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101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1011" s="107">
        <f>IF($Q1011="","",(TAB_HISTORICO_MANUT[[#This Row],[Hora Final]]-TAB_HISTORICO_MANUT[[#This Row],[Hora Inicio]])*24)</f>
        <v>25.410555555601604</v>
      </c>
      <c r="S101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011" s="109" t="str">
        <f>IF(AND(TAB_HISTORICO_MANUT[[#This Row],[EXPURGO Mãe]]="SIM",TAB_HISTORICO_MANUT[[#This Row],[Tipo]]="MÃE"),"EXP.MAE",IF(TAB_HISTORICO_MANUT[[#This Row],[EXPURGO Mãe]]="NÃO","NÃO EXP.MAE",T1010))</f>
        <v>NÃO EXP.MAE</v>
      </c>
      <c r="U101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11" s="110">
        <f>IF(TAB_HISTORICO_MANUT[[#This Row],[EXPURGO Filhas]]="SIM",MAX(TAB_HISTORICO_MANUT[[#This Row],[Hora Final]]-TAB_HISTORICO_MANUT[[#This Row],[Hora Inicio]],0),0)</f>
        <v>0</v>
      </c>
      <c r="W101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1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11" s="117">
        <v>46288.132025462961</v>
      </c>
      <c r="Z1011" s="118">
        <v>46289.190798611111</v>
      </c>
      <c r="AA1011" s="119" t="s">
        <v>228</v>
      </c>
      <c r="AB1011" s="119"/>
      <c r="AC1011" s="115" t="s">
        <v>205</v>
      </c>
      <c r="AD1011" s="117" t="s">
        <v>145</v>
      </c>
      <c r="AE1011" s="117" t="s">
        <v>173</v>
      </c>
      <c r="AF1011" s="122" t="s">
        <v>210</v>
      </c>
      <c r="AG1011" s="123">
        <f>IF(TAB_HISTORICO_MANUT[[#This Row],[Hora Inicio]]="","",MONTH(TAB_HISTORICO_MANUT[[#This Row],[Hora Inicio]]))</f>
        <v>9</v>
      </c>
      <c r="AH1011" s="120" t="s">
        <v>1613</v>
      </c>
      <c r="AI1011" s="115" t="s">
        <v>21</v>
      </c>
      <c r="AJ1011" s="115" t="s">
        <v>293</v>
      </c>
      <c r="AK1011" s="115" t="s">
        <v>291</v>
      </c>
      <c r="AL1011" s="115" t="s">
        <v>297</v>
      </c>
      <c r="AM1011" s="121" t="s">
        <v>283</v>
      </c>
      <c r="AN1011" s="115"/>
      <c r="AO1011" s="115"/>
      <c r="AP1011" s="115"/>
    </row>
    <row r="1012" spans="1:42" ht="50.1" customHeight="1" x14ac:dyDescent="0.25">
      <c r="A1012" s="115">
        <f>MONTH(TAB_HISTORICO_MANUT[[#This Row],[Hora Final]])-MONTH(TAB_HISTORICO_MANUT[[#This Row],[Hora Inicio]])</f>
        <v>0</v>
      </c>
      <c r="B1012" s="116"/>
      <c r="C1012" s="115"/>
      <c r="D1012" s="116"/>
      <c r="E1012" s="116"/>
      <c r="F1012" s="116"/>
      <c r="G1012" s="116"/>
      <c r="H1012" s="116"/>
      <c r="I1012" s="116"/>
      <c r="J1012" s="116"/>
      <c r="K1012" s="116"/>
      <c r="L1012" s="116"/>
      <c r="M1012" s="116"/>
      <c r="N101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Inicio]]=Z1011,TAB_HISTORICO_MANUT[[#This Row],[Equipamento]]=AA1011,TAB_HISTORICO_MANUT[[#This Row],[Descricao Despacho]]=AD1011),0,1)))</f>
        <v>1</v>
      </c>
      <c r="O101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101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01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1012" s="107">
        <f>IF($Q1012="","",(TAB_HISTORICO_MANUT[[#This Row],[Hora Final]]-TAB_HISTORICO_MANUT[[#This Row],[Hora Inicio]])*24)</f>
        <v>8.2408333332859911</v>
      </c>
      <c r="S101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012" s="109" t="str">
        <f>IF(AND(TAB_HISTORICO_MANUT[[#This Row],[EXPURGO Mãe]]="SIM",TAB_HISTORICO_MANUT[[#This Row],[Tipo]]="MÃE"),"EXP.MAE",IF(TAB_HISTORICO_MANUT[[#This Row],[EXPURGO Mãe]]="NÃO","NÃO EXP.MAE",T1011))</f>
        <v>NÃO EXP.MAE</v>
      </c>
      <c r="U101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12" s="110">
        <f>IF(TAB_HISTORICO_MANUT[[#This Row],[EXPURGO Filhas]]="SIM",MAX(TAB_HISTORICO_MANUT[[#This Row],[Hora Final]]-TAB_HISTORICO_MANUT[[#This Row],[Hora Inicio]],0),0)</f>
        <v>0</v>
      </c>
      <c r="W101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1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12" s="117">
        <v>46290.137199074074</v>
      </c>
      <c r="Z1012" s="118">
        <v>46290.480567129627</v>
      </c>
      <c r="AA1012" s="119" t="s">
        <v>228</v>
      </c>
      <c r="AB1012" s="119" t="s">
        <v>1609</v>
      </c>
      <c r="AC1012" s="115" t="s">
        <v>211</v>
      </c>
      <c r="AD1012" s="117" t="s">
        <v>144</v>
      </c>
      <c r="AE1012" s="117" t="s">
        <v>213</v>
      </c>
      <c r="AF1012" s="122" t="s">
        <v>210</v>
      </c>
      <c r="AG1012" s="123">
        <f>IF(TAB_HISTORICO_MANUT[[#This Row],[Hora Inicio]]="","",MONTH(TAB_HISTORICO_MANUT[[#This Row],[Hora Inicio]]))</f>
        <v>9</v>
      </c>
      <c r="AH1012" s="120" t="s">
        <v>1615</v>
      </c>
      <c r="AI1012" s="115" t="s">
        <v>21</v>
      </c>
      <c r="AJ1012" s="115" t="s">
        <v>293</v>
      </c>
      <c r="AK1012" s="115" t="s">
        <v>291</v>
      </c>
      <c r="AL1012" s="115" t="s">
        <v>275</v>
      </c>
      <c r="AM1012" s="121" t="s">
        <v>276</v>
      </c>
      <c r="AN1012" s="115" t="s">
        <v>229</v>
      </c>
      <c r="AO1012" s="115" t="s">
        <v>256</v>
      </c>
      <c r="AP1012" s="115" t="s">
        <v>1439</v>
      </c>
    </row>
    <row r="1013" spans="1:42" ht="50.1" customHeight="1" x14ac:dyDescent="0.25">
      <c r="A1013" s="115">
        <f>MONTH(TAB_HISTORICO_MANUT[[#This Row],[Hora Final]])-MONTH(TAB_HISTORICO_MANUT[[#This Row],[Hora Inicio]])</f>
        <v>0</v>
      </c>
      <c r="B1013" s="116"/>
      <c r="C1013" s="115"/>
      <c r="D1013" s="116"/>
      <c r="E1013" s="116"/>
      <c r="F1013" s="116"/>
      <c r="G1013" s="116"/>
      <c r="H1013" s="116"/>
      <c r="I1013" s="116"/>
      <c r="J1013" s="116"/>
      <c r="K1013" s="116"/>
      <c r="L1013" s="116"/>
      <c r="M1013" s="116"/>
      <c r="N1013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Inicio]]=Z1012,TAB_HISTORICO_MANUT[[#This Row],[Equipamento]]=AA1012,TAB_HISTORICO_MANUT[[#This Row],[Descricao Despacho]]=AD1012),0,1)))</f>
        <v>1</v>
      </c>
      <c r="O1013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ALERTA DE PROXIMIDADE</v>
      </c>
      <c r="P1013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013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1013" s="107">
        <f>IF($Q1013="","",(TAB_HISTORICO_MANUT[[#This Row],[Hora Final]]-TAB_HISTORICO_MANUT[[#This Row],[Hora Inicio]])*24)</f>
        <v>1.4302777777193114</v>
      </c>
      <c r="S1013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1013" s="109" t="str">
        <f>IF(AND(TAB_HISTORICO_MANUT[[#This Row],[EXPURGO Mãe]]="SIM",TAB_HISTORICO_MANUT[[#This Row],[Tipo]]="MÃE"),"EXP.MAE",IF(TAB_HISTORICO_MANUT[[#This Row],[EXPURGO Mãe]]="NÃO","NÃO EXP.MAE",T1012))</f>
        <v>EXP.MAE</v>
      </c>
      <c r="U1013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13" s="110">
        <f>IF(TAB_HISTORICO_MANUT[[#This Row],[EXPURGO Filhas]]="SIM",MAX(TAB_HISTORICO_MANUT[[#This Row],[Hora Final]]-TAB_HISTORICO_MANUT[[#This Row],[Hora Inicio]],0),0)</f>
        <v>0</v>
      </c>
      <c r="W1013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13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13" s="117">
        <v>46290.627997685187</v>
      </c>
      <c r="Z1013" s="118">
        <v>46290.687592592592</v>
      </c>
      <c r="AA1013" s="119" t="s">
        <v>228</v>
      </c>
      <c r="AB1013" s="119" t="s">
        <v>1610</v>
      </c>
      <c r="AC1013" s="115" t="s">
        <v>1217</v>
      </c>
      <c r="AD1013" s="117" t="s">
        <v>144</v>
      </c>
      <c r="AE1013" s="117" t="s">
        <v>1218</v>
      </c>
      <c r="AF1013" s="122" t="s">
        <v>210</v>
      </c>
      <c r="AG1013" s="123">
        <f>IF(TAB_HISTORICO_MANUT[[#This Row],[Hora Inicio]]="","",MONTH(TAB_HISTORICO_MANUT[[#This Row],[Hora Inicio]]))</f>
        <v>9</v>
      </c>
      <c r="AH1013" s="120" t="s">
        <v>1616</v>
      </c>
      <c r="AI1013" s="115" t="s">
        <v>153</v>
      </c>
      <c r="AJ1013" s="115" t="s">
        <v>428</v>
      </c>
      <c r="AK1013" s="115" t="s">
        <v>290</v>
      </c>
      <c r="AL1013" s="115" t="s">
        <v>282</v>
      </c>
      <c r="AM1013" s="121" t="s">
        <v>283</v>
      </c>
      <c r="AN1013" s="115" t="s">
        <v>241</v>
      </c>
      <c r="AO1013" s="115" t="s">
        <v>412</v>
      </c>
      <c r="AP1013" s="115" t="s">
        <v>413</v>
      </c>
    </row>
    <row r="1014" spans="1:42" ht="50.1" customHeight="1" x14ac:dyDescent="0.25">
      <c r="A1014" s="115">
        <f>MONTH(TAB_HISTORICO_MANUT[[#This Row],[Hora Final]])-MONTH(TAB_HISTORICO_MANUT[[#This Row],[Hora Inicio]])</f>
        <v>0</v>
      </c>
      <c r="B1014" s="116"/>
      <c r="C1014" s="115"/>
      <c r="D1014" s="116"/>
      <c r="E1014" s="116"/>
      <c r="F1014" s="116"/>
      <c r="G1014" s="116"/>
      <c r="H1014" s="116"/>
      <c r="I1014" s="116"/>
      <c r="J1014" s="116"/>
      <c r="K1014" s="116"/>
      <c r="L1014" s="116"/>
      <c r="M1014" s="116"/>
      <c r="N101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Inicio]]=Z1013,TAB_HISTORICO_MANUT[[#This Row],[Equipamento]]=AA1013,TAB_HISTORICO_MANUT[[#This Row],[Descricao Despacho]]=AD1013),0,1)))</f>
        <v>1</v>
      </c>
      <c r="O101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ALERTA DE PROXIMIDADE</v>
      </c>
      <c r="P101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01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1014" s="107">
        <f>IF($Q1014="","",(TAB_HISTORICO_MANUT[[#This Row],[Hora Final]]-TAB_HISTORICO_MANUT[[#This Row],[Hora Inicio]])*24)</f>
        <v>4.2594444444403052</v>
      </c>
      <c r="S101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1014" s="109" t="str">
        <f>IF(AND(TAB_HISTORICO_MANUT[[#This Row],[EXPURGO Mãe]]="SIM",TAB_HISTORICO_MANUT[[#This Row],[Tipo]]="MÃE"),"EXP.MAE",IF(TAB_HISTORICO_MANUT[[#This Row],[EXPURGO Mãe]]="NÃO","NÃO EXP.MAE",T1013))</f>
        <v>EXP.MAE</v>
      </c>
      <c r="U101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14" s="110">
        <f>IF(TAB_HISTORICO_MANUT[[#This Row],[EXPURGO Filhas]]="SIM",MAX(TAB_HISTORICO_MANUT[[#This Row],[Hora Final]]-TAB_HISTORICO_MANUT[[#This Row],[Hora Inicio]],0),0)</f>
        <v>0</v>
      </c>
      <c r="W101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1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14" s="117">
        <v>46290.714363425926</v>
      </c>
      <c r="Z1014" s="118">
        <v>46290.891840277778</v>
      </c>
      <c r="AA1014" s="119" t="s">
        <v>228</v>
      </c>
      <c r="AB1014" s="119"/>
      <c r="AC1014" s="115" t="s">
        <v>1607</v>
      </c>
      <c r="AD1014" s="117" t="s">
        <v>144</v>
      </c>
      <c r="AE1014" s="117" t="s">
        <v>1608</v>
      </c>
      <c r="AF1014" s="122" t="s">
        <v>210</v>
      </c>
      <c r="AG1014" s="123">
        <f>IF(TAB_HISTORICO_MANUT[[#This Row],[Hora Inicio]]="","",MONTH(TAB_HISTORICO_MANUT[[#This Row],[Hora Inicio]]))</f>
        <v>9</v>
      </c>
      <c r="AH1014" s="120" t="s">
        <v>1617</v>
      </c>
      <c r="AI1014" s="115" t="s">
        <v>153</v>
      </c>
      <c r="AJ1014" s="115" t="s">
        <v>428</v>
      </c>
      <c r="AK1014" s="115" t="s">
        <v>290</v>
      </c>
      <c r="AL1014" s="115" t="s">
        <v>282</v>
      </c>
      <c r="AM1014" s="121" t="s">
        <v>276</v>
      </c>
      <c r="AN1014" s="115" t="s">
        <v>241</v>
      </c>
      <c r="AO1014" s="115" t="s">
        <v>412</v>
      </c>
      <c r="AP1014" s="115" t="s">
        <v>413</v>
      </c>
    </row>
    <row r="1015" spans="1:42" ht="50.1" customHeight="1" x14ac:dyDescent="0.25">
      <c r="A1015" s="115">
        <f>MONTH(TAB_HISTORICO_MANUT[[#This Row],[Hora Final]])-MONTH(TAB_HISTORICO_MANUT[[#This Row],[Hora Inicio]])</f>
        <v>0</v>
      </c>
      <c r="B1015" s="116"/>
      <c r="C1015" s="115"/>
      <c r="D1015" s="116"/>
      <c r="E1015" s="116"/>
      <c r="F1015" s="116"/>
      <c r="G1015" s="116"/>
      <c r="H1015" s="116"/>
      <c r="I1015" s="116"/>
      <c r="J1015" s="116"/>
      <c r="K1015" s="116"/>
      <c r="L1015" s="116"/>
      <c r="M1015" s="116"/>
      <c r="N1015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Inicio]]=Z1014,TAB_HISTORICO_MANUT[[#This Row],[Equipamento]]=AA1014,TAB_HISTORICO_MANUT[[#This Row],[Descricao Despacho]]=AD1014),0,1)))</f>
        <v>1</v>
      </c>
      <c r="O1015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SISTEMA ALERTA DE PROXIMIDADE</v>
      </c>
      <c r="P1015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015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Acessórios</v>
      </c>
      <c r="R1015" s="107">
        <f>IF($Q1015="","",(TAB_HISTORICO_MANUT[[#This Row],[Hora Final]]-TAB_HISTORICO_MANUT[[#This Row],[Hora Inicio]])*24)</f>
        <v>2.1616666667978279</v>
      </c>
      <c r="S1015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SIM</v>
      </c>
      <c r="T1015" s="109" t="str">
        <f>IF(AND(TAB_HISTORICO_MANUT[[#This Row],[EXPURGO Mãe]]="SIM",TAB_HISTORICO_MANUT[[#This Row],[Tipo]]="MÃE"),"EXP.MAE",IF(TAB_HISTORICO_MANUT[[#This Row],[EXPURGO Mãe]]="NÃO","NÃO EXP.MAE",T1014))</f>
        <v>EXP.MAE</v>
      </c>
      <c r="U1015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15" s="110">
        <f>IF(TAB_HISTORICO_MANUT[[#This Row],[EXPURGO Filhas]]="SIM",MAX(TAB_HISTORICO_MANUT[[#This Row],[Hora Final]]-TAB_HISTORICO_MANUT[[#This Row],[Hora Inicio]],0),0)</f>
        <v>0</v>
      </c>
      <c r="W1015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15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15" s="117">
        <v>46291.241273148145</v>
      </c>
      <c r="Z1015" s="118">
        <v>46291.331342592595</v>
      </c>
      <c r="AA1015" s="119" t="s">
        <v>228</v>
      </c>
      <c r="AB1015" s="119"/>
      <c r="AC1015" s="115" t="s">
        <v>212</v>
      </c>
      <c r="AD1015" s="117" t="s">
        <v>144</v>
      </c>
      <c r="AE1015" s="117" t="s">
        <v>214</v>
      </c>
      <c r="AF1015" s="122" t="s">
        <v>210</v>
      </c>
      <c r="AG1015" s="123">
        <f>IF(TAB_HISTORICO_MANUT[[#This Row],[Hora Inicio]]="","",MONTH(TAB_HISTORICO_MANUT[[#This Row],[Hora Inicio]]))</f>
        <v>9</v>
      </c>
      <c r="AH1015" s="120" t="s">
        <v>1618</v>
      </c>
      <c r="AI1015" s="115" t="s">
        <v>153</v>
      </c>
      <c r="AJ1015" s="115" t="s">
        <v>428</v>
      </c>
      <c r="AK1015" s="115" t="s">
        <v>1234</v>
      </c>
      <c r="AL1015" s="115" t="s">
        <v>282</v>
      </c>
      <c r="AM1015" s="115" t="s">
        <v>276</v>
      </c>
      <c r="AN1015" s="115" t="s">
        <v>241</v>
      </c>
      <c r="AO1015" s="115" t="s">
        <v>412</v>
      </c>
      <c r="AP1015" s="115" t="s">
        <v>413</v>
      </c>
    </row>
    <row r="1016" spans="1:42" ht="50.1" customHeight="1" x14ac:dyDescent="0.25">
      <c r="A1016" s="43">
        <f>MONTH(TAB_HISTORICO_MANUT[[#This Row],[Hora Final]])-MONTH(TAB_HISTORICO_MANUT[[#This Row],[Hora Inicio]])</f>
        <v>0</v>
      </c>
      <c r="B1016" s="42"/>
      <c r="C1016" s="43"/>
      <c r="D1016" s="42"/>
      <c r="E1016" s="42"/>
      <c r="F1016" s="42"/>
      <c r="G1016" s="42"/>
      <c r="H1016" s="42"/>
      <c r="I1016" s="42"/>
      <c r="J1016" s="42"/>
      <c r="K1016" s="42"/>
      <c r="L1016" s="42"/>
      <c r="M1016" s="42"/>
      <c r="N1016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Inicio]]=Z1015,TAB_HISTORICO_MANUT[[#This Row],[Equipamento]]=AA1015,TAB_HISTORICO_MANUT[[#This Row],[Descricao Despacho]]=AD1015),0,1)))</f>
        <v>1</v>
      </c>
      <c r="O1016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1016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1016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1016" s="50">
        <f>IF($Q1016="","",(TAB_HISTORICO_MANUT[[#This Row],[Hora Final]]-TAB_HISTORICO_MANUT[[#This Row],[Hora Inicio]])*24)</f>
        <v>1.0569444444263354</v>
      </c>
      <c r="S1016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016" s="54" t="str">
        <f>IF(AND(TAB_HISTORICO_MANUT[[#This Row],[EXPURGO Mãe]]="SIM",TAB_HISTORICO_MANUT[[#This Row],[Tipo]]="MÃE"),"EXP.MAE",IF(TAB_HISTORICO_MANUT[[#This Row],[EXPURGO Mãe]]="NÃO","NÃO EXP.MAE",T1015))</f>
        <v>NÃO EXP.MAE</v>
      </c>
      <c r="U1016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16" s="56">
        <f>IF(TAB_HISTORICO_MANUT[[#This Row],[EXPURGO Filhas]]="SIM",MAX(TAB_HISTORICO_MANUT[[#This Row],[Hora Final]]-TAB_HISTORICO_MANUT[[#This Row],[Hora Inicio]],0),0)</f>
        <v>0</v>
      </c>
      <c r="W1016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16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16" s="46">
        <v>46291.395439814813</v>
      </c>
      <c r="Z1016" s="47">
        <v>46291.439479166664</v>
      </c>
      <c r="AA1016" s="48" t="s">
        <v>228</v>
      </c>
      <c r="AB1016" s="48"/>
      <c r="AC1016" s="43" t="s">
        <v>205</v>
      </c>
      <c r="AD1016" s="46" t="s">
        <v>145</v>
      </c>
      <c r="AE1016" s="46" t="s">
        <v>173</v>
      </c>
      <c r="AF1016" s="88" t="s">
        <v>210</v>
      </c>
      <c r="AG1016" s="105">
        <f>IF(TAB_HISTORICO_MANUT[[#This Row],[Hora Inicio]]="","",MONTH(TAB_HISTORICO_MANUT[[#This Row],[Hora Inicio]]))</f>
        <v>9</v>
      </c>
      <c r="AH1016" s="58" t="s">
        <v>1621</v>
      </c>
      <c r="AI1016" s="43" t="s">
        <v>21</v>
      </c>
      <c r="AJ1016" s="43" t="s">
        <v>21</v>
      </c>
      <c r="AK1016" s="43" t="s">
        <v>21</v>
      </c>
      <c r="AL1016" s="43" t="s">
        <v>21</v>
      </c>
      <c r="AM1016" s="114" t="s">
        <v>21</v>
      </c>
      <c r="AN1016" s="43"/>
      <c r="AO1016" s="43"/>
      <c r="AP1016" s="43"/>
    </row>
    <row r="1017" spans="1:42" ht="50.1" customHeight="1" x14ac:dyDescent="0.25">
      <c r="A1017" s="43">
        <f>MONTH(TAB_HISTORICO_MANUT[[#This Row],[Hora Final]])-MONTH(TAB_HISTORICO_MANUT[[#This Row],[Hora Inicio]])</f>
        <v>0</v>
      </c>
      <c r="B1017" s="42"/>
      <c r="C1017" s="43"/>
      <c r="D1017" s="42"/>
      <c r="E1017" s="42"/>
      <c r="F1017" s="42"/>
      <c r="G1017" s="42"/>
      <c r="H1017" s="42"/>
      <c r="I1017" s="42"/>
      <c r="J1017" s="42"/>
      <c r="K1017" s="42"/>
      <c r="L1017" s="42"/>
      <c r="M1017" s="42"/>
      <c r="N1017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Inicio]]=Z1016,TAB_HISTORICO_MANUT[[#This Row],[Equipamento]]=AA1016,TAB_HISTORICO_MANUT[[#This Row],[Descricao Despacho]]=AD1016),0,1)))</f>
        <v>1</v>
      </c>
      <c r="O1017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1017" s="50" t="str">
        <f>IF(TAB_HISTORICO_MANUT[[#This Row],[CONT. OCOR.]]="","",IF(TAB_HISTORICO_MANUT[[#This Row],[Ajuste - Cod. Despacho]]="",TAB_HISTORICO_MANUT[[#This Row],[Descricao Despacho]],TAB_HISTORICO_MANUT[[#This Row],[Ajuste - Cod. Despacho]]))</f>
        <v>MPNS - Hora Manutenção Preventiva não Sistemática</v>
      </c>
      <c r="Q1017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1017" s="50">
        <f>IF($Q1017="","",(TAB_HISTORICO_MANUT[[#This Row],[Hora Final]]-TAB_HISTORICO_MANUT[[#This Row],[Hora Inicio]])*24)</f>
        <v>0.48000000009778887</v>
      </c>
      <c r="S1017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017" s="54" t="str">
        <f>IF(AND(TAB_HISTORICO_MANUT[[#This Row],[EXPURGO Mãe]]="SIM",TAB_HISTORICO_MANUT[[#This Row],[Tipo]]="MÃE"),"EXP.MAE",IF(TAB_HISTORICO_MANUT[[#This Row],[EXPURGO Mãe]]="NÃO","NÃO EXP.MAE",T1016))</f>
        <v>NÃO EXP.MAE</v>
      </c>
      <c r="U1017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17" s="56">
        <f>IF(TAB_HISTORICO_MANUT[[#This Row],[EXPURGO Filhas]]="SIM",MAX(TAB_HISTORICO_MANUT[[#This Row],[Hora Final]]-TAB_HISTORICO_MANUT[[#This Row],[Hora Inicio]],0),0)</f>
        <v>0</v>
      </c>
      <c r="W1017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17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17" s="46">
        <v>46292.607592592591</v>
      </c>
      <c r="Z1017" s="47">
        <v>46292.627592592595</v>
      </c>
      <c r="AA1017" s="48" t="s">
        <v>228</v>
      </c>
      <c r="AB1017" s="48"/>
      <c r="AC1017" s="43" t="s">
        <v>205</v>
      </c>
      <c r="AD1017" s="46" t="s">
        <v>145</v>
      </c>
      <c r="AE1017" s="46" t="s">
        <v>173</v>
      </c>
      <c r="AF1017" s="88" t="s">
        <v>210</v>
      </c>
      <c r="AG1017" s="105">
        <f>IF(TAB_HISTORICO_MANUT[[#This Row],[Hora Inicio]]="","",MONTH(TAB_HISTORICO_MANUT[[#This Row],[Hora Inicio]]))</f>
        <v>9</v>
      </c>
      <c r="AH1017" s="120"/>
      <c r="AI1017" s="115" t="s">
        <v>21</v>
      </c>
      <c r="AJ1017" s="115" t="s">
        <v>21</v>
      </c>
      <c r="AK1017" s="43" t="s">
        <v>21</v>
      </c>
      <c r="AL1017" s="43" t="s">
        <v>21</v>
      </c>
      <c r="AM1017" s="114" t="s">
        <v>21</v>
      </c>
      <c r="AN1017" s="43"/>
      <c r="AO1017" s="43"/>
      <c r="AP1017" s="43"/>
    </row>
    <row r="1018" spans="1:42" ht="50.1" customHeight="1" x14ac:dyDescent="0.25">
      <c r="A1018" s="115">
        <f>MONTH(TAB_HISTORICO_MANUT[[#This Row],[Hora Final]])-MONTH(TAB_HISTORICO_MANUT[[#This Row],[Hora Inicio]])</f>
        <v>0</v>
      </c>
      <c r="B1018" s="116"/>
      <c r="C1018" s="115"/>
      <c r="D1018" s="116"/>
      <c r="E1018" s="116"/>
      <c r="F1018" s="116"/>
      <c r="G1018" s="116"/>
      <c r="H1018" s="116"/>
      <c r="I1018" s="116"/>
      <c r="J1018" s="116"/>
      <c r="K1018" s="116"/>
      <c r="L1018" s="116"/>
      <c r="M1018" s="116"/>
      <c r="N1018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Inicio]]=Z1017,TAB_HISTORICO_MANUT[[#This Row],[Equipamento]]=AA1017,TAB_HISTORICO_MANUT[[#This Row],[Descricao Despacho]]=AD1017),0,1)))</f>
        <v>1</v>
      </c>
      <c r="O1018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REVISÃO PREVENTIVA</v>
      </c>
      <c r="P1018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1018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Preventivas</v>
      </c>
      <c r="R1018" s="107">
        <f>IF($Q1018="","",(TAB_HISTORICO_MANUT[[#This Row],[Hora Final]]-TAB_HISTORICO_MANUT[[#This Row],[Hora Inicio]])*24)</f>
        <v>3.0005555556854233</v>
      </c>
      <c r="S1018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018" s="109" t="str">
        <f>IF(AND(TAB_HISTORICO_MANUT[[#This Row],[EXPURGO Mãe]]="SIM",TAB_HISTORICO_MANUT[[#This Row],[Tipo]]="MÃE"),"EXP.MAE",IF(TAB_HISTORICO_MANUT[[#This Row],[EXPURGO Mãe]]="NÃO","NÃO EXP.MAE",T1017))</f>
        <v>NÃO EXP.MAE</v>
      </c>
      <c r="U1018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18" s="110">
        <f>IF(TAB_HISTORICO_MANUT[[#This Row],[EXPURGO Filhas]]="SIM",MAX(TAB_HISTORICO_MANUT[[#This Row],[Hora Final]]-TAB_HISTORICO_MANUT[[#This Row],[Hora Inicio]],0),0)</f>
        <v>0</v>
      </c>
      <c r="W1018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18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18" s="117">
        <v>46293.477766203701</v>
      </c>
      <c r="Z1018" s="118">
        <v>46293.602789351855</v>
      </c>
      <c r="AA1018" s="119" t="s">
        <v>228</v>
      </c>
      <c r="AB1018" s="119"/>
      <c r="AC1018" s="115" t="s">
        <v>301</v>
      </c>
      <c r="AD1018" s="117" t="s">
        <v>146</v>
      </c>
      <c r="AE1018" s="117" t="s">
        <v>310</v>
      </c>
      <c r="AF1018" s="122" t="s">
        <v>210</v>
      </c>
      <c r="AG1018" s="123">
        <f>IF(TAB_HISTORICO_MANUT[[#This Row],[Hora Inicio]]="","",MONTH(TAB_HISTORICO_MANUT[[#This Row],[Hora Inicio]]))</f>
        <v>9</v>
      </c>
      <c r="AH1018" s="120" t="s">
        <v>1635</v>
      </c>
      <c r="AI1018" s="115" t="s">
        <v>340</v>
      </c>
      <c r="AJ1018" s="115" t="s">
        <v>436</v>
      </c>
      <c r="AK1018" s="115" t="s">
        <v>1272</v>
      </c>
      <c r="AL1018" s="115" t="s">
        <v>1272</v>
      </c>
      <c r="AM1018" s="121" t="s">
        <v>1272</v>
      </c>
      <c r="AN1018" s="115"/>
      <c r="AO1018" s="115"/>
      <c r="AP1018" s="115"/>
    </row>
    <row r="1019" spans="1:42" ht="50.1" customHeight="1" x14ac:dyDescent="0.25">
      <c r="A1019" s="115">
        <f>MONTH(TAB_HISTORICO_MANUT[[#This Row],[Hora Final]])-MONTH(TAB_HISTORICO_MANUT[[#This Row],[Hora Inicio]])</f>
        <v>0</v>
      </c>
      <c r="B1019" s="116"/>
      <c r="C1019" s="115"/>
      <c r="D1019" s="116"/>
      <c r="E1019" s="116"/>
      <c r="F1019" s="116"/>
      <c r="G1019" s="116"/>
      <c r="H1019" s="116"/>
      <c r="I1019" s="116"/>
      <c r="J1019" s="116"/>
      <c r="K1019" s="116"/>
      <c r="L1019" s="116"/>
      <c r="M1019" s="116"/>
      <c r="N1019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Inicio]]=Z1018,TAB_HISTORICO_MANUT[[#This Row],[Equipamento]]=AA1018,TAB_HISTORICO_MANUT[[#This Row],[Descricao Despacho]]=AD1018),0,1)))</f>
        <v>1</v>
      </c>
      <c r="O1019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INSPEÇÃO SENSITIVA</v>
      </c>
      <c r="P1019" s="107" t="str">
        <f>IF(TAB_HISTORICO_MANUT[[#This Row],[CONT. OCOR.]]="","",IF(TAB_HISTORICO_MANUT[[#This Row],[Ajuste - Cod. Despacho]]="",TAB_HISTORICO_MANUT[[#This Row],[Descricao Despacho]],TAB_HISTORICO_MANUT[[#This Row],[Ajuste - Cod. Despacho]]))</f>
        <v>MPS - Hora Manutenção Preventiva Sistemática</v>
      </c>
      <c r="Q1019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Inspeção</v>
      </c>
      <c r="R1019" s="107">
        <f>IF($Q1019="","",(TAB_HISTORICO_MANUT[[#This Row],[Hora Final]]-TAB_HISTORICO_MANUT[[#This Row],[Hora Inicio]])*24)</f>
        <v>1.5911111111054197</v>
      </c>
      <c r="S1019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019" s="109" t="str">
        <f>IF(AND(TAB_HISTORICO_MANUT[[#This Row],[EXPURGO Mãe]]="SIM",TAB_HISTORICO_MANUT[[#This Row],[Tipo]]="MÃE"),"EXP.MAE",IF(TAB_HISTORICO_MANUT[[#This Row],[EXPURGO Mãe]]="NÃO","NÃO EXP.MAE",T1018))</f>
        <v>NÃO EXP.MAE</v>
      </c>
      <c r="U1019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19" s="110">
        <f>IF(TAB_HISTORICO_MANUT[[#This Row],[EXPURGO Filhas]]="SIM",MAX(TAB_HISTORICO_MANUT[[#This Row],[Hora Final]]-TAB_HISTORICO_MANUT[[#This Row],[Hora Inicio]],0),0)</f>
        <v>0</v>
      </c>
      <c r="W1019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19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19" s="117">
        <v>46297.430856481478</v>
      </c>
      <c r="Z1019" s="118">
        <v>46297.497152777774</v>
      </c>
      <c r="AA1019" s="119" t="s">
        <v>228</v>
      </c>
      <c r="AB1019" s="119"/>
      <c r="AC1019" s="115" t="s">
        <v>882</v>
      </c>
      <c r="AD1019" s="117" t="s">
        <v>146</v>
      </c>
      <c r="AE1019" s="117" t="s">
        <v>883</v>
      </c>
      <c r="AF1019" s="122" t="s">
        <v>210</v>
      </c>
      <c r="AG1019" s="123">
        <f>IF(TAB_HISTORICO_MANUT[[#This Row],[Hora Inicio]]="","",MONTH(TAB_HISTORICO_MANUT[[#This Row],[Hora Inicio]]))</f>
        <v>10</v>
      </c>
      <c r="AH1019" s="120"/>
      <c r="AI1019" s="115" t="s">
        <v>25</v>
      </c>
      <c r="AJ1019" s="115" t="s">
        <v>25</v>
      </c>
      <c r="AK1019" s="115" t="s">
        <v>25</v>
      </c>
      <c r="AL1019" s="115" t="s">
        <v>25</v>
      </c>
      <c r="AM1019" s="121" t="s">
        <v>25</v>
      </c>
      <c r="AN1019" s="115"/>
      <c r="AO1019" s="115"/>
      <c r="AP1019" s="115"/>
    </row>
    <row r="1020" spans="1:42" ht="50.1" customHeight="1" x14ac:dyDescent="0.25">
      <c r="A1020" s="115">
        <f>MONTH(TAB_HISTORICO_MANUT[[#This Row],[Hora Final]])-MONTH(TAB_HISTORICO_MANUT[[#This Row],[Hora Inicio]])</f>
        <v>0</v>
      </c>
      <c r="B1020" s="116"/>
      <c r="C1020" s="115"/>
      <c r="D1020" s="116"/>
      <c r="E1020" s="116"/>
      <c r="F1020" s="116"/>
      <c r="G1020" s="116"/>
      <c r="H1020" s="116"/>
      <c r="I1020" s="116"/>
      <c r="J1020" s="116"/>
      <c r="K1020" s="116"/>
      <c r="L1020" s="116"/>
      <c r="M1020" s="116"/>
      <c r="N1020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Inicio]]=Z1019,TAB_HISTORICO_MANUT[[#This Row],[Equipamento]]=AA1019,TAB_HISTORICO_MANUT[[#This Row],[Descricao Despacho]]=AD1019),0,1)))</f>
        <v>1</v>
      </c>
      <c r="O1020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1020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020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020" s="107">
        <f>IF($Q1020="","",(TAB_HISTORICO_MANUT[[#This Row],[Hora Final]]-TAB_HISTORICO_MANUT[[#This Row],[Hora Inicio]])*24)</f>
        <v>1.7788888889481314</v>
      </c>
      <c r="S1020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020" s="109" t="str">
        <f>IF(AND(TAB_HISTORICO_MANUT[[#This Row],[EXPURGO Mãe]]="SIM",TAB_HISTORICO_MANUT[[#This Row],[Tipo]]="MÃE"),"EXP.MAE",IF(TAB_HISTORICO_MANUT[[#This Row],[EXPURGO Mãe]]="NÃO","NÃO EXP.MAE",T1019))</f>
        <v>NÃO EXP.MAE</v>
      </c>
      <c r="U1020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20" s="110">
        <f>IF(TAB_HISTORICO_MANUT[[#This Row],[EXPURGO Filhas]]="SIM",MAX(TAB_HISTORICO_MANUT[[#This Row],[Hora Final]]-TAB_HISTORICO_MANUT[[#This Row],[Hora Inicio]],0),0)</f>
        <v>0</v>
      </c>
      <c r="W1020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20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20" s="117">
        <v>46298.248379629629</v>
      </c>
      <c r="Z1020" s="118">
        <v>46298.322500000002</v>
      </c>
      <c r="AA1020" s="119" t="s">
        <v>228</v>
      </c>
      <c r="AB1020" s="119" t="s">
        <v>1647</v>
      </c>
      <c r="AC1020" s="115" t="s">
        <v>204</v>
      </c>
      <c r="AD1020" s="117" t="s">
        <v>144</v>
      </c>
      <c r="AE1020" s="117" t="s">
        <v>172</v>
      </c>
      <c r="AF1020" s="122" t="s">
        <v>210</v>
      </c>
      <c r="AG1020" s="123">
        <f>IF(TAB_HISTORICO_MANUT[[#This Row],[Hora Inicio]]="","",MONTH(TAB_HISTORICO_MANUT[[#This Row],[Hora Inicio]]))</f>
        <v>10</v>
      </c>
      <c r="AH1020" s="120" t="s">
        <v>1652</v>
      </c>
      <c r="AI1020" s="115" t="s">
        <v>24</v>
      </c>
      <c r="AJ1020" s="115" t="s">
        <v>223</v>
      </c>
      <c r="AK1020" s="115" t="s">
        <v>422</v>
      </c>
      <c r="AL1020" s="115" t="s">
        <v>1627</v>
      </c>
      <c r="AM1020" s="121" t="s">
        <v>1272</v>
      </c>
      <c r="AN1020" s="115" t="s">
        <v>217</v>
      </c>
      <c r="AO1020" s="115" t="s">
        <v>405</v>
      </c>
      <c r="AP1020" s="115" t="s">
        <v>403</v>
      </c>
    </row>
    <row r="1021" spans="1:42" ht="50.1" customHeight="1" x14ac:dyDescent="0.25">
      <c r="A1021" s="115">
        <f>MONTH(TAB_HISTORICO_MANUT[[#This Row],[Hora Final]])-MONTH(TAB_HISTORICO_MANUT[[#This Row],[Hora Inicio]])</f>
        <v>0</v>
      </c>
      <c r="B1021" s="116"/>
      <c r="C1021" s="115"/>
      <c r="D1021" s="116"/>
      <c r="E1021" s="116"/>
      <c r="F1021" s="116"/>
      <c r="G1021" s="116"/>
      <c r="H1021" s="116"/>
      <c r="I1021" s="116"/>
      <c r="J1021" s="116"/>
      <c r="K1021" s="116"/>
      <c r="L1021" s="116"/>
      <c r="M1021" s="116"/>
      <c r="N1021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Inicio]]=Z1020,TAB_HISTORICO_MANUT[[#This Row],[Equipamento]]=AA1020,TAB_HISTORICO_MANUT[[#This Row],[Descricao Despacho]]=AD1020),0,1)))</f>
        <v>1</v>
      </c>
      <c r="O1021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LOCOMOÇÃO</v>
      </c>
      <c r="P1021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021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Man. Pneus</v>
      </c>
      <c r="R1021" s="107">
        <f>IF($Q1021="","",(TAB_HISTORICO_MANUT[[#This Row],[Hora Final]]-TAB_HISTORICO_MANUT[[#This Row],[Hora Inicio]])*24)</f>
        <v>3.0936111111659557</v>
      </c>
      <c r="S1021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021" s="109" t="str">
        <f>IF(AND(TAB_HISTORICO_MANUT[[#This Row],[EXPURGO Mãe]]="SIM",TAB_HISTORICO_MANUT[[#This Row],[Tipo]]="MÃE"),"EXP.MAE",IF(TAB_HISTORICO_MANUT[[#This Row],[EXPURGO Mãe]]="NÃO","NÃO EXP.MAE",T1020))</f>
        <v>NÃO EXP.MAE</v>
      </c>
      <c r="U1021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21" s="110">
        <f>IF(TAB_HISTORICO_MANUT[[#This Row],[EXPURGO Filhas]]="SIM",MAX(TAB_HISTORICO_MANUT[[#This Row],[Hora Final]]-TAB_HISTORICO_MANUT[[#This Row],[Hora Inicio]],0),0)</f>
        <v>0</v>
      </c>
      <c r="W1021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21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21" s="117">
        <v>46298.865555555552</v>
      </c>
      <c r="Z1021" s="118">
        <v>46298.994456018518</v>
      </c>
      <c r="AA1021" s="119" t="s">
        <v>228</v>
      </c>
      <c r="AB1021" s="119" t="s">
        <v>1648</v>
      </c>
      <c r="AC1021" s="115" t="s">
        <v>211</v>
      </c>
      <c r="AD1021" s="117" t="s">
        <v>144</v>
      </c>
      <c r="AE1021" s="117" t="s">
        <v>213</v>
      </c>
      <c r="AF1021" s="122" t="s">
        <v>210</v>
      </c>
      <c r="AG1021" s="123">
        <f>IF(TAB_HISTORICO_MANUT[[#This Row],[Hora Inicio]]="","",MONTH(TAB_HISTORICO_MANUT[[#This Row],[Hora Inicio]]))</f>
        <v>10</v>
      </c>
      <c r="AH1021" s="120" t="s">
        <v>1653</v>
      </c>
      <c r="AI1021" s="115" t="s">
        <v>21</v>
      </c>
      <c r="AJ1021" s="115" t="s">
        <v>1660</v>
      </c>
      <c r="AK1021" s="115" t="s">
        <v>291</v>
      </c>
      <c r="AL1021" s="115" t="s">
        <v>292</v>
      </c>
      <c r="AM1021" s="121" t="s">
        <v>294</v>
      </c>
      <c r="AN1021" s="115" t="s">
        <v>229</v>
      </c>
      <c r="AO1021" s="115" t="s">
        <v>761</v>
      </c>
      <c r="AP1021" s="115" t="s">
        <v>242</v>
      </c>
    </row>
    <row r="1022" spans="1:42" ht="50.1" customHeight="1" x14ac:dyDescent="0.25">
      <c r="A1022" s="115">
        <f>MONTH(TAB_HISTORICO_MANUT[[#This Row],[Hora Final]])-MONTH(TAB_HISTORICO_MANUT[[#This Row],[Hora Inicio]])</f>
        <v>0</v>
      </c>
      <c r="B1022" s="116"/>
      <c r="C1022" s="115"/>
      <c r="D1022" s="116"/>
      <c r="E1022" s="116"/>
      <c r="F1022" s="116"/>
      <c r="G1022" s="116"/>
      <c r="H1022" s="116"/>
      <c r="I1022" s="116"/>
      <c r="J1022" s="116"/>
      <c r="K1022" s="116"/>
      <c r="L1022" s="116"/>
      <c r="M1022" s="116"/>
      <c r="N1022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Inicio]]=Z1021,TAB_HISTORICO_MANUT[[#This Row],[Equipamento]]=AA1021,TAB_HISTORICO_MANUT[[#This Row],[Descricao Despacho]]=AD1021),0,1)))</f>
        <v>1</v>
      </c>
      <c r="O1022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1022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022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022" s="107">
        <f>IF($Q1022="","",(TAB_HISTORICO_MANUT[[#This Row],[Hora Final]]-TAB_HISTORICO_MANUT[[#This Row],[Hora Inicio]])*24)</f>
        <v>3.8858333334792405</v>
      </c>
      <c r="S1022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022" s="109" t="str">
        <f>IF(AND(TAB_HISTORICO_MANUT[[#This Row],[EXPURGO Mãe]]="SIM",TAB_HISTORICO_MANUT[[#This Row],[Tipo]]="MÃE"),"EXP.MAE",IF(TAB_HISTORICO_MANUT[[#This Row],[EXPURGO Mãe]]="NÃO","NÃO EXP.MAE",T1021))</f>
        <v>NÃO EXP.MAE</v>
      </c>
      <c r="U1022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22" s="110">
        <f>IF(TAB_HISTORICO_MANUT[[#This Row],[EXPURGO Filhas]]="SIM",MAX(TAB_HISTORICO_MANUT[[#This Row],[Hora Final]]-TAB_HISTORICO_MANUT[[#This Row],[Hora Inicio]],0),0)</f>
        <v>0</v>
      </c>
      <c r="W1022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22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22" s="117">
        <v>46299.245844907404</v>
      </c>
      <c r="Z1022" s="118">
        <v>46299.407754629632</v>
      </c>
      <c r="AA1022" s="119" t="s">
        <v>228</v>
      </c>
      <c r="AB1022" s="119" t="s">
        <v>1650</v>
      </c>
      <c r="AC1022" s="115" t="s">
        <v>204</v>
      </c>
      <c r="AD1022" s="117" t="s">
        <v>144</v>
      </c>
      <c r="AE1022" s="117" t="s">
        <v>172</v>
      </c>
      <c r="AF1022" s="122" t="s">
        <v>210</v>
      </c>
      <c r="AG1022" s="123">
        <f>IF(TAB_HISTORICO_MANUT[[#This Row],[Hora Inicio]]="","",MONTH(TAB_HISTORICO_MANUT[[#This Row],[Hora Inicio]]))</f>
        <v>10</v>
      </c>
      <c r="AH1022" s="120" t="s">
        <v>1655</v>
      </c>
      <c r="AI1022" s="115" t="s">
        <v>24</v>
      </c>
      <c r="AJ1022" s="115" t="s">
        <v>22</v>
      </c>
      <c r="AK1022" s="115" t="s">
        <v>1234</v>
      </c>
      <c r="AL1022" s="115" t="s">
        <v>282</v>
      </c>
      <c r="AM1022" s="121" t="s">
        <v>283</v>
      </c>
      <c r="AN1022" s="115" t="s">
        <v>217</v>
      </c>
      <c r="AO1022" s="115" t="s">
        <v>405</v>
      </c>
      <c r="AP1022" s="115" t="s">
        <v>403</v>
      </c>
    </row>
    <row r="1023" spans="1:42" ht="50.1" customHeight="1" x14ac:dyDescent="0.25">
      <c r="A1023" s="43">
        <f>MONTH(TAB_HISTORICO_MANUT[[#This Row],[Hora Final]])-MONTH(TAB_HISTORICO_MANUT[[#This Row],[Hora Inicio]])</f>
        <v>0</v>
      </c>
      <c r="B1023" s="42"/>
      <c r="C1023" s="43"/>
      <c r="D1023" s="42"/>
      <c r="E1023" s="42"/>
      <c r="F1023" s="42"/>
      <c r="G1023" s="42"/>
      <c r="H1023" s="42"/>
      <c r="I1023" s="42"/>
      <c r="J1023" s="42"/>
      <c r="K1023" s="42"/>
      <c r="L1023" s="42"/>
      <c r="M1023" s="42"/>
      <c r="N1023" s="89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Inicio]]=Z1022,TAB_HISTORICO_MANUT[[#This Row],[Equipamento]]=AA1022,TAB_HISTORICO_MANUT[[#This Row],[Descricao Despacho]]=AD1022),0,1)))</f>
        <v>1</v>
      </c>
      <c r="O1023" s="50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1023" s="50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023" s="50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023" s="50">
        <f>IF($Q1023="","",(TAB_HISTORICO_MANUT[[#This Row],[Hora Final]]-TAB_HISTORICO_MANUT[[#This Row],[Hora Inicio]])*24)</f>
        <v>14.542500000097789</v>
      </c>
      <c r="S1023" s="51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023" s="54" t="str">
        <f>IF(AND(TAB_HISTORICO_MANUT[[#This Row],[EXPURGO Mãe]]="SIM",TAB_HISTORICO_MANUT[[#This Row],[Tipo]]="MÃE"),"EXP.MAE",IF(TAB_HISTORICO_MANUT[[#This Row],[EXPURGO Mãe]]="NÃO","NÃO EXP.MAE",T1022))</f>
        <v>NÃO EXP.MAE</v>
      </c>
      <c r="U1023" s="51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23" s="56">
        <f>IF(TAB_HISTORICO_MANUT[[#This Row],[EXPURGO Filhas]]="SIM",MAX(TAB_HISTORICO_MANUT[[#This Row],[Hora Final]]-TAB_HISTORICO_MANUT[[#This Row],[Hora Inicio]],0),0)</f>
        <v>0</v>
      </c>
      <c r="W1023" s="56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23" s="56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23" s="46">
        <v>46299.530648148146</v>
      </c>
      <c r="Z1023" s="47">
        <v>46300.13658564815</v>
      </c>
      <c r="AA1023" s="48" t="s">
        <v>228</v>
      </c>
      <c r="AB1023" s="48"/>
      <c r="AC1023" s="43" t="s">
        <v>204</v>
      </c>
      <c r="AD1023" s="46" t="s">
        <v>144</v>
      </c>
      <c r="AE1023" s="46" t="s">
        <v>172</v>
      </c>
      <c r="AF1023" s="88" t="s">
        <v>210</v>
      </c>
      <c r="AG1023" s="105">
        <f>IF(TAB_HISTORICO_MANUT[[#This Row],[Hora Inicio]]="","",MONTH(TAB_HISTORICO_MANUT[[#This Row],[Hora Inicio]]))</f>
        <v>10</v>
      </c>
      <c r="AH1023" s="120" t="s">
        <v>1656</v>
      </c>
      <c r="AI1023" s="115" t="s">
        <v>24</v>
      </c>
      <c r="AJ1023" s="115" t="s">
        <v>223</v>
      </c>
      <c r="AK1023" s="43" t="s">
        <v>422</v>
      </c>
      <c r="AL1023" s="43" t="s">
        <v>279</v>
      </c>
      <c r="AM1023" s="114" t="s">
        <v>280</v>
      </c>
      <c r="AN1023" s="43"/>
      <c r="AO1023" s="43"/>
      <c r="AP1023" s="43"/>
    </row>
    <row r="1024" spans="1:42" ht="50.1" customHeight="1" x14ac:dyDescent="0.25">
      <c r="A1024" s="115">
        <f>MONTH(TAB_HISTORICO_MANUT[[#This Row],[Hora Final]])-MONTH(TAB_HISTORICO_MANUT[[#This Row],[Hora Inicio]])</f>
        <v>0</v>
      </c>
      <c r="B1024" s="116"/>
      <c r="C1024" s="115"/>
      <c r="D1024" s="116"/>
      <c r="E1024" s="116"/>
      <c r="F1024" s="116"/>
      <c r="G1024" s="116"/>
      <c r="H1024" s="116"/>
      <c r="I1024" s="116"/>
      <c r="J1024" s="116"/>
      <c r="K1024" s="116"/>
      <c r="L1024" s="116"/>
      <c r="M1024" s="116"/>
      <c r="N1024" s="113">
        <f>IF(TAB_HISTORICO_MANUT[[#This Row],[AJUSTE - OCORRENCIA (0 / 1)]]&lt;&gt;"",TAB_HISTORICO_MANUT[[#This Row],[AJUSTE - OCORRENCIA (0 / 1)]],IF(OR(TAB_HISTORICO_MANUT[[#This Row],[Tipo]]="Filha",TAB_HISTORICO_MANUT[[#This Row],[Tipo]]=""),"",IF(AND(TAB_HISTORICO_MANUT[[#This Row],[Hora Inicio]]=Z1023,TAB_HISTORICO_MANUT[[#This Row],[Equipamento]]=AA1023,TAB_HISTORICO_MANUT[[#This Row],[Descricao Despacho]]=AD1023),0,1)))</f>
        <v>1</v>
      </c>
      <c r="O1024" s="107" t="str">
        <f>IF(TAB_HISTORICO_MANUT[[#This Row],[CONT. OCOR.]]="","",IF(TAB_HISTORICO_MANUT[[#This Row],[AJUSTE - SISTEMA]]&lt;&gt;"",TAB_HISTORICO_MANUT[[#This Row],[AJUSTE - SISTEMA]],IFERROR(VLOOKUP(TAB_HISTORICO_MANUT[[#This Row],[Sistema2]]&amp;TAB_HISTORICO_MANUT[[#This Row],[Conjunto]],AJUSTE_PERFIL[#All],2,0),VLOOKUP(TAB_HISTORICO_MANUT[[#This Row],[Sistema2]],AJUSTE_PERFIL[],2,0))))</f>
        <v>DIRECAO</v>
      </c>
      <c r="P1024" s="107" t="str">
        <f>IF(TAB_HISTORICO_MANUT[[#This Row],[CONT. OCOR.]]="","",IF(TAB_HISTORICO_MANUT[[#This Row],[Ajuste - Cod. Despacho]]="",TAB_HISTORICO_MANUT[[#This Row],[Descricao Despacho]],TAB_HISTORICO_MANUT[[#This Row],[Ajuste - Cod. Despacho]]))</f>
        <v>HMC - Hora de Manutenção Corretiva</v>
      </c>
      <c r="Q1024" s="107" t="str">
        <f>IF(TAB_HISTORICO_MANUT[[#This Row],[CONT. OCOR.]]="","",IF(TAB_HISTORICO_MANUT[[#This Row],[AJUSTE - BUILD UP]]&lt;&gt;"",TAB_HISTORICO_MANUT[[#This Row],[AJUSTE - BUILD UP]],IF(TAB_HISTORICO_MANUT[[#This Row],[Descricao Despacho]]=LISTAS_APOIO!$I$5,LISTAS_APOIO!$B$3,IF(OR(TAB_HISTORICO_MANUT[[#This Row],[Descricao Despacho]]=LISTAS_APOIO!$I$3,TAB_HISTORICO_MANUT[[#This Row],[Descricao Despacho]]=LISTAS_APOIO!$I$5),VLOOKUP(TAB_HISTORICO_MANUT[[#This Row],[SISTEMA / PERFIL]],APOIO_EXPURGO_BUILD.UP[[Perfil de perdas]:[Build Up Preventia]],2,0),VLOOKUP(TAB_HISTORICO_MANUT[[#This Row],[SISTEMA / PERFIL]],APOIO_EXPURGO_BUILD.UP[[Perfil de perdas]:[Build Up Preventia]],3,0)))))</f>
        <v>Corretivas</v>
      </c>
      <c r="R1024" s="107">
        <f>IF($Q1024="","",(TAB_HISTORICO_MANUT[[#This Row],[Hora Final]]-TAB_HISTORICO_MANUT[[#This Row],[Hora Inicio]])*24)</f>
        <v>8.7088888889411464</v>
      </c>
      <c r="S1024" s="108" t="str">
        <f>IF(TAB_HISTORICO_MANUT[[#This Row],[Tipo]]&lt;&gt;"Mãe","",IF(TAB_HISTORICO_MANUT[[#This Row],[AJUSTE - EXPURGO (S/N)]]&lt;&gt;"",TAB_HISTORICO_MANUT[[#This Row],[AJUSTE - EXPURGO (S/N)]],IF(TAB_HISTORICO_MANUT[[#This Row],[Descricao Despacho]]=LISTAS_APOIO!$I$5,"SIM",IF(ISERROR(VLOOKUP(TAB_HISTORICO_MANUT[[#This Row],[Descricao Manutencao]],EXPURGO_FILHAS[EXPURGO - FILHAS],1,0)),(_xlfn.XLOOKUP(TAB_HISTORICO_MANUT[[#This Row],[SISTEMA / PERFIL]],APOIO_EXPURGO_BUILD.UP[Perfil de perdas],APOIO_EXPURGO_BUILD.UP[Expurgo],"ADICIONAR CÓDIGO",0,1)),"SIM"))))</f>
        <v>NÃO</v>
      </c>
      <c r="T1024" s="109" t="str">
        <f>IF(AND(TAB_HISTORICO_MANUT[[#This Row],[EXPURGO Mãe]]="SIM",TAB_HISTORICO_MANUT[[#This Row],[Tipo]]="MÃE"),"EXP.MAE",IF(TAB_HISTORICO_MANUT[[#This Row],[EXPURGO Mãe]]="NÃO","NÃO EXP.MAE",T1023))</f>
        <v>NÃO EXP.MAE</v>
      </c>
      <c r="U1024" s="108" t="str">
        <f>IF(TAB_HISTORICO_MANUT[[#This Row],[CHECK. EXP. MÃE]]="EXP.MAE","NÃO",IF(TAB_HISTORICO_MANUT[[#This Row],[Tipo]]="Filha",IF(TAB_HISTORICO_MANUT[[#This Row],[AJUSTE - EXPURGO (S/N)]]="",(IF(ISERROR(VLOOKUP(TAB_HISTORICO_MANUT[[#This Row],[Descricao Manutencao]],EXPURGO_FILHAS[EXPURGO - FILHAS],1,0)),"NÃO","SIM")),TAB_HISTORICO_MANUT[[#This Row],[AJUSTE - EXPURGO (S/N)]]),"NÃO"))</f>
        <v>NÃO</v>
      </c>
      <c r="V1024" s="110">
        <f>IF(TAB_HISTORICO_MANUT[[#This Row],[EXPURGO Filhas]]="SIM",MAX(TAB_HISTORICO_MANUT[[#This Row],[Hora Final]]-TAB_HISTORICO_MANUT[[#This Row],[Hora Inicio]],0),0)</f>
        <v>0</v>
      </c>
      <c r="W1024" s="110">
        <f>IF(AND((TAB_HISTORICO_MANUT[[#This Row],[DURAÇÃO - PRODUTO MANUAL]]+TAB_HISTORICO_MANUT[[#This Row],[DURAÇÃO - CARTA MANUAL]])=0,OR(TAB_HISTORICO_MANUT[[#This Row],[PRODUTO]]="SIM",TAB_HISTORICO_MANUT[[#This Row],[CARTA]]="SIM")),TAB_HISTORICO_MANUT[[#This Row],[Duração Ocorrencia]],TAB_HISTORICO_MANUT[[#This Row],[DURAÇÃO - PRODUTO MANUAL]]+TAB_HISTORICO_MANUT[[#This Row],[DURAÇÃO - CARTA MANUAL]])</f>
        <v>0</v>
      </c>
      <c r="X1024" s="110">
        <f>IF(AND(TAB_HISTORICO_MANUT[[#This Row],[COMPONENTE]]="SIM",TAB_HISTORICO_MANUT[[#This Row],[DURAÇÃO - COMP. MANUAL]]=""),TAB_HISTORICO_MANUT[[#This Row],[Duração Ocorrencia]],TAB_HISTORICO_MANUT[[#This Row],[DURAÇÃO - COMP. MANUAL]])</f>
        <v>0</v>
      </c>
      <c r="Y1024" s="117">
        <v>46300.64025462963</v>
      </c>
      <c r="Z1024" s="118">
        <v>46301.003125000003</v>
      </c>
      <c r="AA1024" s="119" t="s">
        <v>228</v>
      </c>
      <c r="AB1024" s="119" t="s">
        <v>1664</v>
      </c>
      <c r="AC1024" s="115" t="s">
        <v>204</v>
      </c>
      <c r="AD1024" s="117" t="s">
        <v>144</v>
      </c>
      <c r="AE1024" s="117" t="s">
        <v>172</v>
      </c>
      <c r="AF1024" s="122" t="s">
        <v>210</v>
      </c>
      <c r="AG1024" s="123">
        <f>IF(TAB_HISTORICO_MANUT[[#This Row],[Hora Inicio]]="","",MONTH(TAB_HISTORICO_MANUT[[#This Row],[Hora Inicio]]))</f>
        <v>10</v>
      </c>
      <c r="AH1024" s="120" t="s">
        <v>1665</v>
      </c>
      <c r="AI1024" s="115" t="s">
        <v>24</v>
      </c>
      <c r="AJ1024" s="115" t="s">
        <v>22</v>
      </c>
      <c r="AK1024" s="115" t="s">
        <v>1234</v>
      </c>
      <c r="AL1024" s="115" t="s">
        <v>1667</v>
      </c>
      <c r="AM1024" s="121" t="s">
        <v>283</v>
      </c>
      <c r="AN1024" s="115" t="s">
        <v>217</v>
      </c>
      <c r="AO1024" s="115" t="s">
        <v>419</v>
      </c>
      <c r="AP1024" s="115" t="s">
        <v>578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Y2:AM2"/>
    <mergeCell ref="I2:M2"/>
    <mergeCell ref="N2:R2"/>
    <mergeCell ref="S2:V2"/>
    <mergeCell ref="B2:E2"/>
    <mergeCell ref="F2:G2"/>
    <mergeCell ref="W2:X2"/>
  </mergeCells>
  <phoneticPr fontId="14" type="noConversion"/>
  <conditionalFormatting sqref="O3:O1024">
    <cfRule type="containsText" dxfId="57" priority="2" operator="containsText" text="revisão">
      <formula>NOT(ISERROR(SEARCH("revisão",O3)))</formula>
    </cfRule>
  </conditionalFormatting>
  <conditionalFormatting sqref="O4:O1024">
    <cfRule type="cellIs" dxfId="56" priority="1" operator="equal">
      <formula>"PREVENTIVA - MIDLIFE"</formula>
    </cfRule>
  </conditionalFormatting>
  <conditionalFormatting sqref="U4:U1024">
    <cfRule type="cellIs" dxfId="55" priority="3" operator="equal">
      <formula>"SIM"</formula>
    </cfRule>
  </conditionalFormatting>
  <pageMargins left="0.511811024" right="0.511811024" top="0.78740157499999996" bottom="0.78740157499999996" header="0.31496062000000002" footer="0.31496062000000002"/>
  <pageSetup orientation="portrait" verticalDpi="0" r:id="rId1"/>
  <ignoredErrors>
    <ignoredError sqref="M1025:M1048576" listDataValidatio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7255F3B-B538-4E94-9919-14830C0260C1}">
          <x14:formula1>
            <xm:f>LISTAS_APOIO!$P$2:$P$3</xm:f>
          </x14:formula1>
          <xm:sqref>F4:F439 D4:D439 B4:B439 M4:M1024</xm:sqref>
        </x14:dataValidation>
        <x14:dataValidation type="list" allowBlank="1" showInputMessage="1" showErrorMessage="1" xr:uid="{93B92AD2-529E-4B00-B710-22B95E9CCE49}">
          <x14:formula1>
            <xm:f>LISTAS_APOIO!$I$2:$I$5</xm:f>
          </x14:formula1>
          <xm:sqref>I4:I1024</xm:sqref>
        </x14:dataValidation>
        <x14:dataValidation type="list" allowBlank="1" showInputMessage="1" showErrorMessage="1" xr:uid="{B3C9A14D-5306-4FCA-83C7-31240C0D5670}">
          <x14:formula1>
            <xm:f>LISTAS_APOIO!$B$2:$B$11</xm:f>
          </x14:formula1>
          <xm:sqref>J4:J1024</xm:sqref>
        </x14:dataValidation>
        <x14:dataValidation type="list" allowBlank="1" showInputMessage="1" showErrorMessage="1" xr:uid="{13B4DF1C-BC8F-4AB4-9FA7-665B4E795222}">
          <x14:formula1>
            <xm:f>LISTAS_APOIO!$R$2:$R$3</xm:f>
          </x14:formula1>
          <xm:sqref>L4:L1024</xm:sqref>
        </x14:dataValidation>
        <x14:dataValidation type="list" allowBlank="1" showInputMessage="1" showErrorMessage="1" xr:uid="{FC300D11-678D-4AEE-8B20-F251067ED4E1}">
          <x14:formula1>
            <xm:f>LISTAS_APOIO!$L$2:$L$101</xm:f>
          </x14:formula1>
          <xm:sqref>K4:K1024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39313-9961-46FB-AB07-48E11AD080F7}">
  <dimension ref="A1:L52"/>
  <sheetViews>
    <sheetView showGridLines="0" topLeftCell="A45" zoomScale="85" zoomScaleNormal="85" workbookViewId="0">
      <selection activeCell="E20" sqref="E20"/>
    </sheetView>
  </sheetViews>
  <sheetFormatPr defaultColWidth="8.85546875" defaultRowHeight="50.1" customHeight="1" x14ac:dyDescent="0.25"/>
  <cols>
    <col min="1" max="1" width="16.5703125" style="60" bestFit="1" customWidth="1"/>
    <col min="2" max="2" width="14.140625" style="83" bestFit="1" customWidth="1"/>
    <col min="3" max="3" width="19.85546875" style="83" bestFit="1" customWidth="1"/>
    <col min="4" max="4" width="12.42578125" style="92" bestFit="1" customWidth="1"/>
    <col min="5" max="5" width="21.42578125" style="60" customWidth="1"/>
    <col min="6" max="6" width="23.85546875" style="60" bestFit="1" customWidth="1"/>
    <col min="7" max="7" width="14.42578125" style="83" customWidth="1"/>
    <col min="8" max="8" width="10.42578125" style="83" customWidth="1"/>
    <col min="9" max="9" width="21" style="60" bestFit="1" customWidth="1"/>
    <col min="10" max="10" width="21.85546875" style="83" customWidth="1"/>
    <col min="11" max="11" width="63.85546875" style="31" customWidth="1"/>
    <col min="12" max="12" width="35.85546875" style="31" customWidth="1"/>
    <col min="13" max="16384" width="8.85546875" style="60"/>
  </cols>
  <sheetData>
    <row r="1" spans="1:12" ht="50.1" customHeight="1" x14ac:dyDescent="0.25">
      <c r="A1" s="69"/>
      <c r="B1" s="160" t="s">
        <v>139</v>
      </c>
      <c r="C1" s="161"/>
      <c r="D1" s="161"/>
      <c r="E1" s="161"/>
      <c r="F1" s="161"/>
      <c r="G1" s="162"/>
      <c r="H1" s="163"/>
      <c r="I1" s="164"/>
      <c r="J1" s="164"/>
      <c r="K1" s="165"/>
      <c r="L1" s="70">
        <f>LARGE(TAB_HISTORICO_MANUT[Hora Final],1)</f>
        <v>46301.999988425923</v>
      </c>
    </row>
    <row r="2" spans="1:12" ht="50.1" customHeight="1" x14ac:dyDescent="0.25">
      <c r="A2" s="66" t="s">
        <v>129</v>
      </c>
      <c r="B2" s="87" t="s">
        <v>130</v>
      </c>
      <c r="C2" s="90" t="s">
        <v>131</v>
      </c>
      <c r="D2" s="91" t="s">
        <v>132</v>
      </c>
      <c r="E2" s="71" t="s">
        <v>133</v>
      </c>
      <c r="F2" s="71" t="s">
        <v>134</v>
      </c>
      <c r="G2" s="81" t="s">
        <v>135</v>
      </c>
      <c r="H2" s="84" t="s">
        <v>136</v>
      </c>
      <c r="I2" s="72" t="s">
        <v>140</v>
      </c>
      <c r="J2" s="103" t="s">
        <v>137</v>
      </c>
      <c r="K2" s="73" t="s">
        <v>141</v>
      </c>
      <c r="L2" s="73" t="s">
        <v>5</v>
      </c>
    </row>
    <row r="3" spans="1:12" ht="50.1" customHeight="1" x14ac:dyDescent="0.25">
      <c r="A3" s="61" t="s">
        <v>228</v>
      </c>
      <c r="B3" s="85">
        <v>250</v>
      </c>
      <c r="C3" s="86">
        <v>46030.333333333336</v>
      </c>
      <c r="D3" s="124">
        <v>0.375</v>
      </c>
      <c r="E3" s="62">
        <v>46041.11886574074</v>
      </c>
      <c r="F3" s="62">
        <v>46041.518252314818</v>
      </c>
      <c r="G3" s="82">
        <f>MTBF_POS_PM[[#This Row],[Termino Realizado]]-MTBF_POS_PM[[#This Row],[Data da PM Realizada]]</f>
        <v>0.39938657407765277</v>
      </c>
      <c r="H3" s="85">
        <v>80</v>
      </c>
      <c r="I3" s="104">
        <v>46045.851180555554</v>
      </c>
      <c r="J3" s="85" t="str">
        <f>IF(OR(MTBF_POS_PM[[#This Row],[SISTEMA]]="REVISÃO PREVENTIVA",MTBF_POS_PM[[#This Row],[SISTEMA]]="EM OPERAÇÃO PÓS.PM"),"NÃO","SIM")</f>
        <v>SIM</v>
      </c>
      <c r="K3" s="63" t="str" cm="1">
        <f t="array" ref="K3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BAIXO NIVEL DO OLEO DO MOTOR -  202600434500  REINSTABELECIDO ALIMENTAÇÃO E SINAL DO SENSOR DE BAIXO NIVEL DE OLEO DO MOTOR 1150588</v>
      </c>
      <c r="L3" s="63" t="str" cm="1">
        <f t="array" ref="L3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ELETRICO</v>
      </c>
    </row>
    <row r="4" spans="1:12" ht="50.1" customHeight="1" x14ac:dyDescent="0.25">
      <c r="A4" s="61" t="s">
        <v>232</v>
      </c>
      <c r="B4" s="85">
        <v>500</v>
      </c>
      <c r="C4" s="86">
        <v>46031.833333333336</v>
      </c>
      <c r="D4" s="124">
        <v>0.875</v>
      </c>
      <c r="E4" s="62">
        <v>46046.13685185185</v>
      </c>
      <c r="F4" s="62">
        <v>46047.415636574071</v>
      </c>
      <c r="G4" s="82">
        <f>MTBF_POS_PM[[#This Row],[Termino Realizado]]-MTBF_POS_PM[[#This Row],[Data da PM Realizada]]</f>
        <v>1.2787847222207347</v>
      </c>
      <c r="H4" s="85">
        <v>80</v>
      </c>
      <c r="I4" s="104">
        <v>46048.928402777776</v>
      </c>
      <c r="J4" s="85" t="str">
        <f>IF(OR(MTBF_POS_PM[[#This Row],[SISTEMA]]="REVISÃO PREVENTIVA",MTBF_POS_PM[[#This Row],[SISTEMA]]="EM OPERAÇÃO PÓS.PM"),"NÃO","SIM")</f>
        <v>SIM</v>
      </c>
      <c r="K4" s="63" t="str" cm="1">
        <f t="array" ref="K4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BAIXO RENDIMENTO - REALIZAR DRENAGEM DOS FILTROS SEPARADORES DE COMBUSTÍVEL - 202600477886</v>
      </c>
      <c r="L4" s="63" t="str" cm="1">
        <f t="array" ref="L4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MOTOR DE COMBUSTÃO</v>
      </c>
    </row>
    <row r="5" spans="1:12" ht="50.1" customHeight="1" x14ac:dyDescent="0.25">
      <c r="A5" s="61" t="s">
        <v>209</v>
      </c>
      <c r="B5" s="85">
        <v>500</v>
      </c>
      <c r="C5" s="86">
        <v>46036.833333333336</v>
      </c>
      <c r="D5" s="124">
        <v>0.875</v>
      </c>
      <c r="E5" s="62">
        <v>46040.134016203701</v>
      </c>
      <c r="F5" s="62">
        <v>46041.053483796299</v>
      </c>
      <c r="G5" s="82">
        <f>MTBF_POS_PM[[#This Row],[Termino Realizado]]-MTBF_POS_PM[[#This Row],[Data da PM Realizada]]</f>
        <v>0.919467592597357</v>
      </c>
      <c r="H5" s="85">
        <v>80</v>
      </c>
      <c r="I5" s="104">
        <v>46043.665532407409</v>
      </c>
      <c r="J5" s="85" t="str">
        <f>IF(OR(MTBF_POS_PM[[#This Row],[SISTEMA]]="REVISÃO PREVENTIVA",MTBF_POS_PM[[#This Row],[SISTEMA]]="EM OPERAÇÃO PÓS.PM"),"NÃO","SIM")</f>
        <v>SIM</v>
      </c>
      <c r="K5" s="63" t="str" cm="1">
        <f t="array" ref="K5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SEM PARTIDA - REALIZAR SUBSTITUIÇÃO DAS BATERIAS - 202600397699</v>
      </c>
      <c r="L5" s="63" t="str" cm="1">
        <f t="array" ref="L5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ELETRICO</v>
      </c>
    </row>
    <row r="6" spans="1:12" ht="50.1" customHeight="1" x14ac:dyDescent="0.25">
      <c r="A6" s="61" t="s">
        <v>208</v>
      </c>
      <c r="B6" s="85">
        <v>250</v>
      </c>
      <c r="C6" s="86">
        <v>46046.333333333336</v>
      </c>
      <c r="D6" s="124">
        <v>0.58333333333333304</v>
      </c>
      <c r="E6" s="62">
        <v>46048.696030092593</v>
      </c>
      <c r="F6" s="62">
        <v>46048.808622685188</v>
      </c>
      <c r="G6" s="82">
        <f>MTBF_POS_PM[[#This Row],[Termino Realizado]]-MTBF_POS_PM[[#This Row],[Data da PM Realizada]]</f>
        <v>0.11259259259531973</v>
      </c>
      <c r="H6" s="85">
        <v>80</v>
      </c>
      <c r="I6" s="104">
        <v>46049.63045138889</v>
      </c>
      <c r="J6" s="85" t="str">
        <f>IF(OR(MTBF_POS_PM[[#This Row],[SISTEMA]]="REVISÃO PREVENTIVA",MTBF_POS_PM[[#This Row],[SISTEMA]]="EM OPERAÇÃO PÓS.PM"),"NÃO","SIM")</f>
        <v>SIM</v>
      </c>
      <c r="K6" s="63" t="str" cm="1">
        <f t="array" ref="K6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VAZAMENTO NA MANGUEIRA DO FILTRO DE COMBUSTIVEL - SUBSTITUIR FILTRO SEPARADOR DE ÁGUA - 202600496379</v>
      </c>
      <c r="L6" s="63" t="str" cm="1">
        <f t="array" ref="L6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MOTOR DE COMBUSTÃO</v>
      </c>
    </row>
    <row r="7" spans="1:12" ht="50.1" customHeight="1" x14ac:dyDescent="0.25">
      <c r="A7" s="61" t="s">
        <v>209</v>
      </c>
      <c r="B7" s="85">
        <v>250</v>
      </c>
      <c r="C7" s="86">
        <v>46053.333333333336</v>
      </c>
      <c r="D7" s="124">
        <v>0.25</v>
      </c>
      <c r="E7" s="62">
        <v>46055.577488425923</v>
      </c>
      <c r="F7" s="62">
        <v>46056.019201388888</v>
      </c>
      <c r="G7" s="82">
        <f>MTBF_POS_PM[[#This Row],[Termino Realizado]]-MTBF_POS_PM[[#This Row],[Data da PM Realizada]]</f>
        <v>0.44171296296553919</v>
      </c>
      <c r="H7" s="85">
        <v>80</v>
      </c>
      <c r="I7" s="104">
        <v>46057.588437500002</v>
      </c>
      <c r="J7" s="85" t="str">
        <f>IF(OR(MTBF_POS_PM[[#This Row],[SISTEMA]]="REVISÃO PREVENTIVA",MTBF_POS_PM[[#This Row],[SISTEMA]]="EM OPERAÇÃO PÓS.PM"),"NÃO","SIM")</f>
        <v>SIM</v>
      </c>
      <c r="K7" s="63" t="str" cm="1">
        <f t="array" ref="K7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TM3- BAIXA PRESSÃO DO ÓLEO DO MOTOR- CORRIGIDO LINHA DE SINAL DO SENSOR DE PRESSÃO ATMOSFERICA</v>
      </c>
      <c r="L7" s="63" t="str" cm="1">
        <f t="array" ref="L7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ELETRICO</v>
      </c>
    </row>
    <row r="8" spans="1:12" ht="50.1" customHeight="1" x14ac:dyDescent="0.25">
      <c r="A8" s="61" t="s">
        <v>228</v>
      </c>
      <c r="B8" s="85">
        <v>500</v>
      </c>
      <c r="C8" s="86">
        <v>46054.333333333336</v>
      </c>
      <c r="D8" s="124">
        <v>0.875</v>
      </c>
      <c r="E8" s="62">
        <v>46058.331087962964</v>
      </c>
      <c r="F8" s="62">
        <v>46060.5234837963</v>
      </c>
      <c r="G8" s="82">
        <f>MTBF_POS_PM[[#This Row],[Termino Realizado]]-MTBF_POS_PM[[#This Row],[Data da PM Realizada]]</f>
        <v>2.1923958333354676</v>
      </c>
      <c r="H8" s="85">
        <v>80</v>
      </c>
      <c r="I8" s="104">
        <v>46060.716145833336</v>
      </c>
      <c r="J8" s="85" t="str">
        <f>IF(OR(MTBF_POS_PM[[#This Row],[SISTEMA]]="REVISÃO PREVENTIVA",MTBF_POS_PM[[#This Row],[SISTEMA]]="EM OPERAÇÃO PÓS.PM"),"NÃO","SIM")</f>
        <v>SIM</v>
      </c>
      <c r="K8" s="63" t="str" cm="1">
        <f t="array" ref="K8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BAIXA PRESSÃO DO FREIO. -  REALIZAR AJUSTES DA VÁLVULA DE CONTROLE DE FREIO.- 202600713368  CALIBRADO PACOTE DE EMBREAGEM DA TRANSMISSÃO.</v>
      </c>
      <c r="L8" s="63" t="str" cm="1">
        <f t="array" ref="L8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SISTEMA DE FREIO</v>
      </c>
    </row>
    <row r="9" spans="1:12" ht="50.1" customHeight="1" x14ac:dyDescent="0.25">
      <c r="A9" s="61" t="s">
        <v>232</v>
      </c>
      <c r="B9" s="85">
        <v>250</v>
      </c>
      <c r="C9" s="86">
        <v>46063.541666666664</v>
      </c>
      <c r="D9" s="124">
        <v>0.375</v>
      </c>
      <c r="E9" s="62"/>
      <c r="F9" s="62"/>
      <c r="G9" s="82">
        <f>MTBF_POS_PM[[#This Row],[Termino Realizado]]-MTBF_POS_PM[[#This Row],[Data da PM Realizada]]</f>
        <v>0</v>
      </c>
      <c r="H9" s="85">
        <v>80</v>
      </c>
      <c r="I9" s="104" t="s">
        <v>143</v>
      </c>
      <c r="J9" s="85" t="str">
        <f>IF(OR(MTBF_POS_PM[[#This Row],[SISTEMA]]="REVISÃO PREVENTIVA",MTBF_POS_PM[[#This Row],[SISTEMA]]="EM OPERAÇÃO PÓS.PM"),"NÃO","SIM")</f>
        <v>NÃO</v>
      </c>
      <c r="K9" s="63" t="str" cm="1">
        <f t="array" ref="K9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SEM OCORRENCIA</v>
      </c>
      <c r="L9" s="63" t="str" cm="1">
        <f t="array" ref="L9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EM OPERAÇÃO PÓS.PM</v>
      </c>
    </row>
    <row r="10" spans="1:12" ht="50.1" customHeight="1" x14ac:dyDescent="0.25">
      <c r="A10" s="61" t="s">
        <v>208</v>
      </c>
      <c r="B10" s="85">
        <v>500</v>
      </c>
      <c r="C10" s="86">
        <v>46063.833333333336</v>
      </c>
      <c r="D10" s="124">
        <v>0.875</v>
      </c>
      <c r="E10" s="62">
        <v>46068.044849537036</v>
      </c>
      <c r="F10" s="62">
        <v>46069.538773148146</v>
      </c>
      <c r="G10" s="82">
        <f>MTBF_POS_PM[[#This Row],[Termino Realizado]]-MTBF_POS_PM[[#This Row],[Data da PM Realizada]]</f>
        <v>1.4939236111094942</v>
      </c>
      <c r="H10" s="85">
        <v>80</v>
      </c>
      <c r="I10" s="104">
        <v>46070.380567129629</v>
      </c>
      <c r="J10" s="85" t="str">
        <f>IF(OR(MTBF_POS_PM[[#This Row],[SISTEMA]]="REVISÃO PREVENTIVA",MTBF_POS_PM[[#This Row],[SISTEMA]]="EM OPERAÇÃO PÓS.PM"),"NÃO","SIM")</f>
        <v>SIM</v>
      </c>
      <c r="K10" s="63" t="str" cm="1">
        <f t="array" ref="K10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BAIXA PRESSÃO NA BOMBA DE COMANDO DO FREIO -202600884981  SUBSTITUIDO REPARO DE ACUMULADOR DE FREIO MT:1150588</v>
      </c>
      <c r="L10" s="63" t="str" cm="1">
        <f t="array" ref="L10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SISTEMA DE FREIO</v>
      </c>
    </row>
    <row r="11" spans="1:12" ht="50.1" customHeight="1" x14ac:dyDescent="0.25">
      <c r="A11" s="61" t="s">
        <v>209</v>
      </c>
      <c r="B11" s="85">
        <v>2000</v>
      </c>
      <c r="C11" s="86">
        <v>46070.833333333336</v>
      </c>
      <c r="D11" s="124">
        <v>0.875</v>
      </c>
      <c r="E11" s="62">
        <v>46070.819606481484</v>
      </c>
      <c r="F11" s="62">
        <v>46072.185856481483</v>
      </c>
      <c r="G11" s="82">
        <f>MTBF_POS_PM[[#This Row],[Termino Realizado]]-MTBF_POS_PM[[#This Row],[Data da PM Realizada]]</f>
        <v>1.3662499999991269</v>
      </c>
      <c r="H11" s="85">
        <v>80</v>
      </c>
      <c r="I11" s="104">
        <v>46076.058842592596</v>
      </c>
      <c r="J11" s="85" t="str">
        <f>IF(OR(MTBF_POS_PM[[#This Row],[SISTEMA]]="REVISÃO PREVENTIVA",MTBF_POS_PM[[#This Row],[SISTEMA]]="EM OPERAÇÃO PÓS.PM"),"NÃO","SIM")</f>
        <v>SIM</v>
      </c>
      <c r="K11" s="63" t="str" cm="1">
        <f t="array" ref="K11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202600982587 BAIXO NIVEL DO LIQUIDO ARREFECEDOR - COMPLETADO 190 LC E 65 DE OLEO HIDRAULICO</v>
      </c>
      <c r="L11" s="63" t="str" cm="1">
        <f t="array" ref="L11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MOTOR DE COMBUSTÃO</v>
      </c>
    </row>
    <row r="12" spans="1:12" ht="50.1" customHeight="1" x14ac:dyDescent="0.25">
      <c r="A12" s="61" t="s">
        <v>228</v>
      </c>
      <c r="B12" s="85">
        <v>250</v>
      </c>
      <c r="C12" s="86">
        <v>46082.333333333336</v>
      </c>
      <c r="D12" s="124">
        <v>0.20833333333333334</v>
      </c>
      <c r="E12" s="62">
        <v>46080.044490740744</v>
      </c>
      <c r="F12" s="62">
        <v>46080.222071759257</v>
      </c>
      <c r="G12" s="82">
        <f>MTBF_POS_PM[[#This Row],[Termino Realizado]]-MTBF_POS_PM[[#This Row],[Data da PM Realizada]]</f>
        <v>0.17758101851359243</v>
      </c>
      <c r="H12" s="85">
        <v>80</v>
      </c>
      <c r="I12" s="104">
        <v>46080.763831018521</v>
      </c>
      <c r="J12" s="85" t="str">
        <f>IF(OR(MTBF_POS_PM[[#This Row],[SISTEMA]]="REVISÃO PREVENTIVA",MTBF_POS_PM[[#This Row],[SISTEMA]]="EM OPERAÇÃO PÓS.PM"),"NÃO","SIM")</f>
        <v>SIM</v>
      </c>
      <c r="K12" s="63" t="str" cm="1">
        <f t="array" ref="K12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TM_3 - ALARME DE BAIXO NÍVEL DE ÓLEO DA DIREÇÃO - 202601084452 COMPLETADO 30 LITROS DE ÓLEO</v>
      </c>
      <c r="L12" s="63" t="str" cm="1">
        <f t="array" ref="L12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DIRECAO</v>
      </c>
    </row>
    <row r="13" spans="1:12" ht="50.1" customHeight="1" x14ac:dyDescent="0.25">
      <c r="A13" s="61" t="s">
        <v>232</v>
      </c>
      <c r="B13" s="85">
        <v>12000</v>
      </c>
      <c r="C13" s="86">
        <v>46084.833333333336</v>
      </c>
      <c r="D13" s="124">
        <v>0.91666666666666663</v>
      </c>
      <c r="E13" s="62">
        <v>46088.358287037037</v>
      </c>
      <c r="F13" s="62">
        <v>46090.248888888891</v>
      </c>
      <c r="G13" s="82">
        <f>MTBF_POS_PM[[#This Row],[Termino Realizado]]-MTBF_POS_PM[[#This Row],[Data da PM Realizada]]</f>
        <v>1.8906018518537167</v>
      </c>
      <c r="H13" s="85">
        <v>80</v>
      </c>
      <c r="I13" s="104">
        <v>46090.533217592594</v>
      </c>
      <c r="J13" s="85" t="str">
        <f>IF(OR(MTBF_POS_PM[[#This Row],[SISTEMA]]="REVISÃO PREVENTIVA",MTBF_POS_PM[[#This Row],[SISTEMA]]="EM OPERAÇÃO PÓS.PM"),"NÃO","SIM")</f>
        <v>SIM</v>
      </c>
      <c r="K13" s="63" t="str" cm="1">
        <f t="array" ref="K13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TM_3 - ALARME DE BAIXO NÍVEL DE ÓLEO DA DIREÇÃO 202601260891 - COMPLETADO TODOS OS NIVEIS</v>
      </c>
      <c r="L13" s="63" t="str" cm="1">
        <f t="array" ref="L13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DIRECAO</v>
      </c>
    </row>
    <row r="14" spans="1:12" ht="50.1" customHeight="1" x14ac:dyDescent="0.25">
      <c r="A14" s="61" t="s">
        <v>208</v>
      </c>
      <c r="B14" s="85">
        <v>250</v>
      </c>
      <c r="C14" s="86">
        <v>46087.333333333336</v>
      </c>
      <c r="D14" s="124">
        <v>0.20833333333333334</v>
      </c>
      <c r="E14" s="62">
        <v>46091.379062499997</v>
      </c>
      <c r="F14" s="62">
        <v>46091.605046296296</v>
      </c>
      <c r="G14" s="82">
        <f>MTBF_POS_PM[[#This Row],[Termino Realizado]]-MTBF_POS_PM[[#This Row],[Data da PM Realizada]]</f>
        <v>0.22598379629926058</v>
      </c>
      <c r="H14" s="85">
        <v>80</v>
      </c>
      <c r="I14" s="104">
        <v>46092.513807870368</v>
      </c>
      <c r="J14" s="85" t="str">
        <f>IF(OR(MTBF_POS_PM[[#This Row],[SISTEMA]]="REVISÃO PREVENTIVA",MTBF_POS_PM[[#This Row],[SISTEMA]]="EM OPERAÇÃO PÓS.PM"),"NÃO","SIM")</f>
        <v>SIM</v>
      </c>
      <c r="K14" s="63" t="str" cm="1">
        <f t="array" ref="K14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QUEBRA DO SUPORTE DO RETROVISOR LADO ESQUERDO  202601305063 - REALIZADO SERVIÇO DE SOLDA</v>
      </c>
      <c r="L14" s="63" t="str" cm="1">
        <f t="array" ref="L14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ESTRUTURA</v>
      </c>
    </row>
    <row r="15" spans="1:12" ht="50.1" customHeight="1" x14ac:dyDescent="0.25">
      <c r="A15" s="61" t="s">
        <v>209</v>
      </c>
      <c r="B15" s="85">
        <v>250</v>
      </c>
      <c r="C15" s="86">
        <v>46088.833333333336</v>
      </c>
      <c r="D15" s="124">
        <v>0.16666666666666666</v>
      </c>
      <c r="E15" s="62">
        <v>46087.625127314815</v>
      </c>
      <c r="F15" s="62">
        <v>46087.944675925923</v>
      </c>
      <c r="G15" s="82">
        <f>MTBF_POS_PM[[#This Row],[Termino Realizado]]-MTBF_POS_PM[[#This Row],[Data da PM Realizada]]</f>
        <v>0.31954861110716593</v>
      </c>
      <c r="H15" s="85">
        <v>80</v>
      </c>
      <c r="I15" s="104">
        <v>46093.833240740743</v>
      </c>
      <c r="J15" s="85" t="str">
        <f>IF(OR(MTBF_POS_PM[[#This Row],[SISTEMA]]="REVISÃO PREVENTIVA",MTBF_POS_PM[[#This Row],[SISTEMA]]="EM OPERAÇÃO PÓS.PM"),"NÃO","SIM")</f>
        <v>SIM</v>
      </c>
      <c r="K15" s="63" t="str" cm="1">
        <f t="array" ref="K15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BAIXA PRESSÃO DO MOTOR - 202601330137  SUBSTITUIDO SENSOR DE ENTRADA SCF 1150588</v>
      </c>
      <c r="L15" s="63" t="str" cm="1">
        <f t="array" ref="L15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ELETRICO</v>
      </c>
    </row>
    <row r="16" spans="1:12" ht="50.1" customHeight="1" x14ac:dyDescent="0.25">
      <c r="A16" s="61" t="s">
        <v>232</v>
      </c>
      <c r="B16" s="85">
        <v>250</v>
      </c>
      <c r="C16" s="86">
        <v>46102.333333333336</v>
      </c>
      <c r="D16" s="124">
        <v>0.5</v>
      </c>
      <c r="E16" s="62">
        <v>46104.83803240741</v>
      </c>
      <c r="F16" s="62">
        <v>46105.183125000003</v>
      </c>
      <c r="G16" s="82">
        <f>MTBF_POS_PM[[#This Row],[Termino Realizado]]-MTBF_POS_PM[[#This Row],[Data da PM Realizada]]</f>
        <v>0.3450925925935735</v>
      </c>
      <c r="H16" s="85">
        <v>80</v>
      </c>
      <c r="I16" s="104">
        <v>46105.394872685189</v>
      </c>
      <c r="J16" s="85" t="str">
        <f>IF(OR(MTBF_POS_PM[[#This Row],[SISTEMA]]="REVISÃO PREVENTIVA",MTBF_POS_PM[[#This Row],[SISTEMA]]="EM OPERAÇÃO PÓS.PM"),"NÃO","SIM")</f>
        <v>SIM</v>
      </c>
      <c r="K16" s="63" t="str" cm="1">
        <f t="array" ref="K16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202601533278- COMPLETAR NIVEL DE OLEO HIDRAULICO- COMPLETADO 400 LT DE OLEO HIDRAULICO</v>
      </c>
      <c r="L16" s="63" t="str" cm="1">
        <f t="array" ref="L16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HIDRAULICO</v>
      </c>
    </row>
    <row r="17" spans="1:12" ht="50.1" customHeight="1" x14ac:dyDescent="0.25">
      <c r="A17" s="61" t="s">
        <v>209</v>
      </c>
      <c r="B17" s="85">
        <v>500</v>
      </c>
      <c r="C17" s="86">
        <v>46102.833333333336</v>
      </c>
      <c r="D17" s="124">
        <v>0.95833333333333337</v>
      </c>
      <c r="E17" s="62">
        <v>46112.110972222225</v>
      </c>
      <c r="F17" s="62">
        <v>46113.088425925926</v>
      </c>
      <c r="G17" s="82">
        <f>MTBF_POS_PM[[#This Row],[Termino Realizado]]-MTBF_POS_PM[[#This Row],[Data da PM Realizada]]</f>
        <v>0.97745370370103046</v>
      </c>
      <c r="H17" s="85">
        <v>80</v>
      </c>
      <c r="I17" s="104">
        <v>46113.418078703704</v>
      </c>
      <c r="J17" s="85" t="str">
        <f>IF(OR(MTBF_POS_PM[[#This Row],[SISTEMA]]="REVISÃO PREVENTIVA",MTBF_POS_PM[[#This Row],[SISTEMA]]="EM OPERAÇÃO PÓS.PM"),"NÃO","SIM")</f>
        <v>SIM</v>
      </c>
      <c r="K17" s="63" t="str" cm="1">
        <f t="array" ref="K17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202601691176 VAZAMENTO HIDRÁULICO NO TUBO DO ÓLEO PILOTO DO GRUPO DE ELEVAÇÃO - SUB TUBO PILOTO DO OLEO DE ELEVA</v>
      </c>
      <c r="L17" s="63" t="str" cm="1">
        <f t="array" ref="L17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HIDRAULICO</v>
      </c>
    </row>
    <row r="18" spans="1:12" ht="50.1" customHeight="1" x14ac:dyDescent="0.25">
      <c r="A18" s="61" t="s">
        <v>208</v>
      </c>
      <c r="B18" s="85">
        <v>2000</v>
      </c>
      <c r="C18" s="86">
        <v>46108.833333333336</v>
      </c>
      <c r="D18" s="124">
        <v>0.875</v>
      </c>
      <c r="E18" s="62">
        <v>46116.372013888889</v>
      </c>
      <c r="F18" s="62">
        <v>46119.616666666669</v>
      </c>
      <c r="G18" s="82">
        <f>MTBF_POS_PM[[#This Row],[Termino Realizado]]-MTBF_POS_PM[[#This Row],[Data da PM Realizada]]</f>
        <v>3.2446527777792653</v>
      </c>
      <c r="H18" s="85">
        <v>80</v>
      </c>
      <c r="I18" s="104">
        <v>46123.295613425929</v>
      </c>
      <c r="J18" s="85" t="str">
        <f>IF(OR(MTBF_POS_PM[[#This Row],[SISTEMA]]="REVISÃO PREVENTIVA",MTBF_POS_PM[[#This Row],[SISTEMA]]="EM OPERAÇÃO PÓS.PM"),"NÃO","SIM")</f>
        <v>SIM</v>
      </c>
      <c r="K18" s="63" t="str" cm="1">
        <f t="array" ref="K18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FALHA NA ELEVAÇÃO- COMPLETADO 400 L DE ÓLEO HIDRAULICO</v>
      </c>
      <c r="L18" s="63" t="str" cm="1">
        <f t="array" ref="L18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ELEVAÇÃO</v>
      </c>
    </row>
    <row r="19" spans="1:12" ht="50.1" customHeight="1" x14ac:dyDescent="0.25">
      <c r="A19" s="61" t="s">
        <v>228</v>
      </c>
      <c r="B19" s="85">
        <v>1000</v>
      </c>
      <c r="C19" s="86">
        <v>46110.333333333336</v>
      </c>
      <c r="D19" s="124">
        <v>0.875</v>
      </c>
      <c r="E19" s="62">
        <v>46119.126157407409</v>
      </c>
      <c r="F19" s="62">
        <v>46121.986203703702</v>
      </c>
      <c r="G19" s="82">
        <f>MTBF_POS_PM[[#This Row],[Termino Realizado]]-MTBF_POS_PM[[#This Row],[Data da PM Realizada]]</f>
        <v>2.8600462962931488</v>
      </c>
      <c r="H19" s="85">
        <v>80</v>
      </c>
      <c r="I19" s="104">
        <v>46123.27579861111</v>
      </c>
      <c r="J19" s="85" t="str">
        <f>IF(OR(MTBF_POS_PM[[#This Row],[SISTEMA]]="REVISÃO PREVENTIVA",MTBF_POS_PM[[#This Row],[SISTEMA]]="EM OPERAÇÃO PÓS.PM"),"NÃO","SIM")</f>
        <v>SIM</v>
      </c>
      <c r="K19" s="63" t="str" cm="1">
        <f t="array" ref="K19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FALHA NO EXTRATOR DE BLOCOS - REALIZADO REPARO NO EXTRATOR DE BLOCOS</v>
      </c>
      <c r="L19" s="63" t="str" cm="1">
        <f t="array" ref="L19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ESTRUTURA</v>
      </c>
    </row>
    <row r="20" spans="1:12" ht="50.1" customHeight="1" x14ac:dyDescent="0.25">
      <c r="A20" s="61" t="s">
        <v>232</v>
      </c>
      <c r="B20" s="85">
        <v>500</v>
      </c>
      <c r="C20" s="86">
        <v>46117.833333333336</v>
      </c>
      <c r="D20" s="124">
        <v>0.875</v>
      </c>
      <c r="E20" s="62"/>
      <c r="F20" s="62"/>
      <c r="G20" s="82">
        <f>MTBF_POS_PM[[#This Row],[Termino Realizado]]-MTBF_POS_PM[[#This Row],[Data da PM Realizada]]</f>
        <v>0</v>
      </c>
      <c r="H20" s="85">
        <v>80</v>
      </c>
      <c r="I20" s="104" t="s">
        <v>143</v>
      </c>
      <c r="J20" s="85" t="str">
        <f>IF(OR(MTBF_POS_PM[[#This Row],[SISTEMA]]="REVISÃO PREVENTIVA",MTBF_POS_PM[[#This Row],[SISTEMA]]="EM OPERAÇÃO PÓS.PM"),"NÃO","SIM")</f>
        <v>NÃO</v>
      </c>
      <c r="K20" s="63" t="str" cm="1">
        <f t="array" ref="K20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SEM OCORRENCIA</v>
      </c>
      <c r="L20" s="63" t="str" cm="1">
        <f t="array" ref="L20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EM OPERAÇÃO PÓS.PM</v>
      </c>
    </row>
    <row r="21" spans="1:12" ht="50.1" customHeight="1" x14ac:dyDescent="0.25">
      <c r="A21" s="61" t="s">
        <v>209</v>
      </c>
      <c r="B21" s="85">
        <v>250</v>
      </c>
      <c r="C21" s="86">
        <v>46126.333333333336</v>
      </c>
      <c r="D21" s="124">
        <v>0.29166666666666669</v>
      </c>
      <c r="E21" s="62">
        <v>46126.841087962966</v>
      </c>
      <c r="F21" s="62">
        <v>46127.203321759262</v>
      </c>
      <c r="G21" s="82">
        <f>MTBF_POS_PM[[#This Row],[Termino Realizado]]-MTBF_POS_PM[[#This Row],[Data da PM Realizada]]</f>
        <v>0.36223379629518604</v>
      </c>
      <c r="H21" s="85">
        <v>80</v>
      </c>
      <c r="I21" s="104">
        <v>46129.198611111111</v>
      </c>
      <c r="J21" s="85" t="str">
        <f>IF(OR(MTBF_POS_PM[[#This Row],[SISTEMA]]="REVISÃO PREVENTIVA",MTBF_POS_PM[[#This Row],[SISTEMA]]="EM OPERAÇÃO PÓS.PM"),"NÃO","SIM")</f>
        <v>SIM</v>
      </c>
      <c r="K21" s="63" t="str" cm="1">
        <f t="array" ref="K21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202601979199- BAIXO NIVEL DO OLEO DA TRANSMISSÃO- COMPLETADO 39LT DE OLEO DA TRANSMISSÃO</v>
      </c>
      <c r="L21" s="63" t="str" cm="1">
        <f t="array" ref="L21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TREM DE FORÇA</v>
      </c>
    </row>
    <row r="22" spans="1:12" ht="50.1" customHeight="1" x14ac:dyDescent="0.25">
      <c r="A22" s="61" t="s">
        <v>208</v>
      </c>
      <c r="B22" s="85">
        <v>250</v>
      </c>
      <c r="C22" s="86">
        <v>46129.333333333336</v>
      </c>
      <c r="D22" s="124">
        <v>0.20833333333333334</v>
      </c>
      <c r="E22" s="62">
        <v>46130.656145833331</v>
      </c>
      <c r="F22" s="62">
        <v>46130.951365740744</v>
      </c>
      <c r="G22" s="82">
        <f>MTBF_POS_PM[[#This Row],[Termino Realizado]]-MTBF_POS_PM[[#This Row],[Data da PM Realizada]]</f>
        <v>0.29521990741341142</v>
      </c>
      <c r="H22" s="85">
        <v>80</v>
      </c>
      <c r="I22" s="104">
        <v>46131.768368055556</v>
      </c>
      <c r="J22" s="85" t="str">
        <f>IF(OR(MTBF_POS_PM[[#This Row],[SISTEMA]]="REVISÃO PREVENTIVA",MTBF_POS_PM[[#This Row],[SISTEMA]]="EM OPERAÇÃO PÓS.PM"),"NÃO","SIM")</f>
        <v>SIM</v>
      </c>
      <c r="K22" s="63" t="str" cm="1">
        <f t="array" ref="K22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202602012659 FALHA NA ESCADA - SUBST VEDAÇÃO DA MANGUEIRA E ADICIONAR ÓLEO NO RESERVATÓRIO DO MOTOR DA ESCADA.</v>
      </c>
      <c r="L22" s="63" t="str" cm="1">
        <f t="array" ref="L22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ESTRUTURA</v>
      </c>
    </row>
    <row r="23" spans="1:12" ht="50.1" customHeight="1" x14ac:dyDescent="0.25">
      <c r="A23" s="61" t="s">
        <v>228</v>
      </c>
      <c r="B23" s="85">
        <v>500</v>
      </c>
      <c r="C23" s="86">
        <v>46132.333333333336</v>
      </c>
      <c r="D23" s="124">
        <v>0.16666666666666666</v>
      </c>
      <c r="E23" s="62">
        <v>46137.128032407411</v>
      </c>
      <c r="F23" s="62">
        <v>46139.770613425928</v>
      </c>
      <c r="G23" s="82">
        <f>MTBF_POS_PM[[#This Row],[Termino Realizado]]-MTBF_POS_PM[[#This Row],[Data da PM Realizada]]</f>
        <v>2.6425810185173759</v>
      </c>
      <c r="H23" s="85">
        <v>80</v>
      </c>
      <c r="I23" s="104">
        <v>46146.267233796294</v>
      </c>
      <c r="J23" s="85" t="str">
        <f>IF(OR(MTBF_POS_PM[[#This Row],[SISTEMA]]="REVISÃO PREVENTIVA",MTBF_POS_PM[[#This Row],[SISTEMA]]="EM OPERAÇÃO PÓS.PM"),"NÃO","SIM")</f>
        <v>SIM</v>
      </c>
      <c r="K23" s="63" t="str" cm="1">
        <f t="array" ref="K23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VAZAMENTO DE ÓLEO NA RODA DIANTEIRA DIREITA - SUBSTITUÍDO A MANGUEIRA DO FREIO DA RODA DIANTREIRO DIREITO - 202602269587</v>
      </c>
      <c r="L23" s="63" t="str" cm="1">
        <f t="array" ref="L23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SISTEMA DE FREIO</v>
      </c>
    </row>
    <row r="24" spans="1:12" ht="50.1" customHeight="1" x14ac:dyDescent="0.25">
      <c r="A24" s="61" t="s">
        <v>228</v>
      </c>
      <c r="B24" s="85">
        <v>250</v>
      </c>
      <c r="C24" s="86">
        <v>46136.833333333336</v>
      </c>
      <c r="D24" s="124">
        <v>1.25</v>
      </c>
      <c r="E24" s="62">
        <v>46154.828587962962</v>
      </c>
      <c r="F24" s="62">
        <v>46154.955277777779</v>
      </c>
      <c r="G24" s="82">
        <f>MTBF_POS_PM[[#This Row],[Termino Realizado]]-MTBF_POS_PM[[#This Row],[Data da PM Realizada]]</f>
        <v>0.12668981481692754</v>
      </c>
      <c r="H24" s="85">
        <v>80</v>
      </c>
      <c r="I24" s="104">
        <v>46157.211504629631</v>
      </c>
      <c r="J24" s="85" t="str">
        <f>IF(OR(MTBF_POS_PM[[#This Row],[SISTEMA]]="REVISÃO PREVENTIVA",MTBF_POS_PM[[#This Row],[SISTEMA]]="EM OPERAÇÃO PÓS.PM"),"NÃO","SIM")</f>
        <v>SIM</v>
      </c>
      <c r="K24" s="63" t="str" cm="1">
        <f t="array" ref="K24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202602488122 - BAIXO NIVEL DE OLEO DA DIREÇÃO - REALIZAR A SUBSTITUIÇÃO DO CILINDRO DE DIREÇÃO LADO DIREITO E COMPLETAR NÍVEIS</v>
      </c>
      <c r="L24" s="63" t="str" cm="1">
        <f t="array" ref="L24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DIRECAO</v>
      </c>
    </row>
    <row r="25" spans="1:12" ht="50.1" customHeight="1" x14ac:dyDescent="0.25">
      <c r="A25" s="61" t="s">
        <v>208</v>
      </c>
      <c r="B25" s="85">
        <v>500</v>
      </c>
      <c r="C25" s="86">
        <v>46142.833333333336</v>
      </c>
      <c r="D25" s="124">
        <v>0.875</v>
      </c>
      <c r="E25" s="62">
        <v>46142.680636574078</v>
      </c>
      <c r="F25" s="62">
        <v>46144.060810185183</v>
      </c>
      <c r="G25" s="82">
        <f>MTBF_POS_PM[[#This Row],[Termino Realizado]]-MTBF_POS_PM[[#This Row],[Data da PM Realizada]]</f>
        <v>1.3801736111054197</v>
      </c>
      <c r="H25" s="85">
        <v>80</v>
      </c>
      <c r="I25" s="104">
        <v>46149.618159722224</v>
      </c>
      <c r="J25" s="85" t="str">
        <f>IF(OR(MTBF_POS_PM[[#This Row],[SISTEMA]]="REVISÃO PREVENTIVA",MTBF_POS_PM[[#This Row],[SISTEMA]]="EM OPERAÇÃO PÓS.PM"),"NÃO","SIM")</f>
        <v>SIM</v>
      </c>
      <c r="K25" s="63" t="str" cm="1">
        <f t="array" ref="K25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DIAGNOSTICAR FALHA NA ESCADA - ABATECIDO RESERVATORIO DA ESCADA RETRATIL - 202602346445</v>
      </c>
      <c r="L25" s="63" t="str" cm="1">
        <f t="array" ref="L25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ESTRUTURA</v>
      </c>
    </row>
    <row r="26" spans="1:12" ht="50.1" customHeight="1" x14ac:dyDescent="0.25">
      <c r="A26" s="61" t="s">
        <v>209</v>
      </c>
      <c r="B26" s="85">
        <v>1000</v>
      </c>
      <c r="C26" s="86">
        <v>46143.833333333336</v>
      </c>
      <c r="D26" s="124">
        <v>0.875</v>
      </c>
      <c r="E26" s="62">
        <v>46144.113078703704</v>
      </c>
      <c r="F26" s="62">
        <v>46145.743726851855</v>
      </c>
      <c r="G26" s="82">
        <f>MTBF_POS_PM[[#This Row],[Termino Realizado]]-MTBF_POS_PM[[#This Row],[Data da PM Realizada]]</f>
        <v>1.630648148151522</v>
      </c>
      <c r="H26" s="85">
        <v>80</v>
      </c>
      <c r="I26" s="104">
        <v>46145.831620370373</v>
      </c>
      <c r="J26" s="85" t="str">
        <f>IF(OR(MTBF_POS_PM[[#This Row],[SISTEMA]]="REVISÃO PREVENTIVA",MTBF_POS_PM[[#This Row],[SISTEMA]]="EM OPERAÇÃO PÓS.PM"),"NÃO","SIM")</f>
        <v>SIM</v>
      </c>
      <c r="K26" s="63" t="str" cm="1">
        <f t="array" ref="K26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202602259754- FALHA NA SELETORA DE MARCHA. REALIZADO LIMPEZA NO CONECTOR DOS SOLENOIDES DA TRANSMISSÃO</v>
      </c>
      <c r="L26" s="63" t="str" cm="1">
        <f t="array" ref="L26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ELETRICO</v>
      </c>
    </row>
    <row r="27" spans="1:12" ht="50.1" customHeight="1" x14ac:dyDescent="0.25">
      <c r="A27" s="61" t="s">
        <v>228</v>
      </c>
      <c r="B27" s="85">
        <v>2000</v>
      </c>
      <c r="C27" s="86">
        <v>46155.333333333336</v>
      </c>
      <c r="D27" s="124">
        <v>0.25</v>
      </c>
      <c r="E27" s="62">
        <v>46175.138807870368</v>
      </c>
      <c r="F27" s="62">
        <v>46176.538402777776</v>
      </c>
      <c r="G27" s="82">
        <f>MTBF_POS_PM[[#This Row],[Termino Realizado]]-MTBF_POS_PM[[#This Row],[Data da PM Realizada]]</f>
        <v>1.3995949074087548</v>
      </c>
      <c r="H27" s="85">
        <v>80</v>
      </c>
      <c r="I27" s="104">
        <v>46176.917812500003</v>
      </c>
      <c r="J27" s="85" t="str">
        <f>IF(OR(MTBF_POS_PM[[#This Row],[SISTEMA]]="REVISÃO PREVENTIVA",MTBF_POS_PM[[#This Row],[SISTEMA]]="EM OPERAÇÃO PÓS.PM"),"NÃO","SIM")</f>
        <v>SIM</v>
      </c>
      <c r="K27" s="63" t="str" cm="1">
        <f t="array" ref="K27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CILINDRO , BAIXO RENDIMENTO - CORRIGIR FALHA ELÉTRICA NO INJETOR DE COMBUSTÍVEL DO CILINDRO 12 - 202602861852</v>
      </c>
      <c r="L27" s="63" t="str" cm="1">
        <f t="array" ref="L27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ELETRICO</v>
      </c>
    </row>
    <row r="28" spans="1:12" ht="50.1" customHeight="1" x14ac:dyDescent="0.25">
      <c r="A28" s="61" t="s">
        <v>208</v>
      </c>
      <c r="B28" s="85">
        <v>250</v>
      </c>
      <c r="C28" s="86">
        <v>46158.333333333336</v>
      </c>
      <c r="D28" s="124">
        <v>0.16666666666666666</v>
      </c>
      <c r="E28" s="62">
        <v>46158.405451388891</v>
      </c>
      <c r="F28" s="62">
        <v>46159.04315972222</v>
      </c>
      <c r="G28" s="82">
        <f>MTBF_POS_PM[[#This Row],[Termino Realizado]]-MTBF_POS_PM[[#This Row],[Data da PM Realizada]]</f>
        <v>0.63770833332819166</v>
      </c>
      <c r="H28" s="85">
        <v>80</v>
      </c>
      <c r="I28" s="104">
        <v>46163.476481481484</v>
      </c>
      <c r="J28" s="85" t="str">
        <f>IF(OR(MTBF_POS_PM[[#This Row],[SISTEMA]]="REVISÃO PREVENTIVA",MTBF_POS_PM[[#This Row],[SISTEMA]]="EM OPERAÇÃO PÓS.PM"),"NÃO","SIM")</f>
        <v>SIM</v>
      </c>
      <c r="K28" s="63" t="str" cm="1">
        <f t="array" ref="K28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202602615516- SERVIÇO DE SOLDA NO RETROVISOR- REALIZADO SERVIÇO DE SOLDA NO SUPORTE DO RETROVISOR L/E</v>
      </c>
      <c r="L28" s="63" t="str" cm="1">
        <f t="array" ref="L28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ESTRUTURA</v>
      </c>
    </row>
    <row r="29" spans="1:12" ht="50.1" customHeight="1" x14ac:dyDescent="0.25">
      <c r="A29" s="61" t="s">
        <v>209</v>
      </c>
      <c r="B29" s="85">
        <v>250</v>
      </c>
      <c r="C29" s="86">
        <v>46159.333333333336</v>
      </c>
      <c r="D29" s="124">
        <v>0.20833333333333334</v>
      </c>
      <c r="E29" s="62">
        <v>46159.593715277777</v>
      </c>
      <c r="F29" s="62">
        <v>46159.756863425922</v>
      </c>
      <c r="G29" s="82">
        <f>MTBF_POS_PM[[#This Row],[Termino Realizado]]-MTBF_POS_PM[[#This Row],[Data da PM Realizada]]</f>
        <v>0.16314814814541023</v>
      </c>
      <c r="H29" s="85">
        <v>80</v>
      </c>
      <c r="I29" s="104">
        <v>46160.685416666667</v>
      </c>
      <c r="J29" s="85" t="str">
        <f>IF(OR(MTBF_POS_PM[[#This Row],[SISTEMA]]="REVISÃO PREVENTIVA",MTBF_POS_PM[[#This Row],[SISTEMA]]="EM OPERAÇÃO PÓS.PM"),"NÃO","SIM")</f>
        <v>SIM</v>
      </c>
      <c r="K29" s="63" t="str" cm="1">
        <f t="array" ref="K29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202602550814 - FALHA NO AR CONDICIONADO- FIXADO FUSIVEL DE ALIMENTAÇÃO DO COMPRESSOR DO A/C</v>
      </c>
      <c r="L29" s="63" t="str" cm="1">
        <f t="array" ref="L29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AR CONDICIONADO</v>
      </c>
    </row>
    <row r="30" spans="1:12" ht="50.1" customHeight="1" x14ac:dyDescent="0.25">
      <c r="A30" s="61" t="s">
        <v>228</v>
      </c>
      <c r="B30" s="85">
        <v>2000</v>
      </c>
      <c r="C30" s="86">
        <v>46170.833333333336</v>
      </c>
      <c r="D30" s="124">
        <v>0.91666666666666663</v>
      </c>
      <c r="E30" s="62">
        <v>46175.138807870368</v>
      </c>
      <c r="F30" s="62">
        <v>46176.538402777776</v>
      </c>
      <c r="G30" s="82">
        <f>MTBF_POS_PM[[#This Row],[Termino Realizado]]-MTBF_POS_PM[[#This Row],[Data da PM Realizada]]</f>
        <v>1.3995949074087548</v>
      </c>
      <c r="H30" s="85">
        <v>80</v>
      </c>
      <c r="I30" s="104">
        <v>46176.917812500003</v>
      </c>
      <c r="J30" s="85" t="str">
        <f>IF(OR(MTBF_POS_PM[[#This Row],[SISTEMA]]="REVISÃO PREVENTIVA",MTBF_POS_PM[[#This Row],[SISTEMA]]="EM OPERAÇÃO PÓS.PM"),"NÃO","SIM")</f>
        <v>SIM</v>
      </c>
      <c r="K30" s="63" t="str" cm="1">
        <f t="array" ref="K30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CILINDRO , BAIXO RENDIMENTO - CORRIGIR FALHA ELÉTRICA NO INJETOR DE COMBUSTÍVEL DO CILINDRO 12 - 202602861852</v>
      </c>
      <c r="L30" s="63" t="str" cm="1">
        <f t="array" ref="L30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ELETRICO</v>
      </c>
    </row>
    <row r="31" spans="1:12" ht="50.1" customHeight="1" x14ac:dyDescent="0.25">
      <c r="A31" s="61" t="s">
        <v>209</v>
      </c>
      <c r="B31" s="85">
        <v>500</v>
      </c>
      <c r="C31" s="86">
        <v>46172.833333333336</v>
      </c>
      <c r="D31" s="124">
        <v>0.91666666666666663</v>
      </c>
      <c r="E31" s="62">
        <v>46175.640567129631</v>
      </c>
      <c r="F31" s="62">
        <v>46177.124560185184</v>
      </c>
      <c r="G31" s="82">
        <f>MTBF_POS_PM[[#This Row],[Termino Realizado]]-MTBF_POS_PM[[#This Row],[Data da PM Realizada]]</f>
        <v>1.483993055553583</v>
      </c>
      <c r="H31" s="85">
        <v>80</v>
      </c>
      <c r="I31" s="104">
        <v>46183.594687500001</v>
      </c>
      <c r="J31" s="85" t="str">
        <f>IF(OR(MTBF_POS_PM[[#This Row],[SISTEMA]]="REVISÃO PREVENTIVA",MTBF_POS_PM[[#This Row],[SISTEMA]]="EM OPERAÇÃO PÓS.PM"),"NÃO","SIM")</f>
        <v>SIM</v>
      </c>
      <c r="K31" s="63" t="str" cm="1">
        <f t="array" ref="K31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202602985086 BAIXO NÍVEL DE ÓLEO DA TRANSMISSÃO - COMPLETADO 60 LITROS DE ÓLEO HIDRAULICO E 40 LITROS DE OLEO DA TRANSMISSÃO</v>
      </c>
      <c r="L31" s="63" t="str" cm="1">
        <f t="array" ref="L31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TREM DE FORÇA</v>
      </c>
    </row>
    <row r="32" spans="1:12" ht="50.1" customHeight="1" x14ac:dyDescent="0.25">
      <c r="A32" s="61" t="s">
        <v>208</v>
      </c>
      <c r="B32" s="85">
        <v>1000</v>
      </c>
      <c r="C32" s="86">
        <v>46173.833333333336</v>
      </c>
      <c r="D32" s="124">
        <v>0.91666666666666663</v>
      </c>
      <c r="E32" s="62">
        <v>46173.98636574074</v>
      </c>
      <c r="F32" s="62">
        <v>46175.849826388891</v>
      </c>
      <c r="G32" s="82">
        <f>MTBF_POS_PM[[#This Row],[Termino Realizado]]-MTBF_POS_PM[[#This Row],[Data da PM Realizada]]</f>
        <v>1.8634606481500668</v>
      </c>
      <c r="H32" s="85">
        <v>80</v>
      </c>
      <c r="I32" s="104">
        <v>46177.3281712963</v>
      </c>
      <c r="J32" s="85" t="str">
        <f>IF(OR(MTBF_POS_PM[[#This Row],[SISTEMA]]="REVISÃO PREVENTIVA",MTBF_POS_PM[[#This Row],[SISTEMA]]="EM OPERAÇÃO PÓS.PM"),"NÃO","SIM")</f>
        <v>SIM</v>
      </c>
      <c r="K32" s="63" t="str" cm="1">
        <f t="array" ref="K32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202602874812  - RETROVISOR SOLTO -  REALIZADO REPARO NO  SUPORTE DO RETROVISOR.</v>
      </c>
      <c r="L32" s="63" t="str" cm="1">
        <f t="array" ref="L32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ESTRUTURA</v>
      </c>
    </row>
    <row r="33" spans="1:12" ht="50.1" customHeight="1" x14ac:dyDescent="0.25">
      <c r="A33" s="61" t="s">
        <v>208</v>
      </c>
      <c r="B33" s="85">
        <v>250</v>
      </c>
      <c r="C33" s="86">
        <v>46185.625</v>
      </c>
      <c r="D33" s="124">
        <v>0.16666666666666666</v>
      </c>
      <c r="E33" s="62">
        <v>46195.360000000001</v>
      </c>
      <c r="F33" s="62">
        <v>46195.582673611112</v>
      </c>
      <c r="G33" s="82">
        <f>MTBF_POS_PM[[#This Row],[Termino Realizado]]-MTBF_POS_PM[[#This Row],[Data da PM Realizada]]</f>
        <v>0.2226736111115315</v>
      </c>
      <c r="H33" s="85">
        <v>80</v>
      </c>
      <c r="I33" s="104">
        <v>46207.326967592591</v>
      </c>
      <c r="J33" s="85" t="str">
        <f>IF(OR(MTBF_POS_PM[[#This Row],[SISTEMA]]="REVISÃO PREVENTIVA",MTBF_POS_PM[[#This Row],[SISTEMA]]="EM OPERAÇÃO PÓS.PM"),"NÃO","SIM")</f>
        <v>SIM</v>
      </c>
      <c r="K33" s="63" t="str" cm="1">
        <f t="array" ref="K33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202602346075 VAZAMENTO DE OLEO -SUBSTITUIDO MANGUEIRA DE ARREFECIEENTO LD E COMPLE 200 LITROS DE OLEO HIDRAULICO</v>
      </c>
      <c r="L33" s="63" t="str" cm="1">
        <f t="array" ref="L33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MOTOR DE COMBUSTÃO</v>
      </c>
    </row>
    <row r="34" spans="1:12" ht="50.1" customHeight="1" x14ac:dyDescent="0.25">
      <c r="A34" s="61" t="s">
        <v>228</v>
      </c>
      <c r="B34" s="85">
        <v>250</v>
      </c>
      <c r="C34" s="86">
        <v>46188.333333333336</v>
      </c>
      <c r="D34" s="124">
        <v>0.16666666666666666</v>
      </c>
      <c r="E34" s="62">
        <v>46193.335324074076</v>
      </c>
      <c r="F34" s="62">
        <v>46193.557939814818</v>
      </c>
      <c r="G34" s="82">
        <f>MTBF_POS_PM[[#This Row],[Termino Realizado]]-MTBF_POS_PM[[#This Row],[Data da PM Realizada]]</f>
        <v>0.22261574074218515</v>
      </c>
      <c r="H34" s="85">
        <v>80</v>
      </c>
      <c r="I34" s="104">
        <v>46194.642106481479</v>
      </c>
      <c r="J34" s="85" t="str">
        <f>IF(OR(MTBF_POS_PM[[#This Row],[SISTEMA]]="REVISÃO PREVENTIVA",MTBF_POS_PM[[#This Row],[SISTEMA]]="EM OPERAÇÃO PÓS.PM"),"NÃO","SIM")</f>
        <v>SIM</v>
      </c>
      <c r="K34" s="63" t="str" cm="1">
        <f t="array" ref="K34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VAZAMENTO HIDRAÚLICO- 202603188651 - CORRIGIR VAZAMENTO DO  MANIFOLD DOS FILTRO DE  COMBUSTIVEL</v>
      </c>
      <c r="L34" s="63" t="str" cm="1">
        <f t="array" ref="L34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MOTOR DE COMBUSTÃO</v>
      </c>
    </row>
    <row r="35" spans="1:12" ht="50.1" customHeight="1" x14ac:dyDescent="0.25">
      <c r="A35" s="61" t="s">
        <v>209</v>
      </c>
      <c r="B35" s="85">
        <v>250</v>
      </c>
      <c r="C35" s="86">
        <v>46190.333333333336</v>
      </c>
      <c r="D35" s="124">
        <v>0.20833333333333334</v>
      </c>
      <c r="E35" s="62"/>
      <c r="F35" s="62"/>
      <c r="G35" s="82">
        <f>MTBF_POS_PM[[#This Row],[Termino Realizado]]-MTBF_POS_PM[[#This Row],[Data da PM Realizada]]</f>
        <v>0</v>
      </c>
      <c r="H35" s="85">
        <v>80</v>
      </c>
      <c r="I35" s="104" t="s">
        <v>143</v>
      </c>
      <c r="J35" s="85" t="str">
        <f>IF(OR(MTBF_POS_PM[[#This Row],[SISTEMA]]="REVISÃO PREVENTIVA",MTBF_POS_PM[[#This Row],[SISTEMA]]="EM OPERAÇÃO PÓS.PM"),"NÃO","SIM")</f>
        <v>NÃO</v>
      </c>
      <c r="K35" s="63" t="str" cm="1">
        <f t="array" ref="K35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SEM OCORRENCIA</v>
      </c>
      <c r="L35" s="63" t="str" cm="1">
        <f t="array" ref="L35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EM OPERAÇÃO PÓS.PM</v>
      </c>
    </row>
    <row r="36" spans="1:12" ht="50.1" customHeight="1" x14ac:dyDescent="0.25">
      <c r="A36" s="61" t="s">
        <v>232</v>
      </c>
      <c r="B36" s="85">
        <v>250</v>
      </c>
      <c r="C36" s="86">
        <v>46207.625</v>
      </c>
      <c r="D36" s="124">
        <v>0.25</v>
      </c>
      <c r="E36" s="62">
        <v>46205.305532407408</v>
      </c>
      <c r="F36" s="62">
        <v>46206.159629629627</v>
      </c>
      <c r="G36" s="82">
        <f>MTBF_POS_PM[[#This Row],[Termino Realizado]]-MTBF_POS_PM[[#This Row],[Data da PM Realizada]]</f>
        <v>0.85409722221811535</v>
      </c>
      <c r="H36" s="85">
        <v>80</v>
      </c>
      <c r="I36" s="104">
        <v>46273.536481481482</v>
      </c>
      <c r="J36" s="85" t="str">
        <f>IF(OR(MTBF_POS_PM[[#This Row],[SISTEMA]]="REVISÃO PREVENTIVA",MTBF_POS_PM[[#This Row],[SISTEMA]]="EM OPERAÇÃO PÓS.PM"),"NÃO","SIM")</f>
        <v>SIM</v>
      </c>
      <c r="K36" s="63" t="str" cm="1">
        <f t="array" ref="K36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202604717839 - FALHA NA SELETORA DE MARCHA - SUBS SELENOIDE DE MODULO DA ENBREAGEM DA TRANSMISSÃO</v>
      </c>
      <c r="L36" s="63" t="str" cm="1">
        <f t="array" ref="L36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ELETRICO</v>
      </c>
    </row>
    <row r="37" spans="1:12" ht="50.1" customHeight="1" x14ac:dyDescent="0.25">
      <c r="A37" s="61" t="s">
        <v>209</v>
      </c>
      <c r="B37" s="85">
        <v>4000</v>
      </c>
      <c r="C37" s="86">
        <v>46208.833333333336</v>
      </c>
      <c r="D37" s="124">
        <v>1.0416666666666667</v>
      </c>
      <c r="E37" s="62">
        <v>46211.424675925926</v>
      </c>
      <c r="F37" s="62">
        <v>46214.207256944443</v>
      </c>
      <c r="G37" s="82">
        <f>MTBF_POS_PM[[#This Row],[Termino Realizado]]-MTBF_POS_PM[[#This Row],[Data da PM Realizada]]</f>
        <v>2.7825810185167938</v>
      </c>
      <c r="H37" s="85">
        <v>80</v>
      </c>
      <c r="I37" s="104">
        <v>46214.634965277779</v>
      </c>
      <c r="J37" s="85" t="str">
        <f>IF(OR(MTBF_POS_PM[[#This Row],[SISTEMA]]="REVISÃO PREVENTIVA",MTBF_POS_PM[[#This Row],[SISTEMA]]="EM OPERAÇÃO PÓS.PM"),"NÃO","SIM")</f>
        <v>SIM</v>
      </c>
      <c r="K37" s="63" t="str" cm="1">
        <f t="array" ref="K37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20260355261 - FALHA NO AR CONDICIONADO - SUB CORREIA  DO COMPRESSOR DE AR CONDICIONADO.</v>
      </c>
      <c r="L37" s="63" t="str" cm="1">
        <f t="array" ref="L37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AR CONDICIONADO</v>
      </c>
    </row>
    <row r="38" spans="1:12" ht="50.1" customHeight="1" x14ac:dyDescent="0.25">
      <c r="A38" s="61" t="s">
        <v>228</v>
      </c>
      <c r="B38" s="85">
        <v>500</v>
      </c>
      <c r="C38" s="86">
        <v>46209.833333333336</v>
      </c>
      <c r="D38" s="124">
        <v>1.0833333333333333</v>
      </c>
      <c r="E38" s="62">
        <v>46217.342731481483</v>
      </c>
      <c r="F38" s="62">
        <v>46219.152546296296</v>
      </c>
      <c r="G38" s="82">
        <f>MTBF_POS_PM[[#This Row],[Termino Realizado]]-MTBF_POS_PM[[#This Row],[Data da PM Realizada]]</f>
        <v>1.809814814812853</v>
      </c>
      <c r="H38" s="85">
        <v>80</v>
      </c>
      <c r="I38" s="104">
        <v>46221.103402777779</v>
      </c>
      <c r="J38" s="85" t="str">
        <f>IF(OR(MTBF_POS_PM[[#This Row],[SISTEMA]]="REVISÃO PREVENTIVA",MTBF_POS_PM[[#This Row],[SISTEMA]]="EM OPERAÇÃO PÓS.PM"),"NÃO","SIM")</f>
        <v>SIM</v>
      </c>
      <c r="K38" s="63" t="str" cm="1">
        <f t="array" ref="K38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202603680661 - VAZAMENTO DE ELC-  SUBS MANGOTE  DE RETORNO DO TROCADOR DE CALOR PARA BLOCO DO MOTOR, COMPLETADO 400 L DE LC.</v>
      </c>
      <c r="L38" s="63" t="str" cm="1">
        <f t="array" ref="L38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MOTOR DE COMBUSTÃO</v>
      </c>
    </row>
    <row r="39" spans="1:12" ht="50.1" customHeight="1" x14ac:dyDescent="0.25">
      <c r="A39" s="61" t="s">
        <v>208</v>
      </c>
      <c r="B39" s="85">
        <v>500</v>
      </c>
      <c r="C39" s="86">
        <v>46210.833333333336</v>
      </c>
      <c r="D39" s="124">
        <v>1.2083333333333333</v>
      </c>
      <c r="E39" s="62">
        <v>46214.801631944443</v>
      </c>
      <c r="F39" s="62">
        <v>46217.025891203702</v>
      </c>
      <c r="G39" s="82">
        <f>MTBF_POS_PM[[#This Row],[Termino Realizado]]-MTBF_POS_PM[[#This Row],[Data da PM Realizada]]</f>
        <v>2.22425925925927</v>
      </c>
      <c r="H39" s="85">
        <v>80</v>
      </c>
      <c r="I39" s="104">
        <v>46223.277777777781</v>
      </c>
      <c r="J39" s="85" t="str">
        <f>IF(OR(MTBF_POS_PM[[#This Row],[SISTEMA]]="REVISÃO PREVENTIVA",MTBF_POS_PM[[#This Row],[SISTEMA]]="EM OPERAÇÃO PÓS.PM"),"NÃO","SIM")</f>
        <v>SIM</v>
      </c>
      <c r="K39" s="63" t="str" cm="1">
        <f t="array" ref="K39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VAZAMENTO NO COMANDO FINAL - 202603712498 #DESVIOS</v>
      </c>
      <c r="L39" s="63" t="str" cm="1">
        <f t="array" ref="L39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TREM DE FORÇA</v>
      </c>
    </row>
    <row r="40" spans="1:12" ht="50.1" customHeight="1" x14ac:dyDescent="0.25">
      <c r="A40" s="61" t="s">
        <v>209</v>
      </c>
      <c r="B40" s="85">
        <v>250</v>
      </c>
      <c r="C40" s="86">
        <v>46227.333333333336</v>
      </c>
      <c r="D40" s="124">
        <v>0.16666666666666666</v>
      </c>
      <c r="E40" s="62">
        <v>46232.093043981484</v>
      </c>
      <c r="F40" s="62">
        <v>46232.238067129627</v>
      </c>
      <c r="G40" s="82">
        <f>MTBF_POS_PM[[#This Row],[Termino Realizado]]-MTBF_POS_PM[[#This Row],[Data da PM Realizada]]</f>
        <v>0.14502314814308193</v>
      </c>
      <c r="H40" s="85">
        <v>80</v>
      </c>
      <c r="I40" s="104">
        <v>46234.860173611109</v>
      </c>
      <c r="J40" s="85" t="str">
        <f>IF(OR(MTBF_POS_PM[[#This Row],[SISTEMA]]="REVISÃO PREVENTIVA",MTBF_POS_PM[[#This Row],[SISTEMA]]="EM OPERAÇÃO PÓS.PM"),"NÃO","SIM")</f>
        <v>SIM</v>
      </c>
      <c r="K40" s="63" t="str" cm="1">
        <f t="array" ref="K40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NÃO ENCONTRADO OCORRENCIA</v>
      </c>
      <c r="L40" s="63" t="str" cm="1">
        <f t="array" ref="L40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VERIFICAR FORMULA/COMENTARIO</v>
      </c>
    </row>
    <row r="41" spans="1:12" ht="50.1" customHeight="1" x14ac:dyDescent="0.25">
      <c r="A41" s="61" t="s">
        <v>208</v>
      </c>
      <c r="B41" s="85">
        <v>250</v>
      </c>
      <c r="C41" s="86">
        <v>46228.333333333336</v>
      </c>
      <c r="D41" s="124">
        <v>0.16666666666666666</v>
      </c>
      <c r="E41" s="62">
        <v>46235.510671296295</v>
      </c>
      <c r="F41" s="62">
        <v>46235.696562500001</v>
      </c>
      <c r="G41" s="82">
        <f>MTBF_POS_PM[[#This Row],[Termino Realizado]]-MTBF_POS_PM[[#This Row],[Data da PM Realizada]]</f>
        <v>0.18589120370597811</v>
      </c>
      <c r="H41" s="85">
        <v>80</v>
      </c>
      <c r="I41" s="104">
        <v>46240.411550925928</v>
      </c>
      <c r="J41" s="85" t="str">
        <f>IF(OR(MTBF_POS_PM[[#This Row],[SISTEMA]]="REVISÃO PREVENTIVA",MTBF_POS_PM[[#This Row],[SISTEMA]]="EM OPERAÇÃO PÓS.PM"),"NÃO","SIM")</f>
        <v>SIM</v>
      </c>
      <c r="K41" s="63" t="str" cm="1">
        <f t="array" ref="K41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BAIXO NIVEL DE OLEO DA DIREÇÃO.  - COMPLETADO 42L DE OLEO DA DIREÇÃO. 202604032140</v>
      </c>
      <c r="L41" s="63" t="str" cm="1">
        <f t="array" ref="L41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DIRECAO</v>
      </c>
    </row>
    <row r="42" spans="1:12" ht="50.1" customHeight="1" x14ac:dyDescent="0.25">
      <c r="A42" s="61" t="s">
        <v>228</v>
      </c>
      <c r="B42" s="85">
        <v>250</v>
      </c>
      <c r="C42" s="86">
        <v>46233.333333333336</v>
      </c>
      <c r="D42" s="124">
        <v>0.29166666666666669</v>
      </c>
      <c r="E42" s="62">
        <v>46238.808796296296</v>
      </c>
      <c r="F42" s="62">
        <v>46239.109988425924</v>
      </c>
      <c r="G42" s="82">
        <f>MTBF_POS_PM[[#This Row],[Termino Realizado]]-MTBF_POS_PM[[#This Row],[Data da PM Realizada]]</f>
        <v>0.30119212962745223</v>
      </c>
      <c r="H42" s="85">
        <v>80</v>
      </c>
      <c r="I42" s="104">
        <v>46246.706817129627</v>
      </c>
      <c r="J42" s="85" t="str">
        <f>IF(OR(MTBF_POS_PM[[#This Row],[SISTEMA]]="REVISÃO PREVENTIVA",MTBF_POS_PM[[#This Row],[SISTEMA]]="EM OPERAÇÃO PÓS.PM"),"NÃO","SIM")</f>
        <v>SIM</v>
      </c>
      <c r="K42" s="63" t="str" cm="1">
        <f t="array" ref="K42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202604166804- FALHA NO COMANDO ALTO DO COMANDO DE FREIO- COMPLETADO OLEO DA DIREÇÃO E DO DIFERENCIAL REALIZADO LIMPEZA NA VALVULA DO SOLENOIDE DESCOMPRESSOR DO BLOCO DO FREIO</v>
      </c>
      <c r="L42" s="63" t="str" cm="1">
        <f t="array" ref="L42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SISTEMA DE FREIO</v>
      </c>
    </row>
    <row r="43" spans="1:12" ht="50.1" customHeight="1" x14ac:dyDescent="0.25">
      <c r="A43" s="61" t="s">
        <v>209</v>
      </c>
      <c r="B43" s="85">
        <v>500</v>
      </c>
      <c r="C43" s="86">
        <v>46245.833333333336</v>
      </c>
      <c r="D43" s="124">
        <v>1.2916666666666667</v>
      </c>
      <c r="E43" s="62">
        <v>46257.393090277779</v>
      </c>
      <c r="F43" s="62">
        <v>46260.12259259259</v>
      </c>
      <c r="G43" s="82">
        <f>MTBF_POS_PM[[#This Row],[Termino Realizado]]-MTBF_POS_PM[[#This Row],[Data da PM Realizada]]</f>
        <v>2.7295023148108157</v>
      </c>
      <c r="H43" s="85">
        <v>80</v>
      </c>
      <c r="I43" s="104">
        <v>46264.644988425927</v>
      </c>
      <c r="J43" s="85" t="str">
        <f>IF(OR(MTBF_POS_PM[[#This Row],[SISTEMA]]="REVISÃO PREVENTIVA",MTBF_POS_PM[[#This Row],[SISTEMA]]="EM OPERAÇÃO PÓS.PM"),"NÃO","SIM")</f>
        <v>SIM</v>
      </c>
      <c r="K43" s="63" t="str" cm="1">
        <f t="array" ref="K43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202604553582 - COMPLETADO 143 L DE ÓLEO HIDRAULICO - TM_3 -   ALARME BAIXO NÍVEL DE ÓLEO DA DIREÇÃO</v>
      </c>
      <c r="L43" s="63" t="str" cm="1">
        <f t="array" ref="L43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DIRECAO</v>
      </c>
    </row>
    <row r="44" spans="1:12" ht="50.1" customHeight="1" x14ac:dyDescent="0.25">
      <c r="A44" s="61" t="s">
        <v>208</v>
      </c>
      <c r="B44" s="85">
        <v>4000</v>
      </c>
      <c r="C44" s="86">
        <v>46248.833333333336</v>
      </c>
      <c r="D44" s="124">
        <v>1.1666666666666667</v>
      </c>
      <c r="E44" s="62">
        <v>46267.823680555557</v>
      </c>
      <c r="F44" s="62">
        <v>46270.489016203705</v>
      </c>
      <c r="G44" s="82">
        <f>MTBF_POS_PM[[#This Row],[Termino Realizado]]-MTBF_POS_PM[[#This Row],[Data da PM Realizada]]</f>
        <v>2.6653356481474475</v>
      </c>
      <c r="H44" s="85">
        <v>80</v>
      </c>
      <c r="I44" s="104">
        <v>46274.956493055557</v>
      </c>
      <c r="J44" s="85" t="str">
        <f>IF(OR(MTBF_POS_PM[[#This Row],[SISTEMA]]="REVISÃO PREVENTIVA",MTBF_POS_PM[[#This Row],[SISTEMA]]="EM OPERAÇÃO PÓS.PM"),"NÃO","SIM")</f>
        <v>SIM</v>
      </c>
      <c r="K44" s="63" t="str" cm="1">
        <f t="array" ref="K44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BAIXO NIVEL DE OLEO DA DIREÇÃO</v>
      </c>
      <c r="L44" s="63" t="str" cm="1">
        <f t="array" ref="L44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DIRECAO</v>
      </c>
    </row>
    <row r="45" spans="1:12" ht="50.1" customHeight="1" x14ac:dyDescent="0.25">
      <c r="A45" s="61" t="s">
        <v>228</v>
      </c>
      <c r="B45" s="85">
        <v>1000</v>
      </c>
      <c r="C45" s="86">
        <v>46252.833333333336</v>
      </c>
      <c r="D45" s="124">
        <v>1.125</v>
      </c>
      <c r="E45" s="62">
        <v>46269.537314814814</v>
      </c>
      <c r="F45" s="62">
        <v>46271.566435185188</v>
      </c>
      <c r="G45" s="82">
        <f>MTBF_POS_PM[[#This Row],[Termino Realizado]]-MTBF_POS_PM[[#This Row],[Data da PM Realizada]]</f>
        <v>2.029120370374585</v>
      </c>
      <c r="H45" s="85">
        <v>80</v>
      </c>
      <c r="I45" s="104">
        <v>46271.667118055557</v>
      </c>
      <c r="J45" s="85" t="str">
        <f>IF(OR(MTBF_POS_PM[[#This Row],[SISTEMA]]="REVISÃO PREVENTIVA",MTBF_POS_PM[[#This Row],[SISTEMA]]="EM OPERAÇÃO PÓS.PM"),"NÃO","SIM")</f>
        <v>SIM</v>
      </c>
      <c r="K45" s="63" t="str" cm="1">
        <f t="array" ref="K45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202604686283 - BAIXO NÍVEL LÍQUIDO ARREFECEDOR- CORRIGIDO CORDOALHA DO FINAL DO SENSOR DO LIQUIDO ARREFECIMENTO DO MOTOR</v>
      </c>
      <c r="L45" s="63" t="str" cm="1">
        <f t="array" ref="L45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ELETRICO</v>
      </c>
    </row>
    <row r="46" spans="1:12" ht="50.1" customHeight="1" x14ac:dyDescent="0.25">
      <c r="A46" s="61" t="s">
        <v>209</v>
      </c>
      <c r="B46" s="85">
        <v>250</v>
      </c>
      <c r="C46" s="86">
        <v>46272.291666666664</v>
      </c>
      <c r="D46" s="124">
        <v>0.25</v>
      </c>
      <c r="E46" s="62">
        <v>46278.687222222223</v>
      </c>
      <c r="F46" s="62">
        <v>46279.139155092591</v>
      </c>
      <c r="G46" s="82">
        <f>MTBF_POS_PM[[#This Row],[Termino Realizado]]-MTBF_POS_PM[[#This Row],[Data da PM Realizada]]</f>
        <v>0.45193287036818219</v>
      </c>
      <c r="H46" s="85">
        <v>80</v>
      </c>
      <c r="I46" s="104">
        <v>46285.25</v>
      </c>
      <c r="J46" s="85" t="s">
        <v>99</v>
      </c>
      <c r="K46" s="63" t="str" cm="1">
        <f t="array" ref="K46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202604947029 - BAIXO NIVEL DE OLEO DA DIREÇÃO  - COMPLETADO 40 L DE DIREÇÃO.</v>
      </c>
      <c r="L46" s="63" t="str" cm="1">
        <f t="array" ref="L46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DIRECAO</v>
      </c>
    </row>
    <row r="47" spans="1:12" ht="50.1" customHeight="1" x14ac:dyDescent="0.25">
      <c r="A47" s="61" t="s">
        <v>232</v>
      </c>
      <c r="B47" s="85">
        <v>1000</v>
      </c>
      <c r="C47" s="86">
        <v>46282.833333333336</v>
      </c>
      <c r="D47" s="124">
        <v>0.875</v>
      </c>
      <c r="E47" s="62">
        <v>46293.358807870369</v>
      </c>
      <c r="F47" s="62">
        <v>46295.146018518521</v>
      </c>
      <c r="G47" s="82">
        <f>MTBF_POS_PM[[#This Row],[Termino Realizado]]-MTBF_POS_PM[[#This Row],[Data da PM Realizada]]</f>
        <v>1.7872106481518131</v>
      </c>
      <c r="H47" s="85">
        <v>80</v>
      </c>
      <c r="I47" s="104">
        <v>46298.886874999997</v>
      </c>
      <c r="J47" s="85" t="s">
        <v>99</v>
      </c>
      <c r="K47" s="63" t="str" cm="1">
        <f t="array" ref="K47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VAZAMENTO HIDRAULICO  202605203113   SUBSTITUIDO  VEDAÇÃO DA MANGUEIRA DE LUBRIFICAÇÃO DO CONVERSOR DE TORQUE.</v>
      </c>
      <c r="L47" s="63" t="str" cm="1">
        <f t="array" ref="L47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TREM DE FORÇA</v>
      </c>
    </row>
    <row r="48" spans="1:12" ht="50.1" customHeight="1" x14ac:dyDescent="0.25">
      <c r="A48" s="61" t="s">
        <v>208</v>
      </c>
      <c r="B48" s="85">
        <v>250</v>
      </c>
      <c r="C48" s="86">
        <v>46283.291666666664</v>
      </c>
      <c r="D48" s="124">
        <v>0.25</v>
      </c>
      <c r="E48" s="62"/>
      <c r="F48" s="62"/>
      <c r="G48" s="82">
        <f>MTBF_POS_PM[[#This Row],[Termino Realizado]]-MTBF_POS_PM[[#This Row],[Data da PM Realizada]]</f>
        <v>0</v>
      </c>
      <c r="H48" s="85">
        <v>80</v>
      </c>
      <c r="I48" s="104" t="s">
        <v>143</v>
      </c>
      <c r="J48" s="85" t="s">
        <v>99</v>
      </c>
      <c r="K48" s="63" t="str" cm="1">
        <f t="array" ref="K48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SEM OCORRENCIA</v>
      </c>
      <c r="L48" s="63" t="str" cm="1">
        <f t="array" ref="L48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EM OPERAÇÃO PÓS.PM</v>
      </c>
    </row>
    <row r="49" spans="1:12" ht="50.1" customHeight="1" x14ac:dyDescent="0.25">
      <c r="A49" s="61" t="s">
        <v>228</v>
      </c>
      <c r="B49" s="85">
        <v>250</v>
      </c>
      <c r="C49" s="86">
        <v>46284.291666666664</v>
      </c>
      <c r="D49" s="124">
        <v>0.25</v>
      </c>
      <c r="E49" s="62">
        <v>46293.477766203701</v>
      </c>
      <c r="F49" s="62">
        <v>46293.602789351855</v>
      </c>
      <c r="G49" s="82">
        <f>MTBF_POS_PM[[#This Row],[Termino Realizado]]-MTBF_POS_PM[[#This Row],[Data da PM Realizada]]</f>
        <v>0.1250231481535593</v>
      </c>
      <c r="H49" s="85">
        <v>80</v>
      </c>
      <c r="I49" s="104">
        <v>46298.248379629629</v>
      </c>
      <c r="J49" s="85" t="s">
        <v>99</v>
      </c>
      <c r="K49" s="63" t="str" cm="1">
        <f t="array" ref="K49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202605198372 BAIXO NIVEL DE ÓLEO DA DIREÇÃO  EQUIPE CHEGOU NO EQUIPAMENTO E O SENSOR E NIVEL ESTÃO NORMAL , SEM NECESSIDADE DE ATUAÇÃO</v>
      </c>
      <c r="L49" s="63" t="str" cm="1">
        <f t="array" ref="L49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DIRECAO</v>
      </c>
    </row>
    <row r="50" spans="1:12" ht="50.1" customHeight="1" x14ac:dyDescent="0.25">
      <c r="A50" s="61" t="s">
        <v>209</v>
      </c>
      <c r="B50" s="85">
        <v>1000</v>
      </c>
      <c r="C50" s="86">
        <v>46292.333333333336</v>
      </c>
      <c r="D50" s="124">
        <v>0.875</v>
      </c>
      <c r="E50" s="62">
        <v>46300.374918981484</v>
      </c>
      <c r="F50" s="62"/>
      <c r="G50" s="82">
        <f>MTBF_POS_PM[[#This Row],[Termino Realizado]]-MTBF_POS_PM[[#This Row],[Data da PM Realizada]]</f>
        <v>-46300.374918981484</v>
      </c>
      <c r="H50" s="85">
        <v>80</v>
      </c>
      <c r="I50" s="104" t="s">
        <v>143</v>
      </c>
      <c r="J50" s="85" t="s">
        <v>99</v>
      </c>
      <c r="K50" s="63" t="str" cm="1">
        <f t="array" ref="K50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SEM OCORRENCIA</v>
      </c>
      <c r="L50" s="63" t="str" cm="1">
        <f t="array" ref="L50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EM OPERAÇÃO PÓS.PM</v>
      </c>
    </row>
    <row r="51" spans="1:12" ht="50.1" customHeight="1" x14ac:dyDescent="0.25">
      <c r="A51" s="61" t="s">
        <v>228</v>
      </c>
      <c r="B51" s="85">
        <v>500</v>
      </c>
      <c r="C51" s="86">
        <v>46306.833333333336</v>
      </c>
      <c r="D51" s="124">
        <v>1.0833333333284827</v>
      </c>
      <c r="E51" s="62"/>
      <c r="F51" s="62"/>
      <c r="G51" s="82">
        <f>MTBF_POS_PM[[#This Row],[Termino Realizado]]-MTBF_POS_PM[[#This Row],[Data da PM Realizada]]</f>
        <v>0</v>
      </c>
      <c r="H51" s="85">
        <v>80</v>
      </c>
      <c r="I51" s="104" t="s">
        <v>143</v>
      </c>
      <c r="J51" s="85" t="s">
        <v>99</v>
      </c>
      <c r="K51" s="63" t="str" cm="1">
        <f t="array" ref="K51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SEM OCORRENCIA</v>
      </c>
      <c r="L51" s="63" t="str" cm="1">
        <f t="array" ref="L51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EM OPERAÇÃO PÓS.PM</v>
      </c>
    </row>
    <row r="52" spans="1:12" ht="50.1" customHeight="1" x14ac:dyDescent="0.25">
      <c r="A52" s="61" t="s">
        <v>208</v>
      </c>
      <c r="B52" s="85">
        <v>1000</v>
      </c>
      <c r="C52" s="86"/>
      <c r="D52" s="124"/>
      <c r="E52" s="62">
        <v>46033.085740740738</v>
      </c>
      <c r="F52" s="62">
        <v>46034.751643518517</v>
      </c>
      <c r="G52" s="82">
        <f>MTBF_POS_PM[[#This Row],[Termino Realizado]]-MTBF_POS_PM[[#This Row],[Data da PM Realizada]]</f>
        <v>1.6659027777786832</v>
      </c>
      <c r="H52" s="85">
        <v>80</v>
      </c>
      <c r="I52" s="104">
        <v>46038.807627314818</v>
      </c>
      <c r="J52" s="85" t="str">
        <f>IF(OR(MTBF_POS_PM[[#This Row],[SISTEMA]]="REVISÃO PREVENTIVA",MTBF_POS_PM[[#This Row],[SISTEMA]]="EM OPERAÇÃO PÓS.PM"),"NÃO","SIM")</f>
        <v>SIM</v>
      </c>
      <c r="K52" s="63" t="str" cm="1">
        <f t="array" ref="K52">IF(MTBF_POS_PM[[#This Row],[OCORRENCIA CORRETIVA OU PRÓXIMA PM]]=LISTAS_APOIO!$V$2,LISTAS_APOIO!$V$2,_xlfn.XLOOKUP(MTBF_POS_PM[[#This Row],[Equipamentos]]&amp;MTBF_POS_PM[[#This Row],[OCORRENCIA CORRETIVA OU PRÓXIMA PM]],TAB_HISTORICO_MANUT[Equipamento]&amp;TAB_HISTORICO_MANUT[Hora Inicio],TAB_HISTORICO_MANUT[Comentario],"NÃO ENCONTRADO OCORRENCIA",0,1))</f>
        <v>FALHA NO AR CONDICIONADO - SUBSTITUIR COMPRESSOR - 202600295294 SUBSTITUIDO MANGUEIRA DE BAIXA PRESSÃO E COMPLETADO RECARGA DE GÁS  MATR 1150588</v>
      </c>
      <c r="L52" s="63" t="str" cm="1">
        <f t="array" ref="L52">IF(MTBF_POS_PM[[#This Row],[DESCRIÇÃO OCORRENCIA.HISTORICO MANUT
FORMULA]]=LISTAS_APOIO!$V$2,"EM OPERAÇÃO PÓS.PM",_xlfn.XLOOKUP(MTBF_POS_PM[[#This Row],[OCORRENCIA CORRETIVA OU PRÓXIMA PM]]&amp;MTBF_POS_PM[[#This Row],[DESCRIÇÃO OCORRENCIA.HISTORICO MANUT
FORMULA]],TAB_HISTORICO_MANUT[Hora Inicio]&amp;TAB_HISTORICO_MANUT[Comentario],TAB_HISTORICO_MANUT[SISTEMA / PERFIL],"VERIFICAR FORMULA/COMENTARIO",0,1))</f>
        <v>AR CONDICIONADO</v>
      </c>
    </row>
  </sheetData>
  <mergeCells count="2">
    <mergeCell ref="B1:G1"/>
    <mergeCell ref="H1:K1"/>
  </mergeCells>
  <phoneticPr fontId="14" type="noConversion"/>
  <conditionalFormatting sqref="I1:I1048576">
    <cfRule type="cellIs" dxfId="54" priority="2" operator="equal">
      <formula>"""SEM OCORRENCIA"""</formula>
    </cfRule>
  </conditionalFormatting>
  <conditionalFormatting sqref="I2:I52">
    <cfRule type="cellIs" dxfId="53" priority="1" operator="equal">
      <formula>"SEM OCORRENCIA"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xr:uid="{AF83B698-2DC1-49CB-9EDB-1F61A85DEAAC}">
          <x14:formula1>
            <xm:f>LISTAS_APOIO!$V$2</xm:f>
          </x14:formula1>
          <xm:sqref>I3:I52</xm:sqref>
        </x14:dataValidation>
        <x14:dataValidation type="list" allowBlank="1" showInputMessage="1" showErrorMessage="1" xr:uid="{A86299A0-CDE5-49C1-B389-9DD66CAF7F5E}">
          <x14:formula1>
            <xm:f>LISTAS_APOIO!$P$2:$P$3</xm:f>
          </x14:formula1>
          <xm:sqref>J3:J52</xm:sqref>
        </x14:dataValidation>
        <x14:dataValidation type="list" allowBlank="1" showInputMessage="1" showErrorMessage="1" xr:uid="{B18084F8-00CF-4A55-9240-4AB0BB90EFE5}">
          <x14:formula1>
            <xm:f>LISTAS_APOIO!$T$2:$T$21</xm:f>
          </x14:formula1>
          <xm:sqref>B3:B52</xm:sqref>
        </x14:dataValidation>
        <x14:dataValidation type="list" allowBlank="1" showInputMessage="1" showErrorMessage="1" xr:uid="{8B39E4BA-24DD-403B-A82F-B8305A25F529}">
          <x14:formula1>
            <xm:f>HISTÓRICO_MANUTENÇÃO!$AA$4:$AA$565</xm:f>
          </x14:formula1>
          <xm:sqref>A3:A52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F66E8-F2B9-48F4-89E4-FC0DC4C1A1E4}">
  <dimension ref="A1:L59"/>
  <sheetViews>
    <sheetView topLeftCell="A41" zoomScale="130" zoomScaleNormal="130" workbookViewId="0">
      <selection activeCell="G52" sqref="G52"/>
    </sheetView>
  </sheetViews>
  <sheetFormatPr defaultRowHeight="15" x14ac:dyDescent="0.25"/>
  <cols>
    <col min="1" max="1" width="20.7109375" bestFit="1" customWidth="1"/>
    <col min="2" max="2" width="27.42578125" bestFit="1" customWidth="1"/>
    <col min="3" max="3" width="4.140625" customWidth="1"/>
    <col min="5" max="5" width="3.7109375" customWidth="1"/>
    <col min="6" max="6" width="10.42578125" style="101" customWidth="1"/>
    <col min="7" max="7" width="12.140625" bestFit="1" customWidth="1"/>
    <col min="8" max="8" width="13.7109375" bestFit="1" customWidth="1"/>
    <col min="9" max="9" width="12.140625" bestFit="1" customWidth="1"/>
    <col min="10" max="10" width="9.42578125" bestFit="1" customWidth="1"/>
    <col min="11" max="11" width="13.7109375" bestFit="1" customWidth="1"/>
    <col min="17" max="17" width="18.42578125" bestFit="1" customWidth="1"/>
    <col min="18" max="18" width="17.28515625" bestFit="1" customWidth="1"/>
    <col min="19" max="19" width="12.140625" bestFit="1" customWidth="1"/>
  </cols>
  <sheetData>
    <row r="1" spans="1:12" x14ac:dyDescent="0.25">
      <c r="A1" s="93" t="s">
        <v>117</v>
      </c>
      <c r="B1" t="s">
        <v>1603</v>
      </c>
      <c r="F1"/>
    </row>
    <row r="2" spans="1:12" x14ac:dyDescent="0.25">
      <c r="A2" s="93" t="s">
        <v>203</v>
      </c>
      <c r="B2" s="100">
        <v>5</v>
      </c>
      <c r="F2"/>
    </row>
    <row r="3" spans="1:12" x14ac:dyDescent="0.25">
      <c r="F3"/>
    </row>
    <row r="4" spans="1:12" x14ac:dyDescent="0.25">
      <c r="A4" s="95" t="s">
        <v>200</v>
      </c>
      <c r="B4" t="s">
        <v>202</v>
      </c>
      <c r="F4"/>
    </row>
    <row r="5" spans="1:12" x14ac:dyDescent="0.25">
      <c r="A5" s="6" t="s">
        <v>209</v>
      </c>
      <c r="B5" s="112">
        <v>94.431388888566289</v>
      </c>
      <c r="D5">
        <v>94.431388888888875</v>
      </c>
      <c r="F5" s="135" cm="1">
        <f t="array" ref="F5:F9">B5:B9-D5:D9</f>
        <v>-3.2258640203508548E-10</v>
      </c>
      <c r="J5" s="94"/>
      <c r="L5" s="101"/>
    </row>
    <row r="6" spans="1:12" x14ac:dyDescent="0.25">
      <c r="A6" s="6" t="s">
        <v>232</v>
      </c>
      <c r="B6" s="112">
        <v>694.85444444452878</v>
      </c>
      <c r="D6">
        <v>694.85444444444443</v>
      </c>
      <c r="F6" s="135">
        <v>8.4355633589439094E-11</v>
      </c>
      <c r="J6" s="94"/>
      <c r="L6" s="101"/>
    </row>
    <row r="7" spans="1:12" x14ac:dyDescent="0.25">
      <c r="A7" s="6" t="s">
        <v>208</v>
      </c>
      <c r="B7" s="112">
        <v>101.3355555551243</v>
      </c>
      <c r="D7">
        <v>101.33583333333333</v>
      </c>
      <c r="F7" s="135">
        <v>-2.7777820902485928E-4</v>
      </c>
      <c r="J7" s="94"/>
      <c r="L7" s="101"/>
    </row>
    <row r="8" spans="1:12" x14ac:dyDescent="0.25">
      <c r="A8" s="6" t="s">
        <v>228</v>
      </c>
      <c r="B8" s="112">
        <v>134.48833333334187</v>
      </c>
      <c r="D8">
        <v>134.48833333333334</v>
      </c>
      <c r="F8" s="135">
        <v>8.5265128291212022E-12</v>
      </c>
      <c r="J8" s="94"/>
      <c r="L8" s="101"/>
    </row>
    <row r="9" spans="1:12" x14ac:dyDescent="0.25">
      <c r="A9" s="6" t="s">
        <v>201</v>
      </c>
      <c r="B9" s="112">
        <v>1025.1097222215612</v>
      </c>
      <c r="D9">
        <v>1025.1100000000001</v>
      </c>
      <c r="F9" s="135">
        <v>-2.777784388854343E-4</v>
      </c>
      <c r="J9" s="94"/>
      <c r="L9" s="101"/>
    </row>
    <row r="10" spans="1:12" x14ac:dyDescent="0.25">
      <c r="F10" s="132"/>
      <c r="J10" s="94"/>
      <c r="L10" s="101"/>
    </row>
    <row r="11" spans="1:12" x14ac:dyDescent="0.25">
      <c r="F11" s="132"/>
      <c r="J11" s="94"/>
      <c r="L11" s="101"/>
    </row>
    <row r="12" spans="1:12" x14ac:dyDescent="0.25">
      <c r="A12" s="93" t="s">
        <v>117</v>
      </c>
      <c r="B12" t="s">
        <v>1603</v>
      </c>
      <c r="F12" s="132"/>
      <c r="J12" s="94"/>
      <c r="L12" s="101"/>
    </row>
    <row r="13" spans="1:12" x14ac:dyDescent="0.25">
      <c r="A13" s="93" t="s">
        <v>1361</v>
      </c>
      <c r="B13" t="s">
        <v>1362</v>
      </c>
      <c r="F13" s="132"/>
      <c r="J13" s="94"/>
      <c r="L13" s="101"/>
    </row>
    <row r="14" spans="1:12" x14ac:dyDescent="0.25">
      <c r="F14" s="132"/>
      <c r="J14" s="94"/>
      <c r="L14" s="101"/>
    </row>
    <row r="15" spans="1:12" x14ac:dyDescent="0.25">
      <c r="A15" s="95" t="s">
        <v>200</v>
      </c>
      <c r="B15" t="s">
        <v>202</v>
      </c>
      <c r="F15" s="132"/>
      <c r="J15" s="94"/>
      <c r="L15" s="101"/>
    </row>
    <row r="16" spans="1:12" x14ac:dyDescent="0.25">
      <c r="A16" s="6" t="s">
        <v>209</v>
      </c>
      <c r="B16" s="112">
        <v>130.93500000075437</v>
      </c>
      <c r="C16" s="94"/>
      <c r="D16" s="133">
        <v>131.28083333333336</v>
      </c>
      <c r="F16" s="135" cm="1">
        <f t="array" ref="F16:F20">B16:B20-D16:D20</f>
        <v>-0.34583333257899085</v>
      </c>
    </row>
    <row r="17" spans="1:6" x14ac:dyDescent="0.25">
      <c r="A17" s="6" t="s">
        <v>232</v>
      </c>
      <c r="B17" s="112">
        <v>640.65388888854068</v>
      </c>
      <c r="C17" s="94"/>
      <c r="D17" s="133">
        <v>640.6541666666667</v>
      </c>
      <c r="F17" s="135">
        <v>-2.7777812601925689E-4</v>
      </c>
    </row>
    <row r="18" spans="1:6" x14ac:dyDescent="0.25">
      <c r="A18" s="6" t="s">
        <v>208</v>
      </c>
      <c r="B18" s="112">
        <v>160.48722222202923</v>
      </c>
      <c r="C18" s="94"/>
      <c r="D18" s="133">
        <v>161.33833333333337</v>
      </c>
      <c r="F18" s="135">
        <v>-0.85111111130413519</v>
      </c>
    </row>
    <row r="19" spans="1:6" x14ac:dyDescent="0.25">
      <c r="A19" s="6" t="s">
        <v>228</v>
      </c>
      <c r="B19" s="112">
        <v>88.885555555752944</v>
      </c>
      <c r="C19" s="94"/>
      <c r="D19" s="133">
        <v>88.901111111111106</v>
      </c>
      <c r="F19" s="135">
        <v>-1.555555535816211E-2</v>
      </c>
    </row>
    <row r="20" spans="1:6" ht="15.75" thickBot="1" x14ac:dyDescent="0.3">
      <c r="A20" s="6" t="s">
        <v>201</v>
      </c>
      <c r="B20" s="112">
        <v>1020.9616666670772</v>
      </c>
      <c r="C20" s="125"/>
      <c r="D20" s="134">
        <v>1022.1744444444446</v>
      </c>
      <c r="F20" s="135">
        <v>-1.2127777773673643</v>
      </c>
    </row>
    <row r="21" spans="1:6" x14ac:dyDescent="0.25">
      <c r="F21"/>
    </row>
    <row r="22" spans="1:6" x14ac:dyDescent="0.25">
      <c r="C22" s="127"/>
      <c r="F22"/>
    </row>
    <row r="23" spans="1:6" x14ac:dyDescent="0.25">
      <c r="A23" s="93" t="s">
        <v>117</v>
      </c>
      <c r="B23" t="s">
        <v>1603</v>
      </c>
      <c r="F23"/>
    </row>
    <row r="24" spans="1:6" x14ac:dyDescent="0.25">
      <c r="A24" s="93" t="s">
        <v>1361</v>
      </c>
      <c r="B24" t="s">
        <v>1412</v>
      </c>
      <c r="F24"/>
    </row>
    <row r="25" spans="1:6" x14ac:dyDescent="0.25">
      <c r="F25"/>
    </row>
    <row r="26" spans="1:6" x14ac:dyDescent="0.25">
      <c r="A26" s="95" t="s">
        <v>200</v>
      </c>
      <c r="B26" t="s">
        <v>202</v>
      </c>
      <c r="F26"/>
    </row>
    <row r="27" spans="1:6" x14ac:dyDescent="0.25">
      <c r="A27" s="6" t="s">
        <v>209</v>
      </c>
      <c r="B27" s="112">
        <v>141.17194444412598</v>
      </c>
      <c r="D27" s="133">
        <v>141.17194444444445</v>
      </c>
      <c r="F27" s="135" cm="1">
        <f t="array" ref="F27:F31">B27:B31-D27:D31</f>
        <v>-3.184652541676769E-10</v>
      </c>
    </row>
    <row r="28" spans="1:6" x14ac:dyDescent="0.25">
      <c r="A28" s="6" t="s">
        <v>232</v>
      </c>
      <c r="B28" s="112">
        <v>743.99972222215729</v>
      </c>
      <c r="D28" s="133">
        <v>744</v>
      </c>
      <c r="F28" s="135">
        <v>-2.7777784271165729E-4</v>
      </c>
    </row>
    <row r="29" spans="1:6" x14ac:dyDescent="0.25">
      <c r="A29" s="6" t="s">
        <v>208</v>
      </c>
      <c r="B29" s="112">
        <v>116.80249999958323</v>
      </c>
      <c r="D29" s="133">
        <v>116.80277777777776</v>
      </c>
      <c r="F29" s="135">
        <v>-2.7777819452978747E-4</v>
      </c>
    </row>
    <row r="30" spans="1:6" x14ac:dyDescent="0.25">
      <c r="A30" s="6" t="s">
        <v>228</v>
      </c>
      <c r="B30" s="112">
        <v>113.62999999977183</v>
      </c>
      <c r="D30" s="133">
        <v>113.63</v>
      </c>
      <c r="F30" s="135">
        <v>-2.2816948330728337E-10</v>
      </c>
    </row>
    <row r="31" spans="1:6" ht="15.75" thickBot="1" x14ac:dyDescent="0.3">
      <c r="A31" s="6" t="s">
        <v>201</v>
      </c>
      <c r="B31" s="112">
        <v>1115.6041666656383</v>
      </c>
      <c r="D31" s="134">
        <v>1115.6047222222223</v>
      </c>
      <c r="F31" s="135">
        <v>-5.5555658400407992E-4</v>
      </c>
    </row>
    <row r="32" spans="1:6" x14ac:dyDescent="0.25">
      <c r="F32"/>
    </row>
    <row r="33" spans="1:12" x14ac:dyDescent="0.25">
      <c r="F33"/>
    </row>
    <row r="34" spans="1:12" x14ac:dyDescent="0.25">
      <c r="A34" s="93" t="s">
        <v>117</v>
      </c>
      <c r="B34" t="s">
        <v>1603</v>
      </c>
      <c r="F34"/>
    </row>
    <row r="35" spans="1:12" x14ac:dyDescent="0.25">
      <c r="A35" s="93" t="s">
        <v>1361</v>
      </c>
      <c r="B35" t="s">
        <v>1503</v>
      </c>
      <c r="F35"/>
    </row>
    <row r="36" spans="1:12" x14ac:dyDescent="0.25">
      <c r="F36"/>
    </row>
    <row r="37" spans="1:12" x14ac:dyDescent="0.25">
      <c r="A37" s="95" t="s">
        <v>200</v>
      </c>
      <c r="B37" t="s">
        <v>202</v>
      </c>
      <c r="F37"/>
      <c r="K37" s="140"/>
      <c r="L37" s="141"/>
    </row>
    <row r="38" spans="1:12" x14ac:dyDescent="0.25">
      <c r="A38" s="6" t="s">
        <v>209</v>
      </c>
      <c r="B38" s="112">
        <v>43.551944444538094</v>
      </c>
      <c r="D38" s="133">
        <v>43.551944444444437</v>
      </c>
      <c r="F38" s="112" cm="1">
        <f t="array" ref="F38:F42">B38:B42-D38:D42</f>
        <v>9.3656638000538805E-11</v>
      </c>
      <c r="K38" s="142"/>
      <c r="L38" s="112"/>
    </row>
    <row r="39" spans="1:12" x14ac:dyDescent="0.25">
      <c r="A39" s="6" t="s">
        <v>232</v>
      </c>
      <c r="B39" s="112">
        <v>252.4919444443658</v>
      </c>
      <c r="D39" s="133">
        <v>252.49194444444447</v>
      </c>
      <c r="F39" s="112">
        <v>-7.8671291703358293E-11</v>
      </c>
      <c r="I39" s="142"/>
      <c r="J39" s="112"/>
      <c r="K39" s="142"/>
      <c r="L39" s="112"/>
    </row>
    <row r="40" spans="1:12" x14ac:dyDescent="0.25">
      <c r="A40" s="6" t="s">
        <v>208</v>
      </c>
      <c r="B40" s="112">
        <v>239.74444444460096</v>
      </c>
      <c r="D40" s="133">
        <v>239.74444444444447</v>
      </c>
      <c r="F40" s="112">
        <v>1.5648993212380446E-10</v>
      </c>
      <c r="I40" s="142"/>
      <c r="J40" s="112"/>
      <c r="K40" s="142"/>
      <c r="L40" s="112"/>
    </row>
    <row r="41" spans="1:12" x14ac:dyDescent="0.25">
      <c r="A41" s="6" t="s">
        <v>228</v>
      </c>
      <c r="B41" s="112">
        <v>120.55277777847368</v>
      </c>
      <c r="D41" s="133">
        <v>120.55277777777776</v>
      </c>
      <c r="F41" s="112">
        <v>6.9591976625815732E-10</v>
      </c>
      <c r="I41" s="142"/>
      <c r="J41" s="112"/>
      <c r="K41" s="142"/>
      <c r="L41" s="112"/>
    </row>
    <row r="42" spans="1:12" ht="15.75" thickBot="1" x14ac:dyDescent="0.3">
      <c r="A42" s="6" t="s">
        <v>201</v>
      </c>
      <c r="B42" s="112">
        <v>656.34111111197853</v>
      </c>
      <c r="D42" s="134">
        <v>656.34111111111122</v>
      </c>
      <c r="F42" s="139">
        <v>8.6731688497820869E-10</v>
      </c>
      <c r="I42" s="142"/>
      <c r="J42" s="112"/>
      <c r="K42" s="142"/>
      <c r="L42" s="112"/>
    </row>
    <row r="43" spans="1:12" x14ac:dyDescent="0.25">
      <c r="F43"/>
      <c r="I43" s="142"/>
      <c r="J43" s="112"/>
      <c r="K43" s="142"/>
      <c r="L43" s="112"/>
    </row>
    <row r="44" spans="1:12" x14ac:dyDescent="0.25">
      <c r="F44"/>
      <c r="I44" s="142"/>
      <c r="J44" s="112"/>
      <c r="K44" s="142"/>
      <c r="L44" s="112"/>
    </row>
    <row r="45" spans="1:12" x14ac:dyDescent="0.25">
      <c r="A45" s="93" t="s">
        <v>117</v>
      </c>
      <c r="B45" t="s">
        <v>1603</v>
      </c>
      <c r="F45"/>
      <c r="I45" s="142"/>
      <c r="J45" s="112"/>
      <c r="K45" s="142"/>
      <c r="L45" s="112"/>
    </row>
    <row r="46" spans="1:12" x14ac:dyDescent="0.25">
      <c r="A46" s="93" t="s">
        <v>1361</v>
      </c>
      <c r="B46" t="s">
        <v>1668</v>
      </c>
      <c r="F46"/>
      <c r="I46" s="142"/>
      <c r="J46" s="112"/>
      <c r="K46" s="142"/>
      <c r="L46" s="112"/>
    </row>
    <row r="47" spans="1:12" x14ac:dyDescent="0.25">
      <c r="F47"/>
      <c r="I47" s="142"/>
      <c r="J47" s="112"/>
    </row>
    <row r="48" spans="1:12" x14ac:dyDescent="0.25">
      <c r="A48" s="95" t="s">
        <v>200</v>
      </c>
      <c r="B48" t="s">
        <v>202</v>
      </c>
      <c r="F48"/>
    </row>
    <row r="49" spans="1:6" x14ac:dyDescent="0.25">
      <c r="A49" s="6" t="s">
        <v>209</v>
      </c>
      <c r="B49" s="112">
        <v>41.115277777716983</v>
      </c>
      <c r="D49" s="133">
        <v>41.115555555555552</v>
      </c>
      <c r="F49" s="112" cm="1">
        <f t="array" ref="F49:F53">B49:B53-D49:D53</f>
        <v>-2.7777783856919314E-4</v>
      </c>
    </row>
    <row r="50" spans="1:6" x14ac:dyDescent="0.25">
      <c r="A50" s="6" t="s">
        <v>232</v>
      </c>
      <c r="B50" s="112">
        <v>40.921944444766268</v>
      </c>
      <c r="D50" s="133">
        <v>40.921944444444449</v>
      </c>
      <c r="F50" s="112">
        <v>3.2181901588046458E-10</v>
      </c>
    </row>
    <row r="51" spans="1:6" x14ac:dyDescent="0.25">
      <c r="A51" s="6" t="s">
        <v>208</v>
      </c>
      <c r="B51" s="112">
        <v>17.295833333220799</v>
      </c>
      <c r="D51" s="133">
        <v>17.296111111111109</v>
      </c>
      <c r="F51" s="112">
        <v>-2.7777789031091515E-4</v>
      </c>
    </row>
    <row r="52" spans="1:6" x14ac:dyDescent="0.25">
      <c r="A52" s="6" t="s">
        <v>228</v>
      </c>
      <c r="B52" s="112">
        <v>33.600833333737683</v>
      </c>
      <c r="D52" s="133">
        <v>33.600833333333327</v>
      </c>
      <c r="F52" s="112">
        <v>4.0435566006635781E-10</v>
      </c>
    </row>
    <row r="53" spans="1:6" ht="15.75" thickBot="1" x14ac:dyDescent="0.3">
      <c r="A53" s="6" t="s">
        <v>201</v>
      </c>
      <c r="B53" s="112">
        <v>132.93388888944173</v>
      </c>
      <c r="D53" s="134">
        <v>132.93444444444444</v>
      </c>
      <c r="F53" s="139">
        <v>-5.5555500270543234E-4</v>
      </c>
    </row>
    <row r="54" spans="1:6" x14ac:dyDescent="0.25">
      <c r="F54"/>
    </row>
    <row r="55" spans="1:6" x14ac:dyDescent="0.25">
      <c r="F55"/>
    </row>
    <row r="56" spans="1:6" x14ac:dyDescent="0.25">
      <c r="F56"/>
    </row>
    <row r="57" spans="1:6" x14ac:dyDescent="0.25">
      <c r="F57"/>
    </row>
    <row r="58" spans="1:6" x14ac:dyDescent="0.25">
      <c r="F58"/>
    </row>
    <row r="59" spans="1:6" x14ac:dyDescent="0.25">
      <c r="F59"/>
    </row>
  </sheetData>
  <conditionalFormatting sqref="J5:J9">
    <cfRule type="cellIs" dxfId="52" priority="1" operator="lessThan">
      <formula>$J$5</formula>
    </cfRule>
  </conditionalFormatting>
  <conditionalFormatting sqref="J5:J15">
    <cfRule type="cellIs" dxfId="51" priority="4" operator="greaterThan">
      <formula>0.001</formula>
    </cfRule>
  </conditionalFormatting>
  <conditionalFormatting sqref="L5:L15">
    <cfRule type="cellIs" dxfId="50" priority="3" operator="greaterThan">
      <formula>0</formula>
    </cfRule>
    <cfRule type="expression" dxfId="49" priority="5" stopIfTrue="1">
      <formula>"Acima"</formula>
    </cfRule>
  </conditionalFormatting>
  <pageMargins left="0.511811024" right="0.511811024" top="0.78740157499999996" bottom="0.78740157499999996" header="0.31496062000000002" footer="0.31496062000000002"/>
  <pageSetup orientation="portrait" verticalDpi="0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1FAFB-A959-41FE-B8F1-DE5768EA466B}">
  <dimension ref="B2:N11"/>
  <sheetViews>
    <sheetView workbookViewId="0">
      <selection activeCell="H9" sqref="H9"/>
    </sheetView>
  </sheetViews>
  <sheetFormatPr defaultRowHeight="15" x14ac:dyDescent="0.25"/>
  <cols>
    <col min="2" max="2" width="20.7109375" bestFit="1" customWidth="1"/>
    <col min="3" max="3" width="27.42578125" bestFit="1" customWidth="1"/>
    <col min="4" max="4" width="24.140625" bestFit="1" customWidth="1"/>
    <col min="5" max="5" width="6.5703125" bestFit="1" customWidth="1"/>
    <col min="6" max="6" width="5.85546875" customWidth="1"/>
    <col min="7" max="7" width="20.7109375" bestFit="1" customWidth="1"/>
    <col min="8" max="8" width="27.42578125" bestFit="1" customWidth="1"/>
    <col min="9" max="9" width="8" customWidth="1"/>
    <col min="10" max="10" width="16.7109375" bestFit="1" customWidth="1"/>
    <col min="12" max="12" width="21.7109375" bestFit="1" customWidth="1"/>
  </cols>
  <sheetData>
    <row r="2" spans="2:14" x14ac:dyDescent="0.25">
      <c r="G2" s="93" t="s">
        <v>117</v>
      </c>
      <c r="H2" t="s">
        <v>1603</v>
      </c>
    </row>
    <row r="3" spans="2:14" x14ac:dyDescent="0.25">
      <c r="B3" s="93" t="s">
        <v>117</v>
      </c>
      <c r="C3" t="s">
        <v>1603</v>
      </c>
      <c r="G3" s="93" t="s">
        <v>1361</v>
      </c>
      <c r="H3" t="s">
        <v>1376</v>
      </c>
    </row>
    <row r="4" spans="2:14" x14ac:dyDescent="0.25">
      <c r="B4" s="93" t="s">
        <v>1361</v>
      </c>
      <c r="C4" t="s">
        <v>1376</v>
      </c>
      <c r="G4" s="93" t="s">
        <v>110</v>
      </c>
      <c r="H4" t="s">
        <v>98</v>
      </c>
    </row>
    <row r="6" spans="2:14" x14ac:dyDescent="0.25">
      <c r="B6" s="95" t="s">
        <v>200</v>
      </c>
      <c r="C6" s="96" t="s">
        <v>202</v>
      </c>
      <c r="D6" t="s">
        <v>1375</v>
      </c>
      <c r="E6" s="128" t="s">
        <v>1377</v>
      </c>
      <c r="G6" s="95" t="s">
        <v>200</v>
      </c>
      <c r="H6" t="s">
        <v>202</v>
      </c>
      <c r="J6" t="s">
        <v>1378</v>
      </c>
      <c r="L6" t="s">
        <v>1379</v>
      </c>
      <c r="N6" t="s">
        <v>1380</v>
      </c>
    </row>
    <row r="7" spans="2:14" x14ac:dyDescent="0.25">
      <c r="B7" s="6" t="s">
        <v>209</v>
      </c>
      <c r="C7" s="112">
        <v>89.768055555468891</v>
      </c>
      <c r="D7" s="112">
        <v>0.39891843442455865</v>
      </c>
      <c r="E7" s="129" cm="1">
        <f t="array" ref="E7:E11">D7:D11*24</f>
        <v>9.5740424261894077</v>
      </c>
      <c r="G7" s="6" t="s">
        <v>209</v>
      </c>
      <c r="H7" s="112">
        <v>4.65694444446126</v>
      </c>
      <c r="J7" s="130" cm="1">
        <f t="array" ref="J7:J10">H7:H10+E7:E10</f>
        <v>14.230986870650668</v>
      </c>
    </row>
    <row r="8" spans="2:14" x14ac:dyDescent="0.25">
      <c r="B8" s="6" t="s">
        <v>232</v>
      </c>
      <c r="C8" s="112">
        <v>228.84611111105187</v>
      </c>
      <c r="D8" s="112">
        <v>1.515976666683855</v>
      </c>
      <c r="E8" s="129">
        <v>36.38344000041252</v>
      </c>
      <c r="G8" s="6" t="s">
        <v>232</v>
      </c>
      <c r="H8" s="112">
        <v>22.838333333667833</v>
      </c>
      <c r="J8" s="130">
        <v>59.221773334080353</v>
      </c>
    </row>
    <row r="9" spans="2:14" x14ac:dyDescent="0.25">
      <c r="B9" s="6" t="s">
        <v>208</v>
      </c>
      <c r="C9" s="112">
        <v>125.68583333288552</v>
      </c>
      <c r="D9" s="112">
        <v>0.67792916849430185</v>
      </c>
      <c r="E9" s="129">
        <v>16.270300043863244</v>
      </c>
      <c r="G9" s="6" t="s">
        <v>208</v>
      </c>
      <c r="H9" s="112">
        <v>10.888611110975035</v>
      </c>
      <c r="J9" s="130">
        <v>27.158911154838279</v>
      </c>
    </row>
    <row r="10" spans="2:14" x14ac:dyDescent="0.25">
      <c r="B10" s="6" t="s">
        <v>228</v>
      </c>
      <c r="C10" s="112">
        <v>260.98888888891088</v>
      </c>
      <c r="D10" s="112">
        <v>1.1652800000083516</v>
      </c>
      <c r="E10" s="129">
        <v>27.966720000200439</v>
      </c>
      <c r="G10" s="6" t="s">
        <v>228</v>
      </c>
      <c r="H10" s="112">
        <v>2.6152777777751908</v>
      </c>
      <c r="J10" s="130">
        <v>30.58199777797563</v>
      </c>
    </row>
    <row r="11" spans="2:14" x14ac:dyDescent="0.25">
      <c r="B11" s="6" t="s">
        <v>201</v>
      </c>
      <c r="C11" s="112">
        <v>705.28888888831716</v>
      </c>
      <c r="D11" s="112">
        <v>3.7581042696110671</v>
      </c>
      <c r="E11" s="129">
        <v>90.194502470665611</v>
      </c>
      <c r="G11" s="6" t="s">
        <v>201</v>
      </c>
      <c r="H11" s="112">
        <v>40.999166666879319</v>
      </c>
      <c r="J11" s="130">
        <f>GETPIVOTDATA("Duração Ocorrencia",$G$6)+E11</f>
        <v>131.19366913754493</v>
      </c>
      <c r="L11">
        <v>137.56</v>
      </c>
      <c r="N11" s="112">
        <f>L11-J11</f>
        <v>6.3663308624550723</v>
      </c>
    </row>
  </sheetData>
  <pageMargins left="0.511811024" right="0.511811024" top="0.78740157499999996" bottom="0.78740157499999996" header="0.31496062000000002" footer="0.31496062000000002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B93473CAD14F4D9F9C8777E8338480" ma:contentTypeVersion="7" ma:contentTypeDescription="Crie um novo documento." ma:contentTypeScope="" ma:versionID="ef848b670247907a4edda9cd3efd2e75">
  <xsd:schema xmlns:xsd="http://www.w3.org/2001/XMLSchema" xmlns:xs="http://www.w3.org/2001/XMLSchema" xmlns:p="http://schemas.microsoft.com/office/2006/metadata/properties" xmlns:ns2="317365c2-12ff-4c46-bd85-769b15e46057" xmlns:ns3="74c3e8d3-782f-4636-9b2a-7af9c1ac6cb3" targetNamespace="http://schemas.microsoft.com/office/2006/metadata/properties" ma:root="true" ma:fieldsID="5071d5b4f4c697693cf36ce4f5352690" ns2:_="" ns3:_="">
    <xsd:import namespace="317365c2-12ff-4c46-bd85-769b15e46057"/>
    <xsd:import namespace="74c3e8d3-782f-4636-9b2a-7af9c1ac6c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_dlc_DocId" minOccurs="0"/>
                <xsd:element ref="ns3:_dlc_DocIdUrl" minOccurs="0"/>
                <xsd:element ref="ns3:_dlc_DocIdPersistId" minOccurs="0"/>
                <xsd:element ref="ns2:Site" minOccurs="0"/>
                <xsd:element ref="ns2:Model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7365c2-12ff-4c46-bd85-769b15e460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ite" ma:index="15" nillable="true" ma:displayName="Site" ma:format="Dropdown" ma:internalName="Site">
      <xsd:simpleType>
        <xsd:union memberTypes="dms:Text">
          <xsd:simpleType>
            <xsd:restriction base="dms:Choice">
              <xsd:enumeration value="S11D"/>
              <xsd:enumeration value="Carajás"/>
              <xsd:enumeration value="Salobo"/>
            </xsd:restriction>
          </xsd:simpleType>
        </xsd:union>
      </xsd:simpleType>
    </xsd:element>
    <xsd:element name="Modelo" ma:index="16" nillable="true" ma:displayName="Modelo" ma:format="Dropdown" ma:internalName="Modelo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794 AC"/>
                        <xsd:enumeration value="797F"/>
                        <xsd:enumeration value="793D"/>
                        <xsd:enumeration value="793F"/>
                        <xsd:enumeration value="D11"/>
                        <xsd:enumeration value="D11T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c3e8d3-782f-4636-9b2a-7af9c1ac6cb3" elementFormDefault="qualified">
    <xsd:import namespace="http://schemas.microsoft.com/office/2006/documentManagement/types"/>
    <xsd:import namespace="http://schemas.microsoft.com/office/infopath/2007/PartnerControls"/>
    <xsd:element name="_dlc_DocId" ma:index="12" nillable="true" ma:displayName="Valor da ID do Documento" ma:description="O valor da ID do documento atribuída a este item." ma:indexed="true" ma:internalName="_dlc_DocId" ma:readOnly="true">
      <xsd:simpleType>
        <xsd:restriction base="dms:Text"/>
      </xsd:simpleType>
    </xsd:element>
    <xsd:element name="_dlc_DocIdUrl" ma:index="13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ite xmlns="317365c2-12ff-4c46-bd85-769b15e46057" xsi:nil="true"/>
    <Modelo xmlns="317365c2-12ff-4c46-bd85-769b15e4605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/>
</file>

<file path=customXml/itemProps1.xml><?xml version="1.0" encoding="utf-8"?>
<ds:datastoreItem xmlns:ds="http://schemas.openxmlformats.org/officeDocument/2006/customXml" ds:itemID="{8D7DC9A4-3A1B-491E-97DD-0967E4D4E5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7365c2-12ff-4c46-bd85-769b15e46057"/>
    <ds:schemaRef ds:uri="74c3e8d3-782f-4636-9b2a-7af9c1ac6c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3C7CED-671B-4F05-AC34-0DDFF125628B}">
  <ds:schemaRefs>
    <ds:schemaRef ds:uri="http://schemas.openxmlformats.org/package/2006/metadata/core-properties"/>
    <ds:schemaRef ds:uri="74c3e8d3-782f-4636-9b2a-7af9c1ac6cb3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317365c2-12ff-4c46-bd85-769b15e46057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5F97327-77E6-45FC-9EA9-E7362218ADA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DF537B4-384D-4769-A14C-CE691A014B01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c9cd0976-a8f6-490a-b5f8-7a765745cb75}" enabled="0" method="" siteId="{c9cd0976-a8f6-490a-b5f8-7a765745cb7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Planilha1</vt:lpstr>
      <vt:lpstr>Planilha2</vt:lpstr>
      <vt:lpstr>LISTAS_APOIO</vt:lpstr>
      <vt:lpstr>HISTÓRICO_MANUTENÇÃO</vt:lpstr>
      <vt:lpstr>MTBF.POS.PM 793F S11D</vt:lpstr>
      <vt:lpstr>COMPARAÇÃO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Cota</dc:creator>
  <cp:lastModifiedBy>Ferdinando Magalhaes</cp:lastModifiedBy>
  <dcterms:created xsi:type="dcterms:W3CDTF">2024-11-11T15:14:59Z</dcterms:created>
  <dcterms:modified xsi:type="dcterms:W3CDTF">2026-10-08T01:06:11Z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0x0101009AB93473CAD14F4D9F9C8777E8338480</vt:lpwstr>
  </property>
  <property fmtid="{D5CDD505-2E9C-101B-9397-08002B2CF9AE}" pid="3" name="MediaServiceImageTags">
    <vt:lpwstr/>
  </property>
</Properties>
</file>